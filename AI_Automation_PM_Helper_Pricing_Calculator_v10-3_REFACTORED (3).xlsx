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ms/Documents/_VORTEXDEEP_DOCU/VD_AI_Automation_Excel/_VDAIA_MAIN_v2/"/>
    </mc:Choice>
  </mc:AlternateContent>
  <xr:revisionPtr revIDLastSave="0" documentId="13_ncr:1_{07F5CA62-F29E-7C42-BD7B-3F13B768E9AC}" xr6:coauthVersionLast="47" xr6:coauthVersionMax="47" xr10:uidLastSave="{00000000-0000-0000-0000-000000000000}"/>
  <bookViews>
    <workbookView xWindow="1140" yWindow="2160" windowWidth="30900" windowHeight="17940" tabRatio="500" xr2:uid="{00000000-000D-0000-FFFF-FFFF00000000}"/>
  </bookViews>
  <sheets>
    <sheet name="START HERE" sheetId="1" r:id="rId1"/>
    <sheet name="Package Reference" sheetId="2" r:id="rId2"/>
    <sheet name="Complexity Reference" sheetId="3" r:id="rId3"/>
    <sheet name="Quote Calculator" sheetId="4" r:id="rId4"/>
    <sheet name="ROI App" sheetId="5" r:id="rId5"/>
    <sheet name="Example Quotes" sheetId="6" r:id="rId6"/>
    <sheet name="Access Models" sheetId="7" r:id="rId7"/>
    <sheet name="Client Quote Summary" sheetId="8" r:id="rId8"/>
    <sheet name="Pricing Logic" sheetId="9" r:id="rId9"/>
    <sheet name="AI Aut Logic" sheetId="10" r:id="rId10"/>
    <sheet name="AUDIT Pricing" sheetId="11" r:id="rId11"/>
    <sheet name="B&amp;T Matrix" sheetId="12" r:id="rId1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40" i="5" l="1"/>
  <c r="C40" i="5"/>
  <c r="G31" i="5"/>
  <c r="C31" i="5"/>
  <c r="G28" i="5"/>
  <c r="C28" i="5"/>
  <c r="G26" i="5"/>
  <c r="C26" i="5"/>
  <c r="G25" i="5"/>
  <c r="C25" i="5"/>
  <c r="G24" i="5"/>
  <c r="G27" i="5" s="1"/>
  <c r="C24" i="5"/>
  <c r="C27" i="5" s="1"/>
  <c r="D49" i="4"/>
  <c r="C49" i="4"/>
  <c r="D48" i="4"/>
  <c r="C48" i="4"/>
  <c r="D47" i="4"/>
  <c r="C47" i="4"/>
  <c r="D46" i="4"/>
  <c r="C46" i="4"/>
  <c r="D44" i="4"/>
  <c r="C44" i="4"/>
  <c r="C32" i="4"/>
  <c r="C14" i="4"/>
  <c r="C29" i="4" s="1"/>
  <c r="C36" i="4" s="1"/>
  <c r="C13" i="4"/>
  <c r="C28" i="4" s="1"/>
  <c r="C12" i="4"/>
  <c r="C33" i="4" s="1"/>
  <c r="C11" i="4"/>
  <c r="C10" i="4"/>
  <c r="C31" i="4" s="1"/>
  <c r="C35" i="4" s="1"/>
  <c r="N9" i="4"/>
  <c r="C9" i="4"/>
  <c r="D43" i="4" s="1"/>
  <c r="N8" i="4"/>
  <c r="L8" i="4"/>
  <c r="J8" i="4"/>
  <c r="N7" i="4"/>
  <c r="L7" i="4"/>
  <c r="J7" i="4"/>
  <c r="G7" i="4"/>
  <c r="N6" i="4"/>
  <c r="L6" i="4"/>
  <c r="J6" i="4"/>
  <c r="G6" i="4"/>
  <c r="N5" i="4"/>
  <c r="L5" i="4"/>
  <c r="J5" i="4"/>
  <c r="G5" i="4"/>
  <c r="N4" i="4"/>
  <c r="L4" i="4"/>
  <c r="J4" i="4"/>
  <c r="G4" i="4"/>
  <c r="C45" i="4" l="1"/>
  <c r="D45" i="4"/>
  <c r="C37" i="4"/>
  <c r="C39" i="4"/>
  <c r="G11" i="4" s="1"/>
  <c r="G9" i="4"/>
  <c r="C36" i="5"/>
  <c r="C37" i="5" s="1"/>
  <c r="C29" i="5"/>
  <c r="G36" i="5"/>
  <c r="G37" i="5" s="1"/>
  <c r="G29" i="5"/>
  <c r="C30" i="4"/>
  <c r="C34" i="4" s="1"/>
  <c r="C43" i="4"/>
  <c r="C32" i="5" l="1"/>
  <c r="C30" i="5"/>
  <c r="C33" i="5" s="1"/>
  <c r="C34" i="5"/>
  <c r="C38" i="4"/>
  <c r="G10" i="4" s="1"/>
  <c r="G8" i="4"/>
  <c r="G32" i="5"/>
  <c r="G30" i="5"/>
  <c r="G33" i="5" s="1"/>
  <c r="G34" i="5"/>
</calcChain>
</file>

<file path=xl/sharedStrings.xml><?xml version="1.0" encoding="utf-8"?>
<sst xmlns="http://schemas.openxmlformats.org/spreadsheetml/2006/main" count="1132" uniqueCount="897">
  <si>
    <t>AI Automation Pricing Calculator - SAFE VERSION</t>
  </si>
  <si>
    <t>Purpose</t>
  </si>
  <si>
    <t>Clean, Excel-safe pricing workbook. It avoids advanced lookup formulas, tables, and data-validation objects that can sometimes trigger Excel repair messages.</t>
  </si>
  <si>
    <t>How to use</t>
  </si>
  <si>
    <t>Use Package Reference to select the package. Then manually copy the base low/high values into Quote Calculator yellow cells.</t>
  </si>
  <si>
    <t>Yellow cells</t>
  </si>
  <si>
    <t>Editable input cells.</t>
  </si>
  <si>
    <t>Blue cells</t>
  </si>
  <si>
    <t>Calculated output cells.</t>
  </si>
  <si>
    <t>Grey/reference sheets</t>
  </si>
  <si>
    <t>Internal reference and examples.</t>
  </si>
  <si>
    <t>Why this safe version</t>
  </si>
  <si>
    <t>Previous workbook likely had a compatibility/repair issue caused by advanced formulas or workbook metadata. This version uses simple formulas only.</t>
  </si>
  <si>
    <t>Client sharing</t>
  </si>
  <si>
    <t>Do not send internal pricing logic to client. Use Client Quote Summary as a clean external view.</t>
  </si>
  <si>
    <t>Version</t>
  </si>
  <si>
    <t>safe v4 - editable reference lists + auto lookup</t>
  </si>
  <si>
    <t>Created</t>
  </si>
  <si>
    <t>2026-06-23</t>
  </si>
  <si>
    <t>Recommended workflow</t>
  </si>
  <si>
    <t>1) pick package → 2) copy base ranges → 3) enter complexity → 4) review calculated quote → 5) copy client summary.</t>
  </si>
  <si>
    <t>Audit note</t>
  </si>
  <si>
    <t>Use 'Quote Calculator FIXED' for commercial quotes. Original calculator is retained as legacy/comparison.</t>
  </si>
  <si>
    <t>Package Pricing Reference</t>
  </si>
  <si>
    <t>EDITABLE RANGE: update package names, price ranges, scope notes and access model here. Quote Calculator reads columns A:E by package name.</t>
  </si>
  <si>
    <t>Package</t>
  </si>
  <si>
    <t>Setup Low</t>
  </si>
  <si>
    <t>Setup High</t>
  </si>
  <si>
    <t>Monthly Low</t>
  </si>
  <si>
    <t>Monthly High</t>
  </si>
  <si>
    <t>Typical scope</t>
  </si>
  <si>
    <t>Best for</t>
  </si>
  <si>
    <t>Access model</t>
  </si>
  <si>
    <t>Internal note</t>
  </si>
  <si>
    <t>Commercial label</t>
  </si>
  <si>
    <t>Typical use by automation type</t>
  </si>
  <si>
    <t>Basic Intake</t>
  </si>
  <si>
    <t>Email/forms intake, rule-based routing, booking link, simple folders/labels</t>
  </si>
  <si>
    <t>Simple intake, low complexity</t>
  </si>
  <si>
    <t>Results/dashboard only</t>
  </si>
  <si>
    <t>Keep scope tight</t>
  </si>
  <si>
    <t>AI Intake Basic</t>
  </si>
  <si>
    <t>Communication &amp; Intake; Document routing (no AI extraction); E-commerce order notifications; Finance reminders. Rule-based only — no AI required.</t>
  </si>
  <si>
    <t>Basic+ AI Triage</t>
  </si>
  <si>
    <t>AI classification, CRM/Notion log, folder routing, draft support</t>
  </si>
  <si>
    <t>MG Red Shift-style workflow</t>
  </si>
  <si>
    <t>Results/dashboard + workflow summary</t>
  </si>
  <si>
    <t>Good first AI package</t>
  </si>
  <si>
    <t>AI Intake Triage Basic+</t>
  </si>
  <si>
    <t>Communication &amp; Intake (AI classify); Lead &amp; Sales Pipeline (CRM log); Document Processing (AI field extraction); Customer Support (ticket triage); E-commerce (AI categorisation).</t>
  </si>
  <si>
    <t>Pro Multi-Channel</t>
  </si>
  <si>
    <t>Email + social media, AI classification, drafts, approval workflow</t>
  </si>
  <si>
    <t>Multiple channels, repeated questions</t>
  </si>
  <si>
    <t>Dashboard + workflow chart</t>
  </si>
  <si>
    <t>Needs fallback and approval gates</t>
  </si>
  <si>
    <t>AI Workflow Pro</t>
  </si>
  <si>
    <t>Communication &amp; Intake (multi-source); Content &amp; Marketing (AI draft + publish review); Lead &amp; Sales Pipeline (multi-source pipeline); Document Processing (multi-source); Customer Support (multi-channel triage).</t>
  </si>
  <si>
    <t>Managed Operations</t>
  </si>
  <si>
    <t>CRM, monitoring, reports, monthly improvements, support</t>
  </si>
  <si>
    <t>Ongoing operational support</t>
  </si>
  <si>
    <t>Dashboard, reports, limited logic visibility</t>
  </si>
  <si>
    <t>Define support limits</t>
  </si>
  <si>
    <t>Managed AI Operations</t>
  </si>
  <si>
    <t>Reporting &amp; Analytics (KPI digests, management reports); Finance &amp; Admin (reconciliation, overdue reminders); Internal Ops &amp; Approvals (ongoing routing); Scheduling &amp; Booking (managed flows). Any category requiring ongoing monitoring and improvement.</t>
  </si>
  <si>
    <t>Agentic Automation</t>
  </si>
  <si>
    <t>Calendar/CRM actions, multi-step decisions, audit and governance</t>
  </si>
  <si>
    <t>Complex controlled actions</t>
  </si>
  <si>
    <t>Approval console + blueprint summary</t>
  </si>
  <si>
    <t>Quote individually</t>
  </si>
  <si>
    <t>Agentic AI Operations</t>
  </si>
  <si>
    <t>Scheduling &amp; Booking (AI slot proposals, calendar actions); Lead &amp; Sales Pipeline (autonomous follow-up sequences); Finance &amp; Admin (exception detection + action); Internal Ops (conditional approval chains). Any category needing multi-step AI decisions with audit.</t>
  </si>
  <si>
    <t>Build-and-Transfer</t>
  </si>
  <si>
    <t>Automation built in client workspace and handed over</t>
  </si>
  <si>
    <t>Client wants ownership</t>
  </si>
  <si>
    <t>Full access/export/documentation</t>
  </si>
  <si>
    <t>LEGACY — do not select as package. Use a scope package in C5 and set Access model = Build-and-transfer in C6.</t>
  </si>
  <si>
    <t>Build &amp; Transfer</t>
  </si>
  <si>
    <t>All automation categories — applies when client requires full IP and operational ownership post-handover, regardless of automation type.</t>
  </si>
  <si>
    <t>Complexity Adders &amp; Multipliers</t>
  </si>
  <si>
    <t>Support Model Lookup - Editable</t>
  </si>
  <si>
    <t>Factor</t>
  </si>
  <si>
    <t>Rule</t>
  </si>
  <si>
    <t>When to apply</t>
  </si>
  <si>
    <t>Notes</t>
  </si>
  <si>
    <t>Example</t>
  </si>
  <si>
    <t>Support Model</t>
  </si>
  <si>
    <t>Monthly Multiplier</t>
  </si>
  <si>
    <t>Setup Handover Multiplier</t>
  </si>
  <si>
    <t>Typical Use</t>
  </si>
  <si>
    <t>Client Access</t>
  </si>
  <si>
    <t>Support Responsibility</t>
  </si>
  <si>
    <t>Pricing Note</t>
  </si>
  <si>
    <t>Internal Note</t>
  </si>
  <si>
    <t>Extra data sources / triggers</t>
  </si>
  <si>
    <t>per source / trigger</t>
  </si>
  <si>
    <t>Additional data source, trigger, or inbound channel beyond the scope included in the package</t>
  </si>
  <si>
    <t>Email inbox, social DM, document upload trigger, API feed, scheduled database poll</t>
  </si>
  <si>
    <t>invoice email trigger + webhook + Instagram DM = 3 sources</t>
  </si>
  <si>
    <t>No support</t>
  </si>
  <si>
    <t>Build-and-transfer with no monthly support</t>
  </si>
  <si>
    <t>Full handover</t>
  </si>
  <si>
    <t>None after handover</t>
  </si>
  <si>
    <t>0x monthly</t>
  </si>
  <si>
    <t>Legacy setup multiplier normalized to 1. Setup premium now belongs to Access Models / fixed calculator.</t>
  </si>
  <si>
    <t>AI generation steps</t>
  </si>
  <si>
    <t>per workflow type</t>
  </si>
  <si>
    <t>AI generates any output: reply drafts, extracted document fields, summarised text, repurposed content</t>
  </si>
  <si>
    <t>Each distinct AI generation type adds complexity — count per type, not per execution</t>
  </si>
  <si>
    <t>invoice field extraction + booking reply draft = 2 generation steps</t>
  </si>
  <si>
    <t>Light support</t>
  </si>
  <si>
    <t>Client owns automation, occasional help</t>
  </si>
  <si>
    <t>Full/limited</t>
  </si>
  <si>
    <t>Limited fixes</t>
  </si>
  <si>
    <t>0.5x monthly</t>
  </si>
  <si>
    <t>CRM integration</t>
  </si>
  <si>
    <t>per CRM</t>
  </si>
  <si>
    <t>Notion/Airtable/HubSpot records</t>
  </si>
  <si>
    <t>Status and field mapping</t>
  </si>
  <si>
    <t>Notion DB</t>
  </si>
  <si>
    <t>Normal managed support</t>
  </si>
  <si>
    <t>Default managed service</t>
  </si>
  <si>
    <t>Dashboard/results</t>
  </si>
  <si>
    <t>Normal monitoring/support</t>
  </si>
  <si>
    <t>1.0x monthly</t>
  </si>
  <si>
    <t>Default.</t>
  </si>
  <si>
    <t>Approval workflow</t>
  </si>
  <si>
    <t>per approval path</t>
  </si>
  <si>
    <t>Human review needed</t>
  </si>
  <si>
    <t>Important for sensitive sectors</t>
  </si>
  <si>
    <t>approve before send</t>
  </si>
  <si>
    <t>High-responsibility maintenance</t>
  </si>
  <si>
    <t>Important business workflow</t>
  </si>
  <si>
    <t>Dashboard/results + stronger control</t>
  </si>
  <si>
    <t>Higher reliability support</t>
  </si>
  <si>
    <t>1.5x monthly</t>
  </si>
  <si>
    <t>Setup premium should be explicit via access model/manual add, not hidden in support model.</t>
  </si>
  <si>
    <t>Reporting layer</t>
  </si>
  <si>
    <t>yes/no</t>
  </si>
  <si>
    <t>Dashboards, summaries, KPI reports</t>
  </si>
  <si>
    <t>Managed service</t>
  </si>
  <si>
    <t>monthly report</t>
  </si>
  <si>
    <t>Premium transfer support</t>
  </si>
  <si>
    <t>Transferred asset but you still maintain</t>
  </si>
  <si>
    <t>Ongoing maintenance</t>
  </si>
  <si>
    <t>2.0x monthly</t>
  </si>
  <si>
    <t>Use Access Models / fixed calculator for transfer setup premium.</t>
  </si>
  <si>
    <t>Sensitive data</t>
  </si>
  <si>
    <t>x1.3 to x1.7</t>
  </si>
  <si>
    <t>Health/legal/finance/high privacy</t>
  </si>
  <si>
    <t>Apply mainly to setup and monthly</t>
  </si>
  <si>
    <t>therapist</t>
  </si>
  <si>
    <t>Critical support</t>
  </si>
  <si>
    <t>Complex/agentic/high-risk system</t>
  </si>
  <si>
    <t>Full/controlled</t>
  </si>
  <si>
    <t>High responsibility</t>
  </si>
  <si>
    <t>Up to 3.0x monthly</t>
  </si>
  <si>
    <t>Use manual setup add/urgency multiplier for critical setup impact.</t>
  </si>
  <si>
    <t>Urgency</t>
  </si>
  <si>
    <t>x1.2 to x1.5</t>
  </si>
  <si>
    <t>Fast delivery required</t>
  </si>
  <si>
    <t>Apply to setup</t>
  </si>
  <si>
    <t>launch this week</t>
  </si>
  <si>
    <t>x1.5 to x3.0</t>
  </si>
  <si>
    <t>Client receives scenario/blueprint</t>
  </si>
  <si>
    <t>Build-and-transfer</t>
  </si>
  <si>
    <t>own Make workspace</t>
  </si>
  <si>
    <t>Monthly support model</t>
  </si>
  <si>
    <t>Monthly multiplier</t>
  </si>
  <si>
    <t>Typical monthly logic</t>
  </si>
  <si>
    <t>Use when</t>
  </si>
  <si>
    <t>Client receives</t>
  </si>
  <si>
    <t>You remain responsible for</t>
  </si>
  <si>
    <t>Pricing note</t>
  </si>
  <si>
    <t>Internal decision</t>
  </si>
  <si>
    <t>No recurring fee</t>
  </si>
  <si>
    <t>Build-and-transfer with no support</t>
  </si>
  <si>
    <t>Delivered automation only</t>
  </si>
  <si>
    <t>Nothing after handover</t>
  </si>
  <si>
    <t>client self-maintains</t>
  </si>
  <si>
    <t>Use rarely</t>
  </si>
  <si>
    <t>Ad-hoc checks / small fixes</t>
  </si>
  <si>
    <t>Client owns automation but may need help</t>
  </si>
  <si>
    <t>Occasional support</t>
  </si>
  <si>
    <t>Limited support only</t>
  </si>
  <si>
    <t>quarterly help</t>
  </si>
  <si>
    <t>0.5x to 1.0x monthly</t>
  </si>
  <si>
    <t>Define hours</t>
  </si>
  <si>
    <t>Standard monitoring and minor improvements</t>
  </si>
  <si>
    <t>Managed service default</t>
  </si>
  <si>
    <t>Reports/support</t>
  </si>
  <si>
    <t>Normal reliability support</t>
  </si>
  <si>
    <t>Basic+/Pro managed</t>
  </si>
  <si>
    <t>Default</t>
  </si>
  <si>
    <t>Strong monitoring, quick fixes, change support</t>
  </si>
  <si>
    <t>Client owns or depends heavily on system</t>
  </si>
  <si>
    <t>Higher support availability</t>
  </si>
  <si>
    <t>Higher operational responsibility</t>
  </si>
  <si>
    <t>mission-critical workflow</t>
  </si>
  <si>
    <t>1.5x to 3.0x monthly</t>
  </si>
  <si>
    <t>Premium</t>
  </si>
  <si>
    <t>Transferred asset + ongoing maintenance</t>
  </si>
  <si>
    <t>Build-and-transfer but you still maintain it</t>
  </si>
  <si>
    <t>Full asset + managed care</t>
  </si>
  <si>
    <t>Ongoing maintenance despite transfer</t>
  </si>
  <si>
    <t>client owns Make, you maintain</t>
  </si>
  <si>
    <t>2.0x typical</t>
  </si>
  <si>
    <t>Charge clearly</t>
  </si>
  <si>
    <t>High urgency / high responsibility</t>
  </si>
  <si>
    <t>Complex agentic systems</t>
  </si>
  <si>
    <t>Priority support</t>
  </si>
  <si>
    <t>Major ongoing responsibility</t>
  </si>
  <si>
    <t>Calendar/CRM agent with SLA-like expectation</t>
  </si>
  <si>
    <t>Custom quote</t>
  </si>
  <si>
    <t>Quote Calculator — Package / Access Model / Support Model (v8)</t>
  </si>
  <si>
    <t>Step</t>
  </si>
  <si>
    <t>Field</t>
  </si>
  <si>
    <t>Value</t>
  </si>
  <si>
    <t>Explanation</t>
  </si>
  <si>
    <t>Client-facing summary</t>
  </si>
  <si>
    <t>Available Packages</t>
  </si>
  <si>
    <t>Available Access Models</t>
  </si>
  <si>
    <t>Available Support Models</t>
  </si>
  <si>
    <t>Support model</t>
  </si>
  <si>
    <t>Meaning</t>
  </si>
  <si>
    <t>1</t>
  </si>
  <si>
    <t>Client / project name</t>
  </si>
  <si>
    <t>EDIT</t>
  </si>
  <si>
    <t>Project</t>
  </si>
  <si>
    <t>build-and-transfer, client owns risk</t>
  </si>
  <si>
    <t>2</t>
  </si>
  <si>
    <t>Selected package</t>
  </si>
  <si>
    <t>EDIT: scope package only — excludes Build-and-Transfer (use Access model C6 = Build-and-transfer for handover projects)</t>
  </si>
  <si>
    <t xml:space="preserve"> </t>
  </si>
  <si>
    <t>occasional checks/fixes</t>
  </si>
  <si>
    <t>3</t>
  </si>
  <si>
    <t>Access / ownership model</t>
  </si>
  <si>
    <t>EDIT: controls setup/handover premium only (not monthly)</t>
  </si>
  <si>
    <t>default for business workflow</t>
  </si>
  <si>
    <t>4</t>
  </si>
  <si>
    <t>EDIT: controls monthly maintenance cost only (not setup)</t>
  </si>
  <si>
    <t>High-responsibility support</t>
  </si>
  <si>
    <t>stronger monitoring, faster response</t>
  </si>
  <si>
    <t>Setup range</t>
  </si>
  <si>
    <t>5</t>
  </si>
  <si>
    <t>Base setup low</t>
  </si>
  <si>
    <t>CALC from Package Reference</t>
  </si>
  <si>
    <t>Monthly range</t>
  </si>
  <si>
    <t>for operationally sensitive workflows</t>
  </si>
  <si>
    <t>6</t>
  </si>
  <si>
    <t>Base setup high</t>
  </si>
  <si>
    <t>Recommended setup</t>
  </si>
  <si>
    <t>7</t>
  </si>
  <si>
    <t>Base monthly low</t>
  </si>
  <si>
    <t>Recommended monthly</t>
  </si>
  <si>
    <t>8</t>
  </si>
  <si>
    <t>Base monthly high</t>
  </si>
  <si>
    <t>Prices exclude third-party tool/API usage unless agreed.</t>
  </si>
  <si>
    <t>9</t>
  </si>
  <si>
    <t>Auto access setup multiplier</t>
  </si>
  <si>
    <t>CALC from Access Models col J — access model controls setup premium, not support model</t>
  </si>
  <si>
    <t>List sources</t>
  </si>
  <si>
    <t>Package Ref A4:A9 | Access Models A4:A8 | Complexity Ref K4:K9</t>
  </si>
  <si>
    <t>10</t>
  </si>
  <si>
    <t>Auto monthly support multiplier</t>
  </si>
  <si>
    <t>CALC from support model (monthly multiplier only)</t>
  </si>
  <si>
    <t>11</t>
  </si>
  <si>
    <t>Extra data sources / triggers count</t>
  </si>
  <si>
    <t>EDIT: count each additional data source, trigger, or inbound channel beyond the base package. In Make.com: each separate webhook endpoint, app trigger, API source, or scheduled data pull. E.g. Instagram DM = 1, invoice email inbox = 1, API poll = 1. Do NOT count the primary source included in the selected package.</t>
  </si>
  <si>
    <t>Extra data sources / triggers — examples</t>
  </si>
  <si>
    <t>Each distinct inbound source beyond the base package (separate webhook endpoint, app trigger or API feed).</t>
  </si>
  <si>
    <t>12</t>
  </si>
  <si>
    <t>AI generation steps count</t>
  </si>
  <si>
    <t>EDIT: count each distinct AI generation step — any HTTP module calling OpenAI or Claude for any purpose. Count per generation TYPE, not per execution. E.g. booking reply draft = 1. Invoice field extraction + booking reply draft = 2. Content repurposing call = 1.</t>
  </si>
  <si>
    <t>Example values:</t>
  </si>
  <si>
    <t>13</t>
  </si>
  <si>
    <t>CRM integrations count</t>
  </si>
  <si>
    <t>EDIT: count each external CRM or database system connected via Make.com (Notion, HubSpot, Airtable, Google Sheets used as a CRM, etc.). Count per SYSTEM, not per module. Notion with 3 Notion modules = still 1. Notion + HubSpot = 2.</t>
  </si>
  <si>
    <t>Primary source included in package = 0</t>
  </si>
  <si>
    <t>14</t>
  </si>
  <si>
    <t>Approval workflows count</t>
  </si>
  <si>
    <t>EDIT: count each route where Make.com pauses and a human must review and approve before the automation sends or acts. SEEKER draft reviewed by human before reply = 1. Auto folder-move with no human gate = 0. Multiple gated routes = count each gate separately.</t>
  </si>
  <si>
    <t>Website form on a separate webhook = 1</t>
  </si>
  <si>
    <t>15</t>
  </si>
  <si>
    <t>Reporting layer count</t>
  </si>
  <si>
    <t>EDIT: 0 or 1. Use 1 only if the automation writes structured output to a reporting layer: Google Sheets analytics view, Notion summary dashboard, or similar. Test-folder logging does NOT count. Standard Notion CRM entries do NOT count as reporting.</t>
  </si>
  <si>
    <t>Website form + Instagram DM = 2;  or  invoice email + webhook = 2</t>
  </si>
  <si>
    <t>16</t>
  </si>
  <si>
    <t>Sensitive data multiplier</t>
  </si>
  <si>
    <t>EDIT: normal = 1.0. Increase if handling sensitive data: 1.3 for confidential business info (contracts, financials, HR); 1.5 for GDPR-sensitive or EU-only data; 1.7 for health records or personal identity data. Always discuss data handling explicitly with the client before applying.</t>
  </si>
  <si>
    <t>Website + Instagram + invoice email = 3;  or  3 distinct API sources = 3</t>
  </si>
  <si>
    <t>17</t>
  </si>
  <si>
    <t>Urgency multiplier</t>
  </si>
  <si>
    <t>EDIT: normal = 1.0. Use 1.2 for 2–3 week delivery. Use 1.3–1.5 for hard deadlines within days (compressed build, testing and handover). Never exceed 1.5.</t>
  </si>
  <si>
    <t>18</t>
  </si>
  <si>
    <t>Manual setup multiplier override</t>
  </si>
  <si>
    <t>OPTIONAL EDIT: leave blank to use the access model auto-value (from the col L lookup). Override only when the auto value does not fit — e.g. Managed service selected but this project has unusually complex API credential setup or multi-environment staging.</t>
  </si>
  <si>
    <t>AI generation steps — examples</t>
  </si>
  <si>
    <t>Each distinct HTTP module calling OpenAI / Claude (count per draft type, any email volume).</t>
  </si>
  <si>
    <t>19</t>
  </si>
  <si>
    <t>Manual monthly support multiplier override</t>
  </si>
  <si>
    <t>OPTIONAL EDIT: leave blank to use the support model auto-value. Override only when the auto value does not reflect the agreed SLA — e.g. Normal support selected but client has a faster-response agreement that is not yet in the reference table.</t>
  </si>
  <si>
    <t>20</t>
  </si>
  <si>
    <t>Manual custom setup add</t>
  </si>
  <si>
    <t>EDIT: add one-time costs not covered by the package adder prices. — Make.com plan upgrade (if client account needs a higher ops tier) — Third-party API onboarding or account setup fee — Domain / DNS configuration — First-month OpenAI / Claude credit (if client pre-funds a budget) OPERATIONAL PASS-THROUGH: Make.com operations and API token costs are variable and best invoiced monthly with actuals. Use this field for a one-time estimate only if the client needs a total upfront budget figure.</t>
  </si>
  <si>
    <t>Classify or route only, no AI generation call = 0</t>
  </si>
  <si>
    <t>21</t>
  </si>
  <si>
    <t>Manual custom monthly add</t>
  </si>
  <si>
    <t>EDIT: add ongoing monthly operational costs not covered by the support multiplier. These are direct pass-through costs you pay to providers: — Make.com operations budget: CHF 15–30/month simple (&lt; 500 ops/day); CHF 30–60/month moderate (500–2,000 ops/day); CHF 60–120/month complex multi-branch scenario — OpenAI / Claude API tokens: CHF 10–20/month for ~200–500 AI drafts; CHF 20–40/month for ~500–2,000 AI drafts Best practice: leave C26 = 0 in the quote and invoice these monthly with actuals. Only fix a value here if the client requires a total-cost-of-ownership budget upfront.</t>
  </si>
  <si>
    <t>One AI generation type (reply draft, field extraction, or content call) = 1</t>
  </si>
  <si>
    <t>Booking reply draft + invoice field extraction = 2;  or  repurposing + reply = 2</t>
  </si>
  <si>
    <t>Effective setup/access multiplier</t>
  </si>
  <si>
    <t>CALC</t>
  </si>
  <si>
    <t>Effective monthly support multiplier</t>
  </si>
  <si>
    <t>CRM integrations — Make.com context</t>
  </si>
  <si>
    <t>Each external database / CRM connected (Notion, HubSpot, Airtable, Google Sheets as CRM). Count per system, not per module.</t>
  </si>
  <si>
    <t>Setup subtotal low (before multipliers)</t>
  </si>
  <si>
    <t>Setup subtotal high (before multipliers)</t>
  </si>
  <si>
    <t>Folder routing only, no CRM = 0</t>
  </si>
  <si>
    <t>Monthly subtotal low (before support multiplier)</t>
  </si>
  <si>
    <t>Notion only (any number of Notion modules) = 1</t>
  </si>
  <si>
    <t>Monthly subtotal high (before support multiplier)</t>
  </si>
  <si>
    <t>Notion + HubSpot = 2</t>
  </si>
  <si>
    <t>Calculated setup low</t>
  </si>
  <si>
    <t>Calculated setup high</t>
  </si>
  <si>
    <t>Approval workflows — Make.com context</t>
  </si>
  <si>
    <t>Each route where Make.com pauses and a human must review / approve before it sends or acts.</t>
  </si>
  <si>
    <t>Calculated monthly low</t>
  </si>
  <si>
    <t>Calculated monthly high</t>
  </si>
  <si>
    <t>Auto folder-move only, no human gate = 0</t>
  </si>
  <si>
    <t>Recommended setup quote</t>
  </si>
  <si>
    <t>SEEKER draft reviewed by human before reply = 1</t>
  </si>
  <si>
    <t>Recommended monthly quote</t>
  </si>
  <si>
    <t>SEEKER gated + LEAD CRM entry requires approval = 2</t>
  </si>
  <si>
    <t>Quote Sanity Check (auto)</t>
  </si>
  <si>
    <t>Reporting layer — Make.com context</t>
  </si>
  <si>
    <t>Check</t>
  </si>
  <si>
    <t>Status</t>
  </si>
  <si>
    <t>Detail</t>
  </si>
  <si>
    <t>Package name matches Reference</t>
  </si>
  <si>
    <t>Test-folder log only = 0</t>
  </si>
  <si>
    <t>Access model matches Reference</t>
  </si>
  <si>
    <t>Notion analytics view or Google Sheets report = 1</t>
  </si>
  <si>
    <t>Support model matches Reference</t>
  </si>
  <si>
    <t>Multiple separate reporting dashboards = 2 (rare)</t>
  </si>
  <si>
    <t>Sensitive data has approval workflow</t>
  </si>
  <si>
    <t>C25 one-time add — typical operational uses:</t>
  </si>
  <si>
    <t>Urgency multiplier reasonable</t>
  </si>
  <si>
    <t>Make.com plan upgrade (if client needs higher ops tier)</t>
  </si>
  <si>
    <t>Handover risk acknowledged</t>
  </si>
  <si>
    <t>Third-party API onboarding or account setup fee</t>
  </si>
  <si>
    <t>Reporting fits package</t>
  </si>
  <si>
    <t>First-month OpenAI / Claude credit (pre-funded budget)</t>
  </si>
  <si>
    <t>C26 monthly add — operational pass-through costs:</t>
  </si>
  <si>
    <t>Tip: Status meanings:</t>
  </si>
  <si>
    <t>OK = no concern;</t>
  </si>
  <si>
    <t>Make.com ops: CHF 15–30 simple · 30–60 moderate · 60–120 complex /month</t>
  </si>
  <si>
    <t>WARN = check before sending quote;</t>
  </si>
  <si>
    <t>OpenAI / Claude tokens: CHF 10–20 / 200–500 drafts · 20–40 / 500–2000 drafts /month</t>
  </si>
  <si>
    <t>FAIL = formulas returning 0 because name doesn't match;</t>
  </si>
  <si>
    <t>NOTE = situation worth documenting in the client quote.</t>
  </si>
  <si>
    <t>MG Red Shift (14-module SEEKER CRM) — example inputs:</t>
  </si>
  <si>
    <t>Extra channels (C16)</t>
  </si>
  <si>
    <t>AI draft workflows (C17)</t>
  </si>
  <si>
    <t>CRM integrations (C18)</t>
  </si>
  <si>
    <t>Approval workflows (C19)</t>
  </si>
  <si>
    <t>Reporting layer (C20)</t>
  </si>
  <si>
    <t>Custom monthly add C26 (ops est.)</t>
  </si>
  <si>
    <t>CHF 30–60</t>
  </si>
  <si>
    <t xml:space="preserve">  → Make.com ops estimate</t>
  </si>
  <si>
    <t>CHF 20–40 / month</t>
  </si>
  <si>
    <t xml:space="preserve">  → OpenAI tokens estimate (SEEKER drafts)</t>
  </si>
  <si>
    <t>CHF 10–20 / month</t>
  </si>
  <si>
    <t xml:space="preserve">   ROI Automation Calculator</t>
  </si>
  <si>
    <t>Unit / Notes</t>
  </si>
  <si>
    <t xml:space="preserve"> 1. CLIENT INPUTS</t>
  </si>
  <si>
    <t>MGREDSHIFT</t>
  </si>
  <si>
    <t>Hard ROI — Time Savings</t>
  </si>
  <si>
    <t>Employees Involved</t>
  </si>
  <si>
    <t>people</t>
  </si>
  <si>
    <t>Hours Lost / Week</t>
  </si>
  <si>
    <t>hours / week</t>
  </si>
  <si>
    <t>Hourly Rate (Gross)</t>
  </si>
  <si>
    <t>CHF / hour</t>
  </si>
  <si>
    <t>Hard ROI — Error Reduction</t>
  </si>
  <si>
    <t>Mistakes / Week</t>
  </si>
  <si>
    <t>mistakes / week</t>
  </si>
  <si>
    <t>Cost per Mistake</t>
  </si>
  <si>
    <t>CHF / mistake</t>
  </si>
  <si>
    <t>Soft ROI — Lost Revenue</t>
  </si>
  <si>
    <t>Lost Leads / Month</t>
  </si>
  <si>
    <t>leads / month</t>
  </si>
  <si>
    <t>Avg Value per Lead</t>
  </si>
  <si>
    <t>CHF / lead</t>
  </si>
  <si>
    <t>Investment &amp; Ongoing Costs</t>
  </si>
  <si>
    <t>One-Time Setup Cost</t>
  </si>
  <si>
    <t>CHF total</t>
  </si>
  <si>
    <t>Monthly Managed AI Ops Cost</t>
  </si>
  <si>
    <t>CHF / month — paste from Quote Calculator C39 (Recommended monthly quote)</t>
  </si>
  <si>
    <t>CHF / month</t>
  </si>
  <si>
    <t xml:space="preserve"> 2. CALCULATED ROI</t>
  </si>
  <si>
    <t>ROI</t>
  </si>
  <si>
    <t>Monthly Cost of Time</t>
  </si>
  <si>
    <t>CHF</t>
  </si>
  <si>
    <t>Monthly Cost of Errors</t>
  </si>
  <si>
    <t>Monthly Lost Revenue</t>
  </si>
  <si>
    <t>Monthly Gross Benefit</t>
  </si>
  <si>
    <t>CHF — cost of inaction</t>
  </si>
  <si>
    <t>(−) Monthly Managed AI Ops</t>
  </si>
  <si>
    <t>Net Monthly Benefit</t>
  </si>
  <si>
    <t>Annual Net Benefit</t>
  </si>
  <si>
    <t>Total Year 1 Investment</t>
  </si>
  <si>
    <t>CHF — setup + 12× monthly managed</t>
  </si>
  <si>
    <t>Payback Period</t>
  </si>
  <si>
    <t>Months</t>
  </si>
  <si>
    <t>First-Year Net ROI</t>
  </si>
  <si>
    <t>% — net Y1 return ÷ total Y1 investment (setup + 12× monthly)</t>
  </si>
  <si>
    <t>%</t>
  </si>
  <si>
    <t>Year 2+ Annual ROI</t>
  </si>
  <si>
    <t xml:space="preserve"> 3. NEGOTIATION VIEW</t>
  </si>
  <si>
    <t>Value Ceiling (monthly)</t>
  </si>
  <si>
    <t>CHF/month — max fee where client still breaks even in Year 1</t>
  </si>
  <si>
    <t>CHF/month</t>
  </si>
  <si>
    <t>Headroom — value kept by client</t>
  </si>
  <si>
    <t>CHF/month below the ceiling. Use this when client says fee is high.</t>
  </si>
  <si>
    <t>Staffing alternative comparison</t>
  </si>
  <si>
    <t>Equiv. manual staffing cost</t>
  </si>
  <si>
    <t>CHF/month — est. cost of person doing this manually. Rule of thumb CH: CHF 70k salary ≈ CHF 8,300/month fully loaded. Even 1 day/week ≈ CHF 2,000+.</t>
  </si>
  <si>
    <t>Automation saving vs. staffing</t>
  </si>
  <si>
    <t>CHF/month saved vs. hiring. Negative = staffing is cheaper.</t>
  </si>
  <si>
    <t>Talking point — monthly fee objection: "Think of it like Krankenkasse. The best months are the ones where you never needed to call us. That's not money wasted — that's the system working. You pay for the guarantee of continuity, not for the number of incidents. And unlike Krankenkasse, here you can calculate the return."</t>
  </si>
  <si>
    <t>Tip: Monthly Managed AI Ops (C20) should match 'Recommended monthly quote' from Quote Calculator tab. First-Year Net ROI divides by total Year 1 spend (setup + 12× monthly). Year 2+ ROI shows the recurring return once setup is fully amortised.</t>
  </si>
  <si>
    <t>Example Quote Ranges</t>
  </si>
  <si>
    <t>Why</t>
  </si>
  <si>
    <t>Client label</t>
  </si>
  <si>
    <t>MG Red Shift-style email triage</t>
  </si>
  <si>
    <t>AI classification, Notion DB, folder routing, SEEKER draft support</t>
  </si>
  <si>
    <t>Managed / hybrid</t>
  </si>
  <si>
    <t>No automatic sending</t>
  </si>
  <si>
    <t>Therapist Gmail + booking link</t>
  </si>
  <si>
    <t>Email/form intake, booking triage, no direct advice</t>
  </si>
  <si>
    <t>Human approval</t>
  </si>
  <si>
    <t>Therapist Instagram + Gmail + drafts</t>
  </si>
  <si>
    <t>Multiple channels and draft approval workflow</t>
  </si>
  <si>
    <t>Managed</t>
  </si>
  <si>
    <t>Sensitive data needs strict boundaries</t>
  </si>
  <si>
    <t>Small agency CRM + reporting</t>
  </si>
  <si>
    <t>CRM, monitoring, reporting, improvement backlog</t>
  </si>
  <si>
    <t>Recurring service value</t>
  </si>
  <si>
    <t>Calendar/CRM agent</t>
  </si>
  <si>
    <t>Controlled multi-step actions with approvals</t>
  </si>
  <si>
    <t>Controlled access</t>
  </si>
  <si>
    <t>Client full handover</t>
  </si>
  <si>
    <t>Transfers Make logic and documentation</t>
  </si>
  <si>
    <t>Client-owned</t>
  </si>
  <si>
    <t>Price 1.5x to 3x setup</t>
  </si>
  <si>
    <t>Access &amp; Ownership Pricing Logic</t>
  </si>
  <si>
    <t>Model</t>
  </si>
  <si>
    <t>You retain</t>
  </si>
  <si>
    <t>Pricing effect</t>
  </si>
  <si>
    <t>Monthly effect</t>
  </si>
  <si>
    <t>Risk</t>
  </si>
  <si>
    <t>Client wording</t>
  </si>
  <si>
    <t>Default setup multiplier</t>
  </si>
  <si>
    <t>Typical range</t>
  </si>
  <si>
    <t>Pricing use in FIXED calculator</t>
  </si>
  <si>
    <t>Results, dashboards, reports, approval queue</t>
  </si>
  <si>
    <t>Make logic, prompts, reusable blueprints</t>
  </si>
  <si>
    <t>Normal</t>
  </si>
  <si>
    <t>x1.0 monthly</t>
  </si>
  <si>
    <t>Low</t>
  </si>
  <si>
    <t>We manage the automation and provide outputs/support.</t>
  </si>
  <si>
    <t>Best default model</t>
  </si>
  <si>
    <t>x1.0</t>
  </si>
  <si>
    <t>Managed service: no handover premium.</t>
  </si>
  <si>
    <t>Logic visibility</t>
  </si>
  <si>
    <t>Workflow summary, Mermaid/chart, status rules</t>
  </si>
  <si>
    <t>Implementation details and reusable logic</t>
  </si>
  <si>
    <t>Normal or small add-on</t>
  </si>
  <si>
    <t>Client wants transparency</t>
  </si>
  <si>
    <t>You receive workflow documentation without internal implementation.</t>
  </si>
  <si>
    <t>Good trust-building option</t>
  </si>
  <si>
    <t>x1.0–x1.15</t>
  </si>
  <si>
    <t>Transparency/documentation premium.</t>
  </si>
  <si>
    <t>Limited admin</t>
  </si>
  <si>
    <t>Dashboard, approvals, run summaries</t>
  </si>
  <si>
    <t>Scenario edit rights and blueprint export</t>
  </si>
  <si>
    <t>+10–25%</t>
  </si>
  <si>
    <t>x1.1–1.25 monthly</t>
  </si>
  <si>
    <t>Medium</t>
  </si>
  <si>
    <t>Client needs stronger control</t>
  </si>
  <si>
    <t>You can review outcomes while we manage the system.</t>
  </si>
  <si>
    <t>Managed clients</t>
  </si>
  <si>
    <t>x1.10–x1.25</t>
  </si>
  <si>
    <t>Limited admin/client controls.</t>
  </si>
  <si>
    <t>Client-owned workspace</t>
  </si>
  <si>
    <t>Automation runs in client workspace</t>
  </si>
  <si>
    <t>Methodology and reusable templates</t>
  </si>
  <si>
    <t>+25–75%</t>
  </si>
  <si>
    <t>x0.5–1.5 monthly depending support</t>
  </si>
  <si>
    <t>Compliance/enterprise</t>
  </si>
  <si>
    <t>Built in your workspace; support remains available.</t>
  </si>
  <si>
    <t>Higher setup</t>
  </si>
  <si>
    <t>x1.25–x1.75</t>
  </si>
  <si>
    <t>Client-owned workspace/setup burden.</t>
  </si>
  <si>
    <t>Full Make scenario, export, documentation</t>
  </si>
  <si>
    <t>General know-how only</t>
  </si>
  <si>
    <t>x1.5–x3 setup</t>
  </si>
  <si>
    <t>x0–x3 monthly depending support</t>
  </si>
  <si>
    <t>High</t>
  </si>
  <si>
    <t>Client insists on ownership</t>
  </si>
  <si>
    <t>We build and hand over the automation asset.</t>
  </si>
  <si>
    <t>Premium only</t>
  </si>
  <si>
    <t>x1.5–x3.0</t>
  </si>
  <si>
    <t>Build-and-transfer default; override if needed.</t>
  </si>
  <si>
    <t>Client-Facing Quote Summary Template</t>
  </si>
  <si>
    <t>Project name</t>
  </si>
  <si>
    <t>Enter project name</t>
  </si>
  <si>
    <t>Package direction</t>
  </si>
  <si>
    <t>Enter package direction</t>
  </si>
  <si>
    <t>One-line scope</t>
  </si>
  <si>
    <t>Example: AI intake triage for website/email inquiries with classification, routing, Notion logging, and draft support.</t>
  </si>
  <si>
    <t>Included</t>
  </si>
  <si>
    <t>List included channels, categories, automations, and approvals.</t>
  </si>
  <si>
    <t>Not included</t>
  </si>
  <si>
    <t>List postponed or excluded items.</t>
  </si>
  <si>
    <t>Setup fee</t>
  </si>
  <si>
    <t>Enter setup fee or range.</t>
  </si>
  <si>
    <t>Monthly managed service</t>
  </si>
  <si>
    <t>Enter monthly fee or range.</t>
  </si>
  <si>
    <t>Managed service / hybrid / client-owned / build-and-transfer.</t>
  </si>
  <si>
    <t>Client responsibilities</t>
  </si>
  <si>
    <t>Provide access, approve test cases, review drafts, confirm go-live.</t>
  </si>
  <si>
    <t>Provider responsibilities</t>
  </si>
  <si>
    <t>Build, test, monitor, support, update rules/prompts as agreed.</t>
  </si>
  <si>
    <t>Approval points</t>
  </si>
  <si>
    <t>Scope approval, blueprint approval, go-live approval.</t>
  </si>
  <si>
    <t>Prices exclude third-party software/API usage unless agreed otherwise.</t>
  </si>
  <si>
    <t>Internal reminder</t>
  </si>
  <si>
    <t>Copy into a proposal/email. Do not share internal calculator unless intended.</t>
  </si>
  <si>
    <t>Prepared on</t>
  </si>
  <si>
    <t>No support / light support / normal managed / high-responsibility / premium transfer support.</t>
  </si>
  <si>
    <t>Build-and-transfer note</t>
  </si>
  <si>
    <t>If full automation ownership is transferred, setup and monthly support may be multiplied depending on access and responsibility.</t>
  </si>
  <si>
    <t>Q</t>
  </si>
  <si>
    <t>great, but that all has to be calculated before giving Client price</t>
  </si>
  <si>
    <t>A</t>
  </si>
  <si>
    <t>Yes, exactly. These “count” fields must be estimated before giving the final client price.</t>
  </si>
  <si>
    <t>But not too early.</t>
  </si>
  <si>
    <t>Correct order</t>
  </si>
  <si>
    <t>1. After Phase 1 — Discovery</t>
  </si>
  <si>
    <t>You can give only a rough price direction:</t>
  </si>
  <si>
    <t>Based on current understanding, this looks like a Basic+ / Pro project, likely in the range of CHF X–Y setup and CHF X–Y/month.</t>
  </si>
  <si>
    <t>At this point, counts are still approximate.</t>
  </si>
  <si>
    <t>2. After Phase 2 — Scope / MVP Design</t>
  </si>
  <si>
    <t>Now you can calculate more seriously.</t>
  </si>
  <si>
    <t>Because Phase 2 defines:</t>
  </si>
  <si>
    <t>included channels</t>
  </si>
  <si>
    <t>excluded channels</t>
  </si>
  <si>
    <t>AI draft workflows</t>
  </si>
  <si>
    <t>CRM/database needs</t>
  </si>
  <si>
    <t>approval workflows</t>
  </si>
  <si>
    <t>reporting</t>
  </si>
  <si>
    <t>access model</t>
  </si>
  <si>
    <t>support model</t>
  </si>
  <si>
    <t>This is where you fill the Quote Calculator.</t>
  </si>
  <si>
    <t>3. After Phase 3 — Solution Blueprint</t>
  </si>
  <si>
    <t>Now you can give the confirmed offer.</t>
  </si>
  <si>
    <t>Because by then you know:</t>
  </si>
  <si>
    <t>exact workflow</t>
  </si>
  <si>
    <t>exact tools</t>
  </si>
  <si>
    <t>routing logic</t>
  </si>
  <si>
    <t>risk level</t>
  </si>
  <si>
    <t>error handling</t>
  </si>
  <si>
    <t>access/security needs</t>
  </si>
  <si>
    <t>build effort</t>
  </si>
  <si>
    <t>Practical rule</t>
  </si>
  <si>
    <t>Use the calculator like this:</t>
  </si>
  <si>
    <t>Project moment</t>
  </si>
  <si>
    <t>Price type</t>
  </si>
  <si>
    <t>Before discovery</t>
  </si>
  <si>
    <t>no real price, only starting-from package</t>
  </si>
  <si>
    <t>After Phase 1</t>
  </si>
  <si>
    <t>rough estimate</t>
  </si>
  <si>
    <t>After Phase 2</t>
  </si>
  <si>
    <t>proposed quote</t>
  </si>
  <si>
    <t>After Phase 3</t>
  </si>
  <si>
    <t>confirmed final offer</t>
  </si>
  <si>
    <t>After changes</t>
  </si>
  <si>
    <t>change request / extra cost</t>
  </si>
  <si>
    <t>For client communication</t>
  </si>
  <si>
    <t>I would say:</t>
  </si>
  <si>
    <t>After the discovery call, I can give you an indicative range. The final fixed price is confirmed after we define the MVP scope and automation boundaries.</t>
  </si>
  <si>
    <t>This protects you from underpricing.</t>
  </si>
  <si>
    <t>Internally</t>
  </si>
  <si>
    <t>The calculator is mainly used after Phase 2.</t>
  </si>
  <si>
    <t>Phase 1 gives you raw answers.</t>
  </si>
  <si>
    <t>Phase 2 converts them into counts.</t>
  </si>
  <si>
    <t>Then the Quote Calculator gives the price.</t>
  </si>
  <si>
    <t>So yes: before giving the client a serious price, you must first define the counts and package/access model.</t>
  </si>
  <si>
    <t>Direct Email Intake Branch — Pricing Logic / Change Request</t>
  </si>
  <si>
    <t>Price logic</t>
  </si>
  <si>
    <t>Setup add</t>
  </si>
  <si>
    <t>Monthly add</t>
  </si>
  <si>
    <t>When to use</t>
  </si>
  <si>
    <t>Simple direct-email branch</t>
  </si>
  <si>
    <t>Add one direct inbox trigger and send messages into the existing classifier after basic normalization.</t>
  </si>
  <si>
    <t>CHF 500–900</t>
  </si>
  <si>
    <t>CHF 100–200</t>
  </si>
  <si>
    <t>Client has one inbox and wants same classification logic as website form.</t>
  </si>
  <si>
    <t>Direct email + filters/logging</t>
  </si>
  <si>
    <t>Add inbox trigger, normalization, sender/message metadata, duplicate prevention, routing labels/folders, error path and logging.</t>
  </si>
  <si>
    <t>CHF 900–1’500</t>
  </si>
  <si>
    <t>CHF 150–300</t>
  </si>
  <si>
    <t>Most realistic business version; recommended default for client quote.</t>
  </si>
  <si>
    <t>Direct email + draft / approval logic</t>
  </si>
  <si>
    <t>Add email-specific draft replies, approval handling, status tracking and safer exception handling.</t>
  </si>
  <si>
    <t>CHF 1’500–2’500</t>
  </si>
  <si>
    <t>CHF 300–500</t>
  </si>
  <si>
    <t>Client expects AI-assisted replies or approval workflow, not only classification.</t>
  </si>
  <si>
    <t>Pricing rule</t>
  </si>
  <si>
    <t>If defined before project start, include it in the package scope and count it as an additional intake channel/source. If requested later, price it as a change request.</t>
  </si>
  <si>
    <t>Usually +CHF 900–1’500</t>
  </si>
  <si>
    <t>Usually +CHF 150–300/month</t>
  </si>
  <si>
    <t>Use this rule when scope expands from webhook-only to inbox + webhook.</t>
  </si>
  <si>
    <t>Commercial note</t>
  </si>
  <si>
    <t>This is not only “add Gmail trigger”. It adds a second source, normalization, deduplication, routing reliability, testing and support responsibility.</t>
  </si>
  <si>
    <t>This explains why the add-on has both setup and monthly impact.</t>
  </si>
  <si>
    <t>how this modification enable us to define properly for price calculation each wished or considered, or offered automation?</t>
  </si>
  <si>
    <t>Good question — this is the core workflow gap. The calculator fields give you the inputs, but you still need a clear rule for how to read any automation and translate it into those fields. Here's the complete mapping logic:</t>
  </si>
  <si>
    <t>Step 1 — Pick the package (C5) by overall complexity</t>
  </si>
  <si>
    <t>Automation complexity</t>
  </si>
  <si>
    <t>Single channel, classify/route only, no AI</t>
  </si>
  <si>
    <t>Single channel, classify + 1 AI draft type</t>
  </si>
  <si>
    <t>Multiple channels or sources, classify + AI</t>
  </si>
  <si>
    <t>Full ops: multi-channel, AI, CRM, monitoring</t>
  </si>
  <si>
    <t>Autonomous agents, self-healing flows</t>
  </si>
  <si>
    <t>Step 2 — Fill the count fields by scanning the Make.com scenario</t>
  </si>
  <si>
    <t>Go through the scenario module by module and ask one question per field:</t>
  </si>
  <si>
    <t>Extra channels (C16): how many separate inbound sources exist beyond the one included in the package? Count each distinct webhook endpoint or app trigger.</t>
  </si>
  <si>
    <t>AI draft workflows (C17): how many distinct HTTP→OpenAI/Claude calls exist? Count per draft type, not per email processed.</t>
  </si>
  <si>
    <t>CRM integrations (C18): how many different external database systems are written to or read from? Count per system, not per module.</t>
  </si>
  <si>
    <t>Approval workflows (C19): how many places does the scenario pause and wait for a human before acting?</t>
  </si>
  <si>
    <t>Reporting layer (C20): is there a structured output to a dashboard or analytics view?</t>
  </si>
  <si>
    <t>Step 3 — Set the multipliers (C21–C22) by project context</t>
  </si>
  <si>
    <t>These aren't about the automation itself — they're about the client and delivery situation. Sensitive data and urgency are commercial decisions, not technical ones.</t>
  </si>
  <si>
    <t>Step 4 — Choose access and support models (C6, C7) by the commercial arrangement</t>
  </si>
  <si>
    <t>C6 answers who owns the automation after delivery</t>
  </si>
  <si>
    <t>C7 answers what ongoing support level is agreed</t>
  </si>
  <si>
    <t>Step 5 — Add operational costs to C26</t>
  </si>
  <si>
    <t>After filling all count fields, estimate and add Make.com operations + API token budget as a monthly pass-through in C26.</t>
  </si>
  <si>
    <t>Applied to your three options, the inputs would be:</t>
  </si>
  <si>
    <t>Option A (classify only)</t>
  </si>
  <si>
    <t>Option B (classify + AI draft)</t>
  </si>
  <si>
    <t>Option C (email service + classify)</t>
  </si>
  <si>
    <t>MG Red Shift</t>
  </si>
  <si>
    <t>C5 Package</t>
  </si>
  <si>
    <t>C16 Extra channels</t>
  </si>
  <si>
    <t>C17 AI draft</t>
  </si>
  <si>
    <t>C18 CRM</t>
  </si>
  <si>
    <t>C19 Approval</t>
  </si>
  <si>
    <t>C20 Reporting</t>
  </si>
  <si>
    <t>C26 ops/month</t>
  </si>
  <si>
    <t>CHF 15–20</t>
  </si>
  <si>
    <t>CHF 25–45</t>
  </si>
  <si>
    <t>CHF 20–30</t>
  </si>
  <si>
    <t>The calculator can then price each of these as a distinct configuration just by changing those six inputs — which is exactly what the modified D and F columns now guide you through, step by step, for any new automation you design or propose.</t>
  </si>
  <si>
    <t>clear, thank you. 1. so when we would add a small router or a pre-loop watching, besides webhook, also emails (and with next steps also some social media), with the same logic, from some email service provider, then we could classify such automation higher? 2. we foreseen also monthly maintenance, which is for us as business and for customer essential, but we understand that it means that until Clinent wants it is kept or how can we evolve it or explain to Client? 3. we also have simple ROI calculators (see examples). How would you explain our MGREDSHIFT automation with ROI calculation? can it be explained clearly for such automation?</t>
  </si>
  <si>
    <t>Yes, that’s a good direction.</t>
  </si>
  <si>
    <t>1. Would adding email/social intake classify it higher?</t>
  </si>
  <si>
    <t>Yes, depending on complexity.</t>
  </si>
  <si>
    <t>Right now MG Red Shift is best classified as:</t>
  </si>
  <si>
    <t>Basic+ AI Triage / AI Intake Triage Basic+</t>
  </si>
  <si>
    <t>Because it does:</t>
  </si>
  <si>
    <t>website form → AI classification → JSON parse → folder routing → Notion logging → manual review</t>
  </si>
  <si>
    <t>Your v4.0 flow confirms this structure: OpenAI classification runs before the router, and the router acts only on LEAD / SEEKER / SPAM / TEST.</t>
  </si>
  <si>
    <t>If you add:</t>
  </si>
  <si>
    <t>Added scope</t>
  </si>
  <si>
    <t>Package level</t>
  </si>
  <si>
    <t>Website form + one inbox, same logic</t>
  </si>
  <si>
    <t>Multiple inboxes / email provider + website form</t>
  </si>
  <si>
    <t>Basic+ or low Pro</t>
  </si>
  <si>
    <t>Email + Instagram / WhatsApp / LinkedIn</t>
  </si>
  <si>
    <t>Draft replies + approval workflow</t>
  </si>
  <si>
    <t>Monthly reporting, monitoring, improvements</t>
  </si>
  <si>
    <t>CRM/calendar actions with approvals</t>
  </si>
  <si>
    <t>So yes: with email + social media + same classification logic, it can move toward Pro Multi-Channel.</t>
  </si>
  <si>
    <t>2. Monthly maintenance — how to explain it</t>
  </si>
  <si>
    <t>I would not call it “maintenance” only. Better:</t>
  </si>
  <si>
    <t>Because it includes:</t>
  </si>
  <si>
    <t>monitoring failed runs</t>
  </si>
  <si>
    <t>checking classification quality</t>
  </si>
  <si>
    <t>updating prompts/categories</t>
  </si>
  <si>
    <t>adapting when client business rules change</t>
  </si>
  <si>
    <t>fixing API/provider changes</t>
  </si>
  <si>
    <t>reviewing edge cases</t>
  </si>
  <si>
    <t>usage/cost monitoring</t>
  </si>
  <si>
    <t>monthly improvement notes</t>
  </si>
  <si>
    <t>small workflow adjustments</t>
  </si>
  <si>
    <t>Client-facing explanation:</t>
  </si>
  <si>
    <t>The automation is not a static file. It handles live messages, changing wording, changing customer behaviour, provider updates and business rules. The monthly service keeps the workflow monitored, adjusted and reliable.</t>
  </si>
  <si>
    <t>Commercially:</t>
  </si>
  <si>
    <t>For MG Red Shift, I would use Normal managed support.</t>
  </si>
  <si>
    <t>3. ROI explanation for MG Red Shift automation</t>
  </si>
  <si>
    <t>Yes, ROI can be explained clearly, but use conservative numbers.</t>
  </si>
  <si>
    <t>The ROI is not only “time saved”. It is also:</t>
  </si>
  <si>
    <t>fewer wrong manual classifications</t>
  </si>
  <si>
    <t>faster separation of real CH/LI leads from foreign SEEKERS</t>
  </si>
  <si>
    <t>less risk of replying wrongly about export/distribution</t>
  </si>
  <si>
    <t>better CRM/Notion recordkeeping</t>
  </si>
  <si>
    <t>less inbox clutter</t>
  </si>
  <si>
    <t>consistent manual review process</t>
  </si>
  <si>
    <t>Simple ROI formula:</t>
  </si>
  <si>
    <t>Monthly benefit =</t>
  </si>
  <si>
    <t>time saved</t>
  </si>
  <si>
    <t>+ avoided mistakes</t>
  </si>
  <si>
    <t>+ retained lead/opportunity value</t>
  </si>
  <si>
    <t>Example conservative MG Red Shift case:</t>
  </si>
  <si>
    <t>ROI factor</t>
  </si>
  <si>
    <t>Time saved: 2 h/week × CHF 80 × 4</t>
  </si>
  <si>
    <t>CHF 640/month</t>
  </si>
  <si>
    <t>Avoided mistakes: 2/month × CHF 150</t>
  </si>
  <si>
    <t>CHF 300/month</t>
  </si>
  <si>
    <t>Preserved commercial opportunity value</t>
  </si>
  <si>
    <t>CHF 250/month</t>
  </si>
  <si>
    <t>Total estimated monthly benefit</t>
  </si>
  <si>
    <t>CHF 1’190/month</t>
  </si>
  <si>
    <t>If setup is CHF 3’500:</t>
  </si>
  <si>
    <t>Payback = 3500 / 1190 = approx. 3 months</t>
  </si>
  <si>
    <t>So for MG Red Shift I would write:</t>
  </si>
  <si>
    <t>This automation reduces manual inbox triage, separates local customer leads from out-of-scope foreign requests, logs relevant cases, and protects the company from inconsistent replies. A conservative ROI comes from saved handling time, fewer classification mistakes, and better retention of relevant commercial opportunities.</t>
  </si>
  <si>
    <t>For your pricing sheet, I’d place MG Red Shift as:</t>
  </si>
  <si>
    <t>Package: Basic+ AI Triage</t>
  </si>
  <si>
    <t>Setup: CHF 2’500 – 4’500</t>
  </si>
  <si>
    <t>Monthly: CHF 500 – 900</t>
  </si>
  <si>
    <t>Support model: Normal managed support</t>
  </si>
  <si>
    <t>If you add email + social media + draft approvals, then I’d move it to:</t>
  </si>
  <si>
    <t>Package: Pro Multi-Channel</t>
  </si>
  <si>
    <t>Setup: CHF 3’500 – 7’500+</t>
  </si>
  <si>
    <t>Monthly: CHF 750 – 1’500+</t>
  </si>
  <si>
    <t>MGREDSHIFT v4.0 vs Direct Email Intake Expansion</t>
  </si>
  <si>
    <t>Area</t>
  </si>
  <si>
    <t>Existing MGREDSHIFT v4.0</t>
  </si>
  <si>
    <t>Expansion for other clients</t>
  </si>
  <si>
    <t>Why it matters</t>
  </si>
  <si>
    <t>Input source</t>
  </si>
  <si>
    <t>Website contact form via webhook only.</t>
  </si>
  <si>
    <t>Add direct inbox trigger, e.g. Gmail/IMAP/Outlook “watch emails”.</t>
  </si>
  <si>
    <t>Counts as +1 intake channel/source.</t>
  </si>
  <si>
    <t>Direct emails do not use the website form structure and may never reach the existing webhook scenario.</t>
  </si>
  <si>
    <t>Message structure</t>
  </si>
  <si>
    <t>Structured form fields: name, email, phone, subject, message.</t>
  </si>
  <si>
    <t>Normalize unstructured email into the same internal fields: source_type, sender, subject, body, phone/WhatsApp, detected country.</t>
  </si>
  <si>
    <t>Small setup increase.</t>
  </si>
  <si>
    <t>Without normalization, the classifier receives inconsistent inputs and misses cases.</t>
  </si>
  <si>
    <t>Router / pre-branch</t>
  </si>
  <si>
    <t>Classifier runs after webhook input and router acts on LEAD / SEEKER / SPAM / TEST.</t>
  </si>
  <si>
    <t>Add small source router/pre-branch: website_form vs direct_email, then merge both into the same classification logic.</t>
  </si>
  <si>
    <t>Small to medium setup increase.</t>
  </si>
  <si>
    <t>Keeps one central classifier while allowing several input channels.</t>
  </si>
  <si>
    <t>Classification logic</t>
  </si>
  <si>
    <t>Good for website enquiries. Foreign distributor requests are handled when they arrive through the form.</t>
  </si>
  <si>
    <t>Add fallback terms for direct emails: India, Gujarat, +91, WhatsApp, distributor, reseller, agency, purchase in [country].</t>
  </si>
  <si>
    <t>Usually included in the add-on.</t>
  </si>
  <si>
    <t>Direct emails often use broken wording, so keyword fallback improves SEEKER detection.</t>
  </si>
  <si>
    <t>Deduplication</t>
  </si>
  <si>
    <t>Less critical when each form submission is unique.</t>
  </si>
  <si>
    <t>Use email message ID / thread ID / timestamp to avoid duplicated processing.</t>
  </si>
  <si>
    <t>Part of realistic business version.</t>
  </si>
  <si>
    <t>Inbox triggers can re-read, forward, or re-process messages if not controlled.</t>
  </si>
  <si>
    <t>Routing and logging</t>
  </si>
  <si>
    <t>Folder routing + Notion logging + manual review.</t>
  </si>
  <si>
    <t>Add email labels/folders, status logging, error route and optional reply draft path.</t>
  </si>
  <si>
    <t>Moves from simple branch to managed workflow.</t>
  </si>
  <si>
    <t>Client sees a reliable operational process, not only an AI classification.</t>
  </si>
  <si>
    <t>Recommended classification</t>
  </si>
  <si>
    <t>Basic+ AI Triage.</t>
  </si>
  <si>
    <t>Still Basic+ if one inbox and same logic; low Pro if multiple inboxes, email-specific drafts or social channels are added.</t>
  </si>
  <si>
    <t>Use change request if added later.</t>
  </si>
  <si>
    <t>Scope expansion changes responsibility, testing and support needs.</t>
  </si>
  <si>
    <t>Practical conclusion</t>
  </si>
  <si>
    <t>For MG Red Shift, modification may not be needed now because direct foreign requests can be handled manually.</t>
  </si>
  <si>
    <t>For client projects, direct email intake should be discussed in discovery and priced as an optional intake-source add-on.</t>
  </si>
  <si>
    <t>Default quote: CHF 900–1’500 setup + CHF 150–300/month.</t>
  </si>
  <si>
    <t>This protects against underpricing and makes scope boundaries clear.</t>
  </si>
  <si>
    <t>Pricing Calculator Audit</t>
  </si>
  <si>
    <t>Workbook</t>
  </si>
  <si>
    <t>AI_Automation_PM_Helper_Pricing_Calculator_v6_Streamlined_MJS_updated_email_intake.xlsx</t>
  </si>
  <si>
    <t>Audit focus</t>
  </si>
  <si>
    <t>Quote Calculator, C5 package + C6 support model, Build-and-Transfer pricing, workbook consistency</t>
  </si>
  <si>
    <t>Verdict</t>
  </si>
  <si>
    <t>Impact</t>
  </si>
  <si>
    <t>Recommended fix</t>
  </si>
  <si>
    <t>Priority</t>
  </si>
  <si>
    <t>Overall</t>
  </si>
  <si>
    <t>PARTLY OK</t>
  </si>
  <si>
    <t>Standard managed packages calculate logically for the current inputs.</t>
  </si>
  <si>
    <t>Usable for Basic/Pro/Managed quotes with care.</t>
  </si>
  <si>
    <t>Keep package selection and support model, but add stronger checks.</t>
  </si>
  <si>
    <t>C5 + C6 combination</t>
  </si>
  <si>
    <t>TECHNICALLY OK</t>
  </si>
  <si>
    <t>C5 drives base package via Package Reference; C6 drives support/setup multipliers via Complexity Reference.</t>
  </si>
  <si>
    <t>Combination works mathematically.</t>
  </si>
  <si>
    <t>Keep, but separate package/support/access model more clearly.</t>
  </si>
  <si>
    <t>FAIL</t>
  </si>
  <si>
    <t>Build-and-Transfer has base setup/monthly = 0 in Package Reference, so calculator can return 0 or too-low setup.</t>
  </si>
  <si>
    <t>Underpricing risk, especially if counts are not entered.</t>
  </si>
  <si>
    <t>Treat Build-and-Transfer as access/ownership model OR give it a non-zero base.</t>
  </si>
  <si>
    <t>Support multiplier logic</t>
  </si>
  <si>
    <t>WARN</t>
  </si>
  <si>
    <t>For Build-and-Transfer, Normal managed support uses setup multiplier 1.0, while No support uses 1.5, so 'normal support' can make setup cheaper than 'no support'.</t>
  </si>
  <si>
    <t>Commercially inconsistent.</t>
  </si>
  <si>
    <t>Move handover/setup multiplier to a separate access model field.</t>
  </si>
  <si>
    <t>Hard-coded adders</t>
  </si>
  <si>
    <t>Quote formulas C29:C32 use hard-coded adder amounts instead of reading Complexity Reference A:E.</t>
  </si>
  <si>
    <t>Changing reference prices will not update calculator.</t>
  </si>
  <si>
    <t>Use lookups / SUMPRODUCT against Complexity Reference.</t>
  </si>
  <si>
    <t>Dropdowns</t>
  </si>
  <si>
    <t>C5/C6 dropdowns are fixed text lists, not dynamic ranges from reference sheets.</t>
  </si>
  <si>
    <t>If reference names change, dropdowns can go stale.</t>
  </si>
  <si>
    <t>Use data validation references to Package Reference and Complexity Reference ranges.</t>
  </si>
  <si>
    <t>Example Quotes</t>
  </si>
  <si>
    <t>Example Build-and-Transfer quote is CHF 4'500–15'000 / 0–1'000 monthly, but calculator can output lower values.</t>
  </si>
  <si>
    <t>Inconsistent client guidance.</t>
  </si>
  <si>
    <t>Align reference, calculator and examples.</t>
  </si>
  <si>
    <t>ROI App</t>
  </si>
  <si>
    <t>NOTE</t>
  </si>
  <si>
    <t>ROI math is coherent, but setup/monthly costs are manual, not linked to Quote Calculator.</t>
  </si>
  <si>
    <t>Manual copy errors possible.</t>
  </si>
  <si>
    <t>Link ROI inputs to Quote Calculator cells or clearly mark as manual scenario input.</t>
  </si>
  <si>
    <t>Client Quote Summary</t>
  </si>
  <si>
    <t>Client summary is manual and not linked to calculator outputs.</t>
  </si>
  <si>
    <t>Manual quote-copy risk.</t>
  </si>
  <si>
    <t>Optional: formula-link key outputs.</t>
  </si>
  <si>
    <t>Pricing Logic tabs</t>
  </si>
  <si>
    <t>Direct Email Intake Branch pricing is documented but not connected to Quote Calculator.</t>
  </si>
  <si>
    <t>Email-intake scope can be missed or double-counted.</t>
  </si>
  <si>
    <t>Add an optional Direct Email Branch add-on or map it clearly to Extra Channel + Draft + Approval counts.</t>
  </si>
  <si>
    <t>Current Quote Calculator inputs</t>
  </si>
  <si>
    <t>Selected package (C5)</t>
  </si>
  <si>
    <t>Support model (C6)</t>
  </si>
  <si>
    <t>Extra channels count (C15)</t>
  </si>
  <si>
    <t>AI draft workflows count (C16)</t>
  </si>
  <si>
    <t>CRM integrations count (C17)</t>
  </si>
  <si>
    <t>Approval workflows count (C18)</t>
  </si>
  <si>
    <t>Reporting layer count (C19)</t>
  </si>
  <si>
    <t>Sensitive data multiplier (C20)</t>
  </si>
  <si>
    <t>Urgency multiplier (C21)</t>
  </si>
  <si>
    <t>Current calculated result</t>
  </si>
  <si>
    <t>Setup low</t>
  </si>
  <si>
    <t>Setup high</t>
  </si>
  <si>
    <t>Monthly low</t>
  </si>
  <si>
    <t>Monthly high</t>
  </si>
  <si>
    <t>Recommended</t>
  </si>
  <si>
    <t>Basic+ AI Triage + Normal managed support</t>
  </si>
  <si>
    <t>Setup 6800 / Monthly 1600</t>
  </si>
  <si>
    <t>Build-and-Transfer test with current counts</t>
  </si>
  <si>
    <t>Setup 6400 / Monthly 0</t>
  </si>
  <si>
    <t>Setup 6400 / Monthly 500</t>
  </si>
  <si>
    <t>Setup 4300 / Monthly 1100</t>
  </si>
  <si>
    <t>Setup 6400 / Monthly 1600</t>
  </si>
  <si>
    <t>Setup 8500 / Monthly 2100</t>
  </si>
  <si>
    <t>Setup 12800 / Monthly 3200</t>
  </si>
  <si>
    <t>Build-and-Transfer zero-count test</t>
  </si>
  <si>
    <t>Setup 0 / Monthly 0</t>
  </si>
  <si>
    <t>Practical recommendation</t>
  </si>
  <si>
    <t>Best structure</t>
  </si>
  <si>
    <t>Package = Basic/Basic+/Pro/Managed/Agentic. Access/ownership model = Managed service / Logic visibility / Limited admin / Client-owned / Build-and-transfer. Support model = No/Light/Normal/High/Premium/Critical.</t>
  </si>
  <si>
    <t>Minimum quick fix</t>
  </si>
  <si>
    <t>Set Build-and-Transfer base setup low/high to at least the Example Quotes range CHF 4'500–15'000, or remove it from C5 and handle it as an access multiplier.</t>
  </si>
  <si>
    <t>Commercial rule</t>
  </si>
  <si>
    <t>Build-and-Transfer should normally never be cheaper than the same automation as a managed build; it transfers more asset value and needs documentation/testing/handover.</t>
  </si>
  <si>
    <t>Build-and-Transfer Matrix</t>
  </si>
  <si>
    <t>Shows current formula outputs for Build-and-Transfer using the current Quote Calculator counts and using zero counts.</t>
  </si>
  <si>
    <t>Current counts: setup range</t>
  </si>
  <si>
    <t>Current counts: monthly range</t>
  </si>
  <si>
    <t>Current recommended</t>
  </si>
  <si>
    <t>Zero counts: setup range</t>
  </si>
  <si>
    <t>Zero counts: monthly range</t>
  </si>
  <si>
    <t>CHF 3'000 - 9'750</t>
  </si>
  <si>
    <t>CHF 0 - 0</t>
  </si>
  <si>
    <t>CHF 6'400 / CHF 0</t>
  </si>
  <si>
    <t>CHF 250 - 800</t>
  </si>
  <si>
    <t>CHF 6'400 / CHF 500</t>
  </si>
  <si>
    <t>CHF 2'000 - 6'500</t>
  </si>
  <si>
    <t>CHF 500 - 1'600</t>
  </si>
  <si>
    <t>CHF 4'300 / CHF 1'100</t>
  </si>
  <si>
    <t>CHF 750 - 2'400</t>
  </si>
  <si>
    <t>CHF 6'400 / CHF 1'600</t>
  </si>
  <si>
    <t>CHF 4'000 - 13'000</t>
  </si>
  <si>
    <t>CHF 1'000 - 3'200</t>
  </si>
  <si>
    <t>CHF 8'500 / CHF 2'100</t>
  </si>
  <si>
    <t>CHF 6'000 - 19'500</t>
  </si>
  <si>
    <t>CHF 1'500 - 4'800</t>
  </si>
  <si>
    <t>CHF 12'800 / CHF 3'200</t>
  </si>
  <si>
    <t>Conclusion</t>
  </si>
  <si>
    <t>Zero-count Build-and-Transfer returns CHF 0 setup/monthly across all support models because the package base is 0.</t>
  </si>
  <si>
    <t>With current counts, Normal managed support gives lower setup than No support because setup multipliers are attached to support model, not to access/ownership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</si>
</sst>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0" x14ac:knownFonts="1">
    <font>
      <sz val="11"/>
      <name val="Calibri"/>
      <charset val="1"/>
    </font>
    <font>
      <b/>
      <sz val="11"/>
      <color rgb="FFFFFFFF"/>
      <name val="Calibri"/>
      <family val="2"/>
      <charset val="1"/>
    </font>
    <font>
      <b/>
      <sz val="11"/>
      <name val="Calibri"/>
      <family val="2"/>
      <charset val="1"/>
    </font>
    <font>
      <b/>
      <sz val="12"/>
      <color rgb="FFFFFFFF"/>
      <name val="Calibri"/>
      <family val="2"/>
    </font>
    <font>
      <b/>
      <sz val="11"/>
      <color rgb="FFFFFFFF"/>
      <name val="Calibri"/>
      <family val="2"/>
    </font>
    <font>
      <sz val="11"/>
      <color rgb="FF000000"/>
      <name val="Calibri"/>
      <family val="2"/>
    </font>
    <font>
      <i/>
      <sz val="11"/>
      <color rgb="FF808080"/>
      <name val="Cambria"/>
      <family val="1"/>
      <charset val="1"/>
    </font>
    <font>
      <sz val="11"/>
      <name val="Cambria"/>
      <family val="1"/>
      <charset val="1"/>
    </font>
    <font>
      <b/>
      <sz val="11"/>
      <color rgb="FFFFFFFF"/>
      <name val="Cambria"/>
      <family val="1"/>
      <charset val="1"/>
    </font>
    <font>
      <b/>
      <sz val="11"/>
      <name val="Cambria"/>
      <family val="1"/>
      <charset val="1"/>
    </font>
    <font>
      <sz val="11"/>
      <color theme="0"/>
      <name val="Cambria"/>
      <family val="1"/>
      <charset val="1"/>
    </font>
    <font>
      <i/>
      <sz val="11"/>
      <name val="Cambria"/>
      <family val="1"/>
      <charset val="1"/>
    </font>
    <font>
      <b/>
      <sz val="11"/>
      <color rgb="FFFF0000"/>
      <name val="Cambria"/>
      <family val="1"/>
      <charset val="1"/>
    </font>
    <font>
      <sz val="11"/>
      <name val="Segoe UI"/>
      <charset val="1"/>
    </font>
    <font>
      <b/>
      <sz val="16"/>
      <color rgb="FFFFFFFF"/>
      <name val="Segoe UI"/>
      <charset val="1"/>
    </font>
    <font>
      <b/>
      <sz val="11"/>
      <color rgb="FFFFFFFF"/>
      <name val="Segoe UI"/>
      <charset val="1"/>
    </font>
    <font>
      <b/>
      <sz val="12"/>
      <color rgb="FF1F2937"/>
      <name val="Segoe UI"/>
      <charset val="1"/>
    </font>
    <font>
      <b/>
      <sz val="11"/>
      <name val="Segoe UI"/>
      <charset val="1"/>
    </font>
    <font>
      <b/>
      <sz val="11"/>
      <color rgb="FF4B5563"/>
      <name val="Segoe UI"/>
      <charset val="1"/>
    </font>
    <font>
      <sz val="11"/>
      <color rgb="FF374151"/>
      <name val="Segoe UI"/>
      <charset val="1"/>
    </font>
    <font>
      <sz val="11"/>
      <color rgb="FF4B5563"/>
      <name val="Segoe UI"/>
      <charset val="1"/>
    </font>
    <font>
      <b/>
      <sz val="11"/>
      <color rgb="FFFF0000"/>
      <name val="Segoe UI"/>
      <charset val="1"/>
    </font>
    <font>
      <sz val="11"/>
      <color rgb="FFB91C1C"/>
      <name val="Segoe UI"/>
      <charset val="1"/>
    </font>
    <font>
      <b/>
      <sz val="12"/>
      <color rgb="FF374151"/>
      <name val="Segoe UI"/>
      <charset val="1"/>
    </font>
    <font>
      <b/>
      <sz val="12"/>
      <color rgb="FFFFFFFF"/>
      <name val="Segoe UI"/>
      <charset val="1"/>
    </font>
    <font>
      <b/>
      <sz val="11"/>
      <color rgb="FF000000"/>
      <name val="Calibri"/>
      <family val="2"/>
    </font>
    <font>
      <i/>
      <sz val="11"/>
      <color rgb="FF000000"/>
      <name val="Calibri"/>
      <family val="2"/>
    </font>
    <font>
      <i/>
      <sz val="10"/>
      <color rgb="FF374151"/>
      <name val="Calibri"/>
      <family val="2"/>
    </font>
    <font>
      <i/>
      <sz val="11"/>
      <name val="Calibri"/>
      <family val="2"/>
    </font>
    <font>
      <b/>
      <sz val="18"/>
      <name val="Calibri"/>
      <family val="2"/>
      <charset val="1"/>
    </font>
    <font>
      <b/>
      <sz val="13"/>
      <name val="Calibri"/>
      <family val="2"/>
      <charset val="1"/>
    </font>
    <font>
      <b/>
      <sz val="12"/>
      <color rgb="FFFFFFFF"/>
      <name val="Calibri"/>
      <family val="2"/>
      <charset val="1"/>
    </font>
    <font>
      <b/>
      <sz val="11"/>
      <color rgb="FF000000"/>
      <name val="Calibri"/>
      <family val="2"/>
      <charset val="1"/>
    </font>
    <font>
      <sz val="11"/>
      <color rgb="FF000000"/>
      <name val="Calibri"/>
      <family val="2"/>
      <charset val="1"/>
    </font>
    <font>
      <sz val="11"/>
      <name val="Calibri"/>
      <family val="2"/>
      <charset val="1"/>
    </font>
    <font>
      <sz val="11"/>
      <color rgb="FFFF0000"/>
      <name val="Calibri"/>
      <family val="2"/>
      <charset val="1"/>
    </font>
    <font>
      <sz val="10"/>
      <name val="Arial Unicode MS"/>
      <family val="2"/>
      <charset val="1"/>
    </font>
    <font>
      <sz val="13"/>
      <name val="Calibri"/>
      <family val="2"/>
      <charset val="1"/>
    </font>
    <font>
      <b/>
      <sz val="13"/>
      <color rgb="FFFF0000"/>
      <name val="Calibri"/>
      <family val="2"/>
      <charset val="1"/>
    </font>
    <font>
      <sz val="11"/>
      <color theme="0"/>
      <name val="Calibri"/>
      <family val="2"/>
      <charset val="1"/>
    </font>
  </fonts>
  <fills count="27">
    <fill>
      <patternFill patternType="none"/>
    </fill>
    <fill>
      <patternFill patternType="gray125"/>
    </fill>
    <fill>
      <patternFill patternType="solid">
        <fgColor rgb="FF1E293B"/>
        <bgColor rgb="FF1F2937"/>
      </patternFill>
    </fill>
    <fill>
      <patternFill patternType="solid">
        <fgColor rgb="FFF1F5F9"/>
        <bgColor rgb="FFF3F4F6"/>
      </patternFill>
    </fill>
    <fill>
      <patternFill patternType="solid">
        <fgColor rgb="FFFEF3C7"/>
        <bgColor rgb="FFFFF2CC"/>
      </patternFill>
    </fill>
    <fill>
      <patternFill patternType="solid">
        <fgColor rgb="FF0F766E"/>
        <bgColor rgb="FF008080"/>
      </patternFill>
    </fill>
    <fill>
      <patternFill patternType="solid">
        <fgColor theme="6" tint="0.59959715567491678"/>
        <bgColor rgb="FFA6CAEC"/>
      </patternFill>
    </fill>
    <fill>
      <patternFill patternType="solid">
        <fgColor rgb="FFFFFF00"/>
        <bgColor rgb="FFFFC000"/>
      </patternFill>
    </fill>
    <fill>
      <patternFill patternType="solid">
        <fgColor theme="3" tint="0.74959562974944305"/>
        <bgColor rgb="FFD9EAF7"/>
      </patternFill>
    </fill>
    <fill>
      <patternFill patternType="solid">
        <fgColor rgb="FFFFC000"/>
        <bgColor rgb="FFFF9900"/>
      </patternFill>
    </fill>
    <fill>
      <patternFill patternType="solid">
        <fgColor rgb="FFFF0000"/>
        <bgColor rgb="FFC00000"/>
      </patternFill>
    </fill>
    <fill>
      <patternFill patternType="solid">
        <fgColor rgb="FFDBEAFE"/>
        <bgColor rgb="FFD9EAF7"/>
      </patternFill>
    </fill>
    <fill>
      <patternFill patternType="solid">
        <fgColor rgb="FFC00000"/>
        <bgColor rgb="FFB91C1C"/>
      </patternFill>
    </fill>
    <fill>
      <patternFill patternType="solid">
        <fgColor rgb="FFE0F2FE"/>
        <bgColor rgb="FFDBEAFE"/>
      </patternFill>
    </fill>
    <fill>
      <patternFill patternType="solid">
        <fgColor rgb="FFFFF2CC"/>
        <bgColor rgb="FFFEF3C7"/>
      </patternFill>
    </fill>
    <fill>
      <patternFill patternType="solid">
        <fgColor rgb="FFE7E6E6"/>
        <bgColor rgb="FFE5E7EB"/>
      </patternFill>
    </fill>
    <fill>
      <patternFill patternType="solid">
        <fgColor rgb="FFD9EAF7"/>
        <bgColor rgb="FFDBEAFE"/>
      </patternFill>
    </fill>
    <fill>
      <patternFill patternType="solid">
        <fgColor rgb="FFF3F4F6"/>
        <bgColor rgb="FFF1F5F9"/>
      </patternFill>
    </fill>
    <fill>
      <patternFill patternType="solid">
        <fgColor rgb="FF2563EB"/>
        <bgColor rgb="FF0070C0"/>
      </patternFill>
    </fill>
    <fill>
      <patternFill patternType="solid">
        <fgColor rgb="FFE5E7EB"/>
        <bgColor rgb="FFE7E6E6"/>
      </patternFill>
    </fill>
    <fill>
      <patternFill patternType="solid">
        <fgColor theme="0" tint="-4.9989318521683403E-2"/>
        <bgColor rgb="FFF3F4F6"/>
      </patternFill>
    </fill>
    <fill>
      <patternFill patternType="solid">
        <fgColor rgb="FFFFFFFF"/>
        <bgColor rgb="FFF1F5F9"/>
      </patternFill>
    </fill>
    <fill>
      <patternFill patternType="solid">
        <fgColor rgb="FF10B981"/>
        <bgColor rgb="FF008080"/>
      </patternFill>
    </fill>
    <fill>
      <patternFill patternType="solid">
        <fgColor rgb="FFFEF9C3"/>
        <bgColor rgb="FFFEF3C7"/>
      </patternFill>
    </fill>
    <fill>
      <patternFill patternType="solid">
        <fgColor rgb="FF1F4E78"/>
        <bgColor rgb="FF374151"/>
      </patternFill>
    </fill>
    <fill>
      <patternFill patternType="solid">
        <fgColor rgb="FF111827"/>
        <bgColor rgb="FF1F2937"/>
      </patternFill>
    </fill>
    <fill>
      <patternFill patternType="solid">
        <fgColor rgb="FF374151"/>
        <bgColor rgb="FF4B5563"/>
      </patternFill>
    </fill>
  </fills>
  <borders count="1">
    <border>
      <left/>
      <right/>
      <top/>
      <bottom/>
      <diagonal/>
    </border>
  </borders>
  <cellStyleXfs count="1">
    <xf numFmtId="0" fontId="0" fillId="0" borderId="0"/>
  </cellStyleXfs>
  <cellXfs count="105">
    <xf numFmtId="0" fontId="0" fillId="0" borderId="0" xfId="0"/>
    <xf numFmtId="0" fontId="1" fillId="25" borderId="0" xfId="0" applyFont="1" applyFill="1" applyAlignment="1">
      <alignment horizontal="center" wrapText="1"/>
    </xf>
    <xf numFmtId="0" fontId="1" fillId="25" borderId="0" xfId="0" applyFont="1" applyFill="1" applyAlignment="1">
      <alignment horizontal="center" vertical="top" wrapText="1"/>
    </xf>
    <xf numFmtId="0" fontId="28" fillId="19" borderId="0" xfId="0" applyFont="1" applyFill="1" applyAlignment="1">
      <alignment horizontal="left" vertical="center" wrapText="1"/>
    </xf>
    <xf numFmtId="0" fontId="27" fillId="23" borderId="0" xfId="0" applyFont="1" applyFill="1" applyAlignment="1">
      <alignment horizontal="left" vertical="center" wrapText="1"/>
    </xf>
    <xf numFmtId="0" fontId="25" fillId="19" borderId="0" xfId="0" applyFont="1" applyFill="1" applyAlignment="1">
      <alignment horizontal="left" vertical="center" wrapText="1"/>
    </xf>
    <xf numFmtId="0" fontId="16" fillId="19" borderId="0" xfId="0" applyFont="1" applyFill="1" applyAlignment="1">
      <alignment horizontal="left" vertical="center"/>
    </xf>
    <xf numFmtId="0" fontId="14" fillId="18" borderId="0" xfId="0" applyFont="1" applyFill="1" applyAlignment="1">
      <alignment vertical="center"/>
    </xf>
    <xf numFmtId="0" fontId="1" fillId="2" borderId="0" xfId="0" applyFont="1" applyFill="1" applyAlignment="1">
      <alignment horizontal="left" vertical="center" wrapText="1"/>
    </xf>
    <xf numFmtId="0" fontId="3" fillId="2" borderId="0" xfId="0" applyFont="1" applyFill="1" applyAlignment="1">
      <alignment horizontal="left" vertical="center" wrapText="1"/>
    </xf>
    <xf numFmtId="0" fontId="1" fillId="2" borderId="0" xfId="0" applyFont="1" applyFill="1" applyAlignment="1">
      <alignment horizontal="left" vertical="center"/>
    </xf>
    <xf numFmtId="0" fontId="2" fillId="3" borderId="0" xfId="0" applyFont="1" applyFill="1" applyAlignment="1">
      <alignment horizontal="left" vertical="top"/>
    </xf>
    <xf numFmtId="0" fontId="0" fillId="0" borderId="0" xfId="0" applyAlignment="1">
      <alignment horizontal="left" vertical="top"/>
    </xf>
    <xf numFmtId="0" fontId="2" fillId="4" borderId="0" xfId="0" applyFont="1" applyFill="1"/>
    <xf numFmtId="0" fontId="2" fillId="4" borderId="0" xfId="0" applyFont="1" applyFill="1" applyAlignment="1">
      <alignment wrapText="1"/>
    </xf>
    <xf numFmtId="0" fontId="1" fillId="5" borderId="0" xfId="0" applyFont="1" applyFill="1" applyAlignment="1">
      <alignment horizontal="center" vertical="center" wrapText="1"/>
    </xf>
    <xf numFmtId="0" fontId="4" fillId="5" borderId="0" xfId="0" applyFont="1" applyFill="1" applyAlignment="1">
      <alignment horizontal="left" vertical="top" wrapText="1"/>
    </xf>
    <xf numFmtId="0" fontId="0" fillId="4" borderId="0" xfId="0" applyFill="1" applyAlignment="1">
      <alignment vertical="top" wrapText="1"/>
    </xf>
    <xf numFmtId="0" fontId="0" fillId="0" borderId="0" xfId="0" applyAlignment="1">
      <alignment horizontal="left" vertical="top" wrapText="1"/>
    </xf>
    <xf numFmtId="0" fontId="6" fillId="4" borderId="0" xfId="0" applyFont="1" applyFill="1" applyAlignment="1">
      <alignment vertical="top" wrapText="1"/>
    </xf>
    <xf numFmtId="0" fontId="0" fillId="4" borderId="0" xfId="0" applyFill="1"/>
    <xf numFmtId="2" fontId="0" fillId="4" borderId="0" xfId="0" applyNumberFormat="1" applyFill="1"/>
    <xf numFmtId="2" fontId="0" fillId="0" borderId="0" xfId="0" applyNumberFormat="1"/>
    <xf numFmtId="0" fontId="7" fillId="0" borderId="0" xfId="0" applyFont="1"/>
    <xf numFmtId="0" fontId="8" fillId="2" borderId="0" xfId="0" applyFont="1" applyFill="1" applyAlignment="1">
      <alignment horizontal="left" vertical="center"/>
    </xf>
    <xf numFmtId="0" fontId="8" fillId="5" borderId="0" xfId="0" applyFont="1" applyFill="1" applyAlignment="1">
      <alignment horizontal="center" vertical="center"/>
    </xf>
    <xf numFmtId="0" fontId="7" fillId="0" borderId="0" xfId="0" applyFont="1" applyAlignment="1">
      <alignment horizontal="center" vertical="center"/>
    </xf>
    <xf numFmtId="0" fontId="7" fillId="5" borderId="0" xfId="0" applyFont="1" applyFill="1" applyAlignment="1">
      <alignment horizontal="center" vertical="center"/>
    </xf>
    <xf numFmtId="0" fontId="8" fillId="5" borderId="0" xfId="0" applyFont="1" applyFill="1" applyAlignment="1">
      <alignment horizontal="left" vertical="center"/>
    </xf>
    <xf numFmtId="0" fontId="9" fillId="0" borderId="0" xfId="0" applyFont="1"/>
    <xf numFmtId="0" fontId="7" fillId="4" borderId="0" xfId="0" applyFont="1" applyFill="1"/>
    <xf numFmtId="0" fontId="9" fillId="3" borderId="0" xfId="0" applyFont="1" applyFill="1"/>
    <xf numFmtId="0" fontId="7" fillId="3" borderId="0" xfId="0" applyFont="1" applyFill="1"/>
    <xf numFmtId="0" fontId="7" fillId="6" borderId="0" xfId="0" applyFont="1" applyFill="1"/>
    <xf numFmtId="0" fontId="7" fillId="7" borderId="0" xfId="0" applyFont="1" applyFill="1"/>
    <xf numFmtId="0" fontId="7" fillId="8" borderId="0" xfId="0" applyFont="1" applyFill="1"/>
    <xf numFmtId="0" fontId="7" fillId="9" borderId="0" xfId="0" applyFont="1" applyFill="1"/>
    <xf numFmtId="0" fontId="10" fillId="10" borderId="0" xfId="0" applyFont="1" applyFill="1"/>
    <xf numFmtId="0" fontId="7" fillId="11" borderId="0" xfId="0" applyFont="1" applyFill="1"/>
    <xf numFmtId="0" fontId="10" fillId="12" borderId="0" xfId="0" applyFont="1" applyFill="1"/>
    <xf numFmtId="0" fontId="5" fillId="3" borderId="0" xfId="0" applyFont="1" applyFill="1" applyAlignment="1">
      <alignment horizontal="left" vertical="top" wrapText="1"/>
    </xf>
    <xf numFmtId="0" fontId="7" fillId="0" borderId="0" xfId="0" applyFont="1" applyAlignment="1">
      <alignment horizontal="left"/>
    </xf>
    <xf numFmtId="0" fontId="9" fillId="4" borderId="0" xfId="0" applyFont="1" applyFill="1"/>
    <xf numFmtId="0" fontId="9" fillId="0" borderId="0" xfId="0" applyFont="1" applyAlignment="1">
      <alignment horizontal="left"/>
    </xf>
    <xf numFmtId="0" fontId="9" fillId="13" borderId="0" xfId="0" applyFont="1" applyFill="1"/>
    <xf numFmtId="0" fontId="9" fillId="14" borderId="0" xfId="0" applyFont="1" applyFill="1"/>
    <xf numFmtId="0" fontId="9" fillId="15" borderId="0" xfId="0" applyFont="1" applyFill="1"/>
    <xf numFmtId="0" fontId="7" fillId="15" borderId="0" xfId="0" applyFont="1" applyFill="1"/>
    <xf numFmtId="0" fontId="9" fillId="16" borderId="0" xfId="0" applyFont="1" applyFill="1" applyAlignment="1">
      <alignment horizontal="right"/>
    </xf>
    <xf numFmtId="0" fontId="11" fillId="0" borderId="0" xfId="0" applyFont="1"/>
    <xf numFmtId="0" fontId="12" fillId="3" borderId="0" xfId="0" applyFont="1" applyFill="1"/>
    <xf numFmtId="0" fontId="12" fillId="0" borderId="0" xfId="0" applyFont="1"/>
    <xf numFmtId="0" fontId="13" fillId="0" borderId="0" xfId="0" applyFont="1"/>
    <xf numFmtId="0" fontId="13" fillId="17" borderId="0" xfId="0" applyFont="1" applyFill="1"/>
    <xf numFmtId="0" fontId="15" fillId="5" borderId="0" xfId="0" applyFont="1" applyFill="1" applyAlignment="1">
      <alignment horizontal="left" vertical="center"/>
    </xf>
    <xf numFmtId="0" fontId="17" fillId="20" borderId="0" xfId="0" applyFont="1" applyFill="1"/>
    <xf numFmtId="0" fontId="13" fillId="20" borderId="0" xfId="0" applyFont="1" applyFill="1"/>
    <xf numFmtId="0" fontId="18" fillId="21" borderId="0" xfId="0" applyFont="1" applyFill="1" applyAlignment="1">
      <alignment horizontal="left" vertical="center"/>
    </xf>
    <xf numFmtId="0" fontId="13" fillId="21" borderId="0" xfId="0" applyFont="1" applyFill="1"/>
    <xf numFmtId="0" fontId="19" fillId="21" borderId="0" xfId="0" applyFont="1" applyFill="1" applyAlignment="1">
      <alignment horizontal="left" vertical="center"/>
    </xf>
    <xf numFmtId="3" fontId="19" fillId="4" borderId="0" xfId="0" applyNumberFormat="1" applyFont="1" applyFill="1" applyAlignment="1">
      <alignment horizontal="right" vertical="center"/>
    </xf>
    <xf numFmtId="0" fontId="20" fillId="21" borderId="0" xfId="0" applyFont="1" applyFill="1" applyAlignment="1">
      <alignment horizontal="left" vertical="center"/>
    </xf>
    <xf numFmtId="3" fontId="19" fillId="11" borderId="0" xfId="0" applyNumberFormat="1" applyFont="1" applyFill="1" applyAlignment="1">
      <alignment horizontal="right" vertical="center"/>
    </xf>
    <xf numFmtId="3" fontId="21" fillId="13" borderId="0" xfId="0" applyNumberFormat="1" applyFont="1" applyFill="1" applyAlignment="1">
      <alignment horizontal="right" vertical="center"/>
    </xf>
    <xf numFmtId="3" fontId="22" fillId="11" borderId="0" xfId="0" applyNumberFormat="1" applyFont="1" applyFill="1" applyAlignment="1">
      <alignment horizontal="right" vertical="center"/>
    </xf>
    <xf numFmtId="3" fontId="23" fillId="13" borderId="0" xfId="0" applyNumberFormat="1" applyFont="1" applyFill="1" applyAlignment="1">
      <alignment horizontal="right" vertical="center"/>
    </xf>
    <xf numFmtId="3" fontId="24" fillId="22" borderId="0" xfId="0" applyNumberFormat="1" applyFont="1" applyFill="1" applyAlignment="1">
      <alignment horizontal="right" vertical="center"/>
    </xf>
    <xf numFmtId="0" fontId="5" fillId="21" borderId="0" xfId="0" applyFont="1" applyFill="1" applyAlignment="1">
      <alignment horizontal="left" vertical="center" wrapText="1"/>
    </xf>
    <xf numFmtId="0" fontId="5" fillId="11" borderId="0" xfId="0" applyFont="1" applyFill="1" applyAlignment="1">
      <alignment horizontal="left" vertical="center" wrapText="1"/>
    </xf>
    <xf numFmtId="164" fontId="24" fillId="22" borderId="0" xfId="0" applyNumberFormat="1" applyFont="1" applyFill="1" applyAlignment="1">
      <alignment horizontal="right" vertical="center"/>
    </xf>
    <xf numFmtId="9" fontId="5" fillId="11" borderId="0" xfId="0" applyNumberFormat="1" applyFont="1" applyFill="1" applyAlignment="1">
      <alignment horizontal="left" vertical="center" wrapText="1"/>
    </xf>
    <xf numFmtId="9" fontId="0" fillId="22" borderId="0" xfId="0" applyNumberFormat="1" applyFill="1" applyAlignment="1">
      <alignment horizontal="left" vertical="center" wrapText="1"/>
    </xf>
    <xf numFmtId="9" fontId="5" fillId="22" borderId="0" xfId="0" applyNumberFormat="1" applyFont="1" applyFill="1" applyAlignment="1">
      <alignment horizontal="left" vertical="center" wrapText="1"/>
    </xf>
    <xf numFmtId="3" fontId="5" fillId="22" borderId="0" xfId="0" applyNumberFormat="1" applyFont="1" applyFill="1" applyAlignment="1">
      <alignment horizontal="left" vertical="center" wrapText="1"/>
    </xf>
    <xf numFmtId="0" fontId="26" fillId="19" borderId="0" xfId="0" applyFont="1" applyFill="1" applyAlignment="1">
      <alignment horizontal="left" vertical="center" wrapText="1"/>
    </xf>
    <xf numFmtId="3" fontId="5" fillId="4" borderId="0" xfId="0" applyNumberFormat="1" applyFont="1" applyFill="1" applyAlignment="1">
      <alignment horizontal="left" vertical="center" wrapText="1"/>
    </xf>
    <xf numFmtId="3" fontId="5" fillId="11" borderId="0" xfId="0" applyNumberFormat="1" applyFont="1" applyFill="1" applyAlignment="1">
      <alignment horizontal="left" vertical="center" wrapText="1"/>
    </xf>
    <xf numFmtId="0" fontId="2" fillId="3" borderId="0" xfId="0" applyFont="1" applyFill="1"/>
    <xf numFmtId="0" fontId="29" fillId="0" borderId="0" xfId="0" applyFont="1"/>
    <xf numFmtId="0" fontId="30" fillId="0" borderId="0" xfId="0" applyFont="1"/>
    <xf numFmtId="0" fontId="2" fillId="0" borderId="0" xfId="0" applyFont="1"/>
    <xf numFmtId="0" fontId="31" fillId="24" borderId="0" xfId="0" applyFont="1" applyFill="1" applyAlignment="1">
      <alignment horizontal="left" vertical="center"/>
    </xf>
    <xf numFmtId="0" fontId="32" fillId="16" borderId="0" xfId="0" applyFont="1" applyFill="1" applyAlignment="1">
      <alignment horizontal="center" vertical="center" wrapText="1"/>
    </xf>
    <xf numFmtId="0" fontId="33" fillId="14" borderId="0" xfId="0" applyFont="1" applyFill="1" applyAlignment="1">
      <alignment horizontal="left" vertical="top" wrapText="1"/>
    </xf>
    <xf numFmtId="0" fontId="34" fillId="0" borderId="0" xfId="0" applyFont="1"/>
    <xf numFmtId="0" fontId="35" fillId="0" borderId="0" xfId="0" applyFont="1"/>
    <xf numFmtId="0" fontId="35" fillId="0" borderId="0" xfId="0" applyFont="1" applyAlignment="1">
      <alignment horizontal="left"/>
    </xf>
    <xf numFmtId="0" fontId="36" fillId="0" borderId="0" xfId="0" applyFont="1"/>
    <xf numFmtId="0" fontId="37" fillId="0" borderId="0" xfId="0" applyFont="1"/>
    <xf numFmtId="0" fontId="38" fillId="0" borderId="0" xfId="0" applyFont="1"/>
    <xf numFmtId="0" fontId="0" fillId="6" borderId="0" xfId="0" applyFill="1"/>
    <xf numFmtId="0" fontId="0" fillId="8" borderId="0" xfId="0" applyFill="1"/>
    <xf numFmtId="0" fontId="0" fillId="7" borderId="0" xfId="0" applyFill="1"/>
    <xf numFmtId="0" fontId="0" fillId="9" borderId="0" xfId="0" applyFill="1"/>
    <xf numFmtId="0" fontId="39" fillId="10" borderId="0" xfId="0" applyFont="1" applyFill="1"/>
    <xf numFmtId="0" fontId="0" fillId="0" borderId="0" xfId="0" applyAlignment="1">
      <alignment vertical="top"/>
    </xf>
    <xf numFmtId="0" fontId="0" fillId="0" borderId="0" xfId="0" applyAlignment="1">
      <alignment vertical="top" wrapText="1"/>
    </xf>
    <xf numFmtId="0" fontId="1" fillId="26" borderId="0" xfId="0" applyFont="1" applyFill="1" applyAlignment="1">
      <alignment vertical="top" wrapText="1"/>
    </xf>
    <xf numFmtId="0" fontId="2" fillId="19" borderId="0" xfId="0" applyFont="1" applyFill="1" applyAlignment="1">
      <alignment vertical="top" wrapText="1"/>
    </xf>
    <xf numFmtId="3" fontId="2" fillId="19" borderId="0" xfId="0" applyNumberFormat="1" applyFont="1" applyFill="1" applyAlignment="1">
      <alignment vertical="top" wrapText="1"/>
    </xf>
    <xf numFmtId="3" fontId="0" fillId="0" borderId="0" xfId="0" applyNumberFormat="1" applyAlignment="1">
      <alignment vertical="top" wrapText="1"/>
    </xf>
    <xf numFmtId="0" fontId="2" fillId="19" borderId="0" xfId="0" applyFont="1" applyFill="1" applyAlignment="1">
      <alignment vertical="top"/>
    </xf>
    <xf numFmtId="3" fontId="0" fillId="0" borderId="0" xfId="0" applyNumberFormat="1" applyAlignment="1">
      <alignment vertical="top"/>
    </xf>
    <xf numFmtId="0" fontId="0" fillId="0" borderId="0" xfId="0" applyAlignment="1">
      <alignment wrapText="1"/>
    </xf>
    <xf numFmtId="0" fontId="1" fillId="26" borderId="0" xfId="0" applyFont="1" applyFill="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F766E"/>
      <rgbColor rgb="FFE7E6E6"/>
      <rgbColor rgb="FF808080"/>
      <rgbColor rgb="FF4E95D9"/>
      <rgbColor rgb="FF993366"/>
      <rgbColor rgb="FFFEF9C3"/>
      <rgbColor rgb="FFE0F2FE"/>
      <rgbColor rgb="FF660066"/>
      <rgbColor rgb="FFFF8080"/>
      <rgbColor rgb="FF0070C0"/>
      <rgbColor rgb="FFDBEAFE"/>
      <rgbColor rgb="FF000080"/>
      <rgbColor rgb="FFFF00FF"/>
      <rgbColor rgb="FFF1F5F9"/>
      <rgbColor rgb="FF00FFFF"/>
      <rgbColor rgb="FF800080"/>
      <rgbColor rgb="FF800000"/>
      <rgbColor rgb="FF008080"/>
      <rgbColor rgb="FF0000FF"/>
      <rgbColor rgb="FF00CCFF"/>
      <rgbColor rgb="FFD9EAF7"/>
      <rgbColor rgb="FFE5E7EB"/>
      <rgbColor rgb="FFFEF3C7"/>
      <rgbColor rgb="FFA6CAEC"/>
      <rgbColor rgb="FFF2F2F2"/>
      <rgbColor rgb="FFF3F4F6"/>
      <rgbColor rgb="FFFFF2CC"/>
      <rgbColor rgb="FF2563EB"/>
      <rgbColor rgb="FF84E291"/>
      <rgbColor rgb="FF99CC00"/>
      <rgbColor rgb="FFFFC000"/>
      <rgbColor rgb="FFFF9900"/>
      <rgbColor rgb="FFFF6600"/>
      <rgbColor rgb="FF4B5563"/>
      <rgbColor rgb="FF969696"/>
      <rgbColor rgb="FF1E293B"/>
      <rgbColor rgb="FF10B981"/>
      <rgbColor rgb="FF111827"/>
      <rgbColor rgb="FF374151"/>
      <rgbColor rgb="FFB91C1C"/>
      <rgbColor rgb="FF993366"/>
      <rgbColor rgb="FF1F4E78"/>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10440</xdr:colOff>
      <xdr:row>126</xdr:row>
      <xdr:rowOff>10440</xdr:rowOff>
    </xdr:from>
    <xdr:to>
      <xdr:col>7</xdr:col>
      <xdr:colOff>495720</xdr:colOff>
      <xdr:row>152</xdr:row>
      <xdr:rowOff>9000</xdr:rowOff>
    </xdr:to>
    <xdr:pic>
      <xdr:nvPicPr>
        <xdr:cNvPr id="2" name="Graphic 2">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a:stretch/>
      </xdr:blipFill>
      <xdr:spPr>
        <a:xfrm>
          <a:off x="7081200" y="30776040"/>
          <a:ext cx="6017400" cy="4951800"/>
        </a:xfrm>
        <a:prstGeom prst="rect">
          <a:avLst/>
        </a:prstGeom>
        <a:ln w="0">
          <a:noFill/>
        </a:ln>
      </xdr:spPr>
    </xdr:pic>
    <xdr:clientData/>
  </xdr:twoCellAnchor>
  <xdr:twoCellAnchor editAs="oneCell">
    <xdr:from>
      <xdr:col>1</xdr:col>
      <xdr:colOff>10440</xdr:colOff>
      <xdr:row>126</xdr:row>
      <xdr:rowOff>10440</xdr:rowOff>
    </xdr:from>
    <xdr:to>
      <xdr:col>3</xdr:col>
      <xdr:colOff>2256840</xdr:colOff>
      <xdr:row>172</xdr:row>
      <xdr:rowOff>9000</xdr:rowOff>
    </xdr:to>
    <xdr:pic>
      <xdr:nvPicPr>
        <xdr:cNvPr id="3" name="Graphic 4">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2"/>
        <a:stretch/>
      </xdr:blipFill>
      <xdr:spPr>
        <a:xfrm>
          <a:off x="632880" y="30776040"/>
          <a:ext cx="6239880" cy="8761680"/>
        </a:xfrm>
        <a:prstGeom prst="rect">
          <a:avLst/>
        </a:prstGeom>
        <a:ln w="0">
          <a:noFill/>
        </a:ln>
      </xdr:spPr>
    </xdr:pic>
    <xdr:clientData/>
  </xdr:twoCellAnchor>
</xdr:wsDr>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
  <sheetViews>
    <sheetView tabSelected="1" zoomScale="120" zoomScaleNormal="120" workbookViewId="0">
      <selection activeCell="A2" sqref="A2"/>
    </sheetView>
  </sheetViews>
  <sheetFormatPr baseColWidth="10" defaultColWidth="8.83203125" defaultRowHeight="15" x14ac:dyDescent="0.2"/>
  <cols>
    <col min="1" max="1" width="24" customWidth="1"/>
    <col min="2" max="8" width="22" customWidth="1"/>
  </cols>
  <sheetData>
    <row r="1" spans="1:8" ht="60.75" customHeight="1" x14ac:dyDescent="0.2">
      <c r="A1" s="10" t="s">
        <v>0</v>
      </c>
      <c r="B1" s="10"/>
      <c r="C1" s="10"/>
      <c r="D1" s="10"/>
      <c r="E1" s="10"/>
      <c r="F1" s="10"/>
      <c r="G1" s="10"/>
      <c r="H1" s="10"/>
    </row>
    <row r="3" spans="1:8" ht="21" customHeight="1" x14ac:dyDescent="0.2">
      <c r="A3" s="11" t="s">
        <v>1</v>
      </c>
      <c r="B3" s="12" t="s">
        <v>2</v>
      </c>
    </row>
    <row r="4" spans="1:8" ht="21" customHeight="1" x14ac:dyDescent="0.2">
      <c r="A4" s="11" t="s">
        <v>3</v>
      </c>
      <c r="B4" s="12" t="s">
        <v>4</v>
      </c>
    </row>
    <row r="5" spans="1:8" ht="21" customHeight="1" x14ac:dyDescent="0.2">
      <c r="A5" s="11" t="s">
        <v>5</v>
      </c>
      <c r="B5" s="12" t="s">
        <v>6</v>
      </c>
    </row>
    <row r="6" spans="1:8" ht="21" customHeight="1" x14ac:dyDescent="0.2">
      <c r="A6" s="11" t="s">
        <v>7</v>
      </c>
      <c r="B6" s="12" t="s">
        <v>8</v>
      </c>
    </row>
    <row r="7" spans="1:8" ht="21" customHeight="1" x14ac:dyDescent="0.2">
      <c r="A7" s="11" t="s">
        <v>9</v>
      </c>
      <c r="B7" s="12" t="s">
        <v>10</v>
      </c>
    </row>
    <row r="8" spans="1:8" ht="21" customHeight="1" x14ac:dyDescent="0.2">
      <c r="A8" s="11" t="s">
        <v>11</v>
      </c>
      <c r="B8" s="12" t="s">
        <v>12</v>
      </c>
    </row>
    <row r="9" spans="1:8" ht="21" customHeight="1" x14ac:dyDescent="0.2">
      <c r="A9" s="11" t="s">
        <v>13</v>
      </c>
      <c r="B9" s="12" t="s">
        <v>14</v>
      </c>
    </row>
    <row r="10" spans="1:8" ht="21" customHeight="1" x14ac:dyDescent="0.2">
      <c r="A10" s="11" t="s">
        <v>15</v>
      </c>
      <c r="B10" s="12" t="s">
        <v>16</v>
      </c>
    </row>
    <row r="11" spans="1:8" ht="21" customHeight="1" x14ac:dyDescent="0.2">
      <c r="A11" s="11" t="s">
        <v>17</v>
      </c>
      <c r="B11" s="12" t="s">
        <v>18</v>
      </c>
    </row>
    <row r="12" spans="1:8" ht="21" customHeight="1" x14ac:dyDescent="0.2">
      <c r="A12" s="11" t="s">
        <v>19</v>
      </c>
      <c r="B12" s="12" t="s">
        <v>20</v>
      </c>
    </row>
    <row r="13" spans="1:8" ht="21" customHeight="1" x14ac:dyDescent="0.2">
      <c r="A13" s="12" t="s">
        <v>21</v>
      </c>
      <c r="B13" s="12" t="s">
        <v>22</v>
      </c>
    </row>
  </sheetData>
  <mergeCells count="1">
    <mergeCell ref="A1:H1"/>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9"/>
  <sheetViews>
    <sheetView zoomScale="120" zoomScaleNormal="120" workbookViewId="0">
      <selection activeCell="A2" sqref="A2"/>
    </sheetView>
  </sheetViews>
  <sheetFormatPr baseColWidth="10" defaultColWidth="8.83203125" defaultRowHeight="15" x14ac:dyDescent="0.2"/>
  <cols>
    <col min="1" max="1" width="21.83203125" customWidth="1"/>
    <col min="2" max="5" width="11.83203125" customWidth="1"/>
    <col min="6" max="6" width="42" customWidth="1"/>
    <col min="7" max="8" width="32" customWidth="1"/>
    <col min="9" max="9" width="34" customWidth="1"/>
    <col min="10" max="10" width="24" customWidth="1"/>
    <col min="11" max="11" width="52" customWidth="1"/>
  </cols>
  <sheetData>
    <row r="1" spans="1:11" ht="60.75" customHeight="1" x14ac:dyDescent="0.2">
      <c r="A1" s="9" t="s">
        <v>23</v>
      </c>
      <c r="B1" s="9"/>
      <c r="C1" s="9"/>
      <c r="D1" s="9"/>
      <c r="E1" s="9"/>
      <c r="F1" s="9"/>
      <c r="G1" s="9"/>
      <c r="H1" s="9"/>
      <c r="I1" s="9"/>
      <c r="J1" s="9"/>
      <c r="K1" s="9"/>
    </row>
    <row r="2" spans="1:11" ht="21" customHeight="1" x14ac:dyDescent="0.2">
      <c r="A2" s="13" t="s">
        <v>24</v>
      </c>
      <c r="B2" s="14"/>
      <c r="C2" s="14"/>
      <c r="D2" s="14"/>
      <c r="E2" s="14"/>
      <c r="F2" s="14"/>
      <c r="G2" s="14"/>
      <c r="H2" s="14"/>
      <c r="I2" s="14"/>
      <c r="J2" s="14"/>
    </row>
    <row r="3" spans="1:11" ht="21" customHeight="1" x14ac:dyDescent="0.2">
      <c r="A3" s="15" t="s">
        <v>25</v>
      </c>
      <c r="B3" s="15" t="s">
        <v>26</v>
      </c>
      <c r="C3" s="15" t="s">
        <v>27</v>
      </c>
      <c r="D3" s="15" t="s">
        <v>28</v>
      </c>
      <c r="E3" s="15" t="s">
        <v>29</v>
      </c>
      <c r="F3" s="15" t="s">
        <v>30</v>
      </c>
      <c r="G3" s="15" t="s">
        <v>31</v>
      </c>
      <c r="H3" s="15" t="s">
        <v>32</v>
      </c>
      <c r="I3" s="15" t="s">
        <v>33</v>
      </c>
      <c r="J3" s="15" t="s">
        <v>34</v>
      </c>
      <c r="K3" s="16" t="s">
        <v>35</v>
      </c>
    </row>
    <row r="4" spans="1:11" ht="33.75" customHeight="1" x14ac:dyDescent="0.2">
      <c r="A4" s="17" t="s">
        <v>36</v>
      </c>
      <c r="B4" s="17">
        <v>750</v>
      </c>
      <c r="C4" s="17">
        <v>1800</v>
      </c>
      <c r="D4" s="17">
        <v>150</v>
      </c>
      <c r="E4" s="17">
        <v>450</v>
      </c>
      <c r="F4" s="18" t="s">
        <v>37</v>
      </c>
      <c r="G4" s="18" t="s">
        <v>38</v>
      </c>
      <c r="H4" s="18" t="s">
        <v>39</v>
      </c>
      <c r="I4" s="18" t="s">
        <v>40</v>
      </c>
      <c r="J4" s="18" t="s">
        <v>41</v>
      </c>
      <c r="K4" s="18" t="s">
        <v>42</v>
      </c>
    </row>
    <row r="5" spans="1:11" ht="33.75" customHeight="1" x14ac:dyDescent="0.2">
      <c r="A5" s="17" t="s">
        <v>43</v>
      </c>
      <c r="B5" s="17">
        <v>1500</v>
      </c>
      <c r="C5" s="17">
        <v>3500</v>
      </c>
      <c r="D5" s="17">
        <v>300</v>
      </c>
      <c r="E5" s="17">
        <v>750</v>
      </c>
      <c r="F5" s="18" t="s">
        <v>44</v>
      </c>
      <c r="G5" s="18" t="s">
        <v>45</v>
      </c>
      <c r="H5" s="18" t="s">
        <v>46</v>
      </c>
      <c r="I5" s="18" t="s">
        <v>47</v>
      </c>
      <c r="J5" s="18" t="s">
        <v>48</v>
      </c>
      <c r="K5" s="18" t="s">
        <v>49</v>
      </c>
    </row>
    <row r="6" spans="1:11" ht="33.75" customHeight="1" x14ac:dyDescent="0.2">
      <c r="A6" s="17" t="s">
        <v>50</v>
      </c>
      <c r="B6" s="17">
        <v>3500</v>
      </c>
      <c r="C6" s="17">
        <v>7500</v>
      </c>
      <c r="D6" s="17">
        <v>750</v>
      </c>
      <c r="E6" s="17">
        <v>1500</v>
      </c>
      <c r="F6" s="18" t="s">
        <v>51</v>
      </c>
      <c r="G6" s="18" t="s">
        <v>52</v>
      </c>
      <c r="H6" s="18" t="s">
        <v>53</v>
      </c>
      <c r="I6" s="18" t="s">
        <v>54</v>
      </c>
      <c r="J6" s="18" t="s">
        <v>55</v>
      </c>
      <c r="K6" s="18" t="s">
        <v>56</v>
      </c>
    </row>
    <row r="7" spans="1:11" ht="33.75" customHeight="1" x14ac:dyDescent="0.2">
      <c r="A7" s="17" t="s">
        <v>57</v>
      </c>
      <c r="B7" s="17">
        <v>7500</v>
      </c>
      <c r="C7" s="17">
        <v>15000</v>
      </c>
      <c r="D7" s="17">
        <v>1500</v>
      </c>
      <c r="E7" s="17">
        <v>3500</v>
      </c>
      <c r="F7" s="18" t="s">
        <v>58</v>
      </c>
      <c r="G7" s="18" t="s">
        <v>59</v>
      </c>
      <c r="H7" s="18" t="s">
        <v>60</v>
      </c>
      <c r="I7" s="18" t="s">
        <v>61</v>
      </c>
      <c r="J7" s="18" t="s">
        <v>62</v>
      </c>
      <c r="K7" s="18" t="s">
        <v>63</v>
      </c>
    </row>
    <row r="8" spans="1:11" ht="33.75" customHeight="1" x14ac:dyDescent="0.2">
      <c r="A8" s="17" t="s">
        <v>64</v>
      </c>
      <c r="B8" s="17">
        <v>12000</v>
      </c>
      <c r="C8" s="17">
        <v>30000</v>
      </c>
      <c r="D8" s="17">
        <v>2500</v>
      </c>
      <c r="E8" s="17">
        <v>6000</v>
      </c>
      <c r="F8" s="18" t="s">
        <v>65</v>
      </c>
      <c r="G8" s="18" t="s">
        <v>66</v>
      </c>
      <c r="H8" s="18" t="s">
        <v>67</v>
      </c>
      <c r="I8" s="18" t="s">
        <v>68</v>
      </c>
      <c r="J8" s="18" t="s">
        <v>69</v>
      </c>
      <c r="K8" s="18" t="s">
        <v>70</v>
      </c>
    </row>
    <row r="9" spans="1:11" ht="33.75" customHeight="1" x14ac:dyDescent="0.2">
      <c r="A9" s="19" t="s">
        <v>71</v>
      </c>
      <c r="B9" s="17">
        <v>4500</v>
      </c>
      <c r="C9" s="17">
        <v>15000</v>
      </c>
      <c r="D9" s="17">
        <v>0</v>
      </c>
      <c r="E9" s="17">
        <v>1000</v>
      </c>
      <c r="F9" s="18" t="s">
        <v>72</v>
      </c>
      <c r="G9" s="18" t="s">
        <v>73</v>
      </c>
      <c r="H9" s="18" t="s">
        <v>74</v>
      </c>
      <c r="I9" s="18" t="s">
        <v>75</v>
      </c>
      <c r="J9" s="18" t="s">
        <v>76</v>
      </c>
      <c r="K9" s="18" t="s">
        <v>77</v>
      </c>
    </row>
  </sheetData>
  <mergeCells count="1">
    <mergeCell ref="A1:K1"/>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9"/>
  <sheetViews>
    <sheetView zoomScale="120" zoomScaleNormal="120" workbookViewId="0">
      <selection activeCell="A2" sqref="A2"/>
    </sheetView>
  </sheetViews>
  <sheetFormatPr baseColWidth="10" defaultColWidth="8.83203125" defaultRowHeight="15" x14ac:dyDescent="0.2"/>
  <cols>
    <col min="1" max="1" width="24" customWidth="1"/>
    <col min="2" max="5" width="14" customWidth="1"/>
    <col min="6" max="6" width="18" customWidth="1"/>
    <col min="7" max="8" width="34" customWidth="1"/>
    <col min="9" max="9" width="28" customWidth="1"/>
    <col min="11" max="11" width="28" customWidth="1"/>
    <col min="12" max="12" width="18" customWidth="1"/>
    <col min="13" max="13" width="22" customWidth="1"/>
    <col min="14" max="14" width="34" customWidth="1"/>
    <col min="15" max="15" width="24" customWidth="1"/>
    <col min="16" max="16" width="32" customWidth="1"/>
    <col min="17" max="17" width="24" customWidth="1"/>
    <col min="18" max="18" width="32" customWidth="1"/>
  </cols>
  <sheetData>
    <row r="1" spans="1:18" ht="60.75" customHeight="1" x14ac:dyDescent="0.2">
      <c r="A1" s="8" t="s">
        <v>78</v>
      </c>
      <c r="B1" s="8"/>
      <c r="C1" s="8"/>
      <c r="D1" s="8"/>
      <c r="E1" s="8"/>
      <c r="F1" s="8"/>
      <c r="G1" s="8"/>
      <c r="H1" s="8"/>
      <c r="I1" s="8"/>
      <c r="K1" s="8" t="s">
        <v>79</v>
      </c>
      <c r="L1" s="8"/>
      <c r="M1" s="8"/>
      <c r="N1" s="8"/>
      <c r="O1" s="8"/>
      <c r="P1" s="8"/>
      <c r="Q1" s="8"/>
      <c r="R1" s="8"/>
    </row>
    <row r="3" spans="1:18" ht="33.75" customHeight="1" x14ac:dyDescent="0.2">
      <c r="A3" s="15" t="s">
        <v>80</v>
      </c>
      <c r="B3" s="15" t="s">
        <v>26</v>
      </c>
      <c r="C3" s="15" t="s">
        <v>27</v>
      </c>
      <c r="D3" s="15" t="s">
        <v>28</v>
      </c>
      <c r="E3" s="15" t="s">
        <v>29</v>
      </c>
      <c r="F3" s="15" t="s">
        <v>81</v>
      </c>
      <c r="G3" s="15" t="s">
        <v>82</v>
      </c>
      <c r="H3" s="15" t="s">
        <v>83</v>
      </c>
      <c r="I3" s="15" t="s">
        <v>84</v>
      </c>
      <c r="K3" s="15" t="s">
        <v>85</v>
      </c>
      <c r="L3" s="15" t="s">
        <v>86</v>
      </c>
      <c r="M3" s="15" t="s">
        <v>87</v>
      </c>
      <c r="N3" s="15" t="s">
        <v>88</v>
      </c>
      <c r="O3" s="15" t="s">
        <v>89</v>
      </c>
      <c r="P3" s="15" t="s">
        <v>90</v>
      </c>
      <c r="Q3" s="15" t="s">
        <v>91</v>
      </c>
      <c r="R3" s="15" t="s">
        <v>92</v>
      </c>
    </row>
    <row r="4" spans="1:18" ht="21" customHeight="1" x14ac:dyDescent="0.2">
      <c r="A4" t="s">
        <v>93</v>
      </c>
      <c r="B4">
        <v>500</v>
      </c>
      <c r="C4">
        <v>1500</v>
      </c>
      <c r="D4">
        <v>100</v>
      </c>
      <c r="E4">
        <v>300</v>
      </c>
      <c r="F4" t="s">
        <v>94</v>
      </c>
      <c r="G4" t="s">
        <v>95</v>
      </c>
      <c r="H4" t="s">
        <v>96</v>
      </c>
      <c r="I4" t="s">
        <v>97</v>
      </c>
      <c r="K4" s="20" t="s">
        <v>98</v>
      </c>
      <c r="L4" s="21">
        <v>0</v>
      </c>
      <c r="M4" s="21">
        <v>1</v>
      </c>
      <c r="N4" t="s">
        <v>99</v>
      </c>
      <c r="O4" t="s">
        <v>100</v>
      </c>
      <c r="P4" t="s">
        <v>101</v>
      </c>
      <c r="Q4" t="s">
        <v>102</v>
      </c>
      <c r="R4" t="s">
        <v>103</v>
      </c>
    </row>
    <row r="5" spans="1:18" ht="21" customHeight="1" x14ac:dyDescent="0.2">
      <c r="A5" t="s">
        <v>104</v>
      </c>
      <c r="B5">
        <v>500</v>
      </c>
      <c r="C5">
        <v>2000</v>
      </c>
      <c r="D5">
        <v>150</v>
      </c>
      <c r="E5">
        <v>500</v>
      </c>
      <c r="F5" t="s">
        <v>105</v>
      </c>
      <c r="G5" t="s">
        <v>106</v>
      </c>
      <c r="H5" t="s">
        <v>107</v>
      </c>
      <c r="I5" t="s">
        <v>108</v>
      </c>
      <c r="K5" s="20" t="s">
        <v>109</v>
      </c>
      <c r="L5" s="21">
        <v>0.5</v>
      </c>
      <c r="M5" s="21">
        <v>1</v>
      </c>
      <c r="N5" t="s">
        <v>110</v>
      </c>
      <c r="O5" t="s">
        <v>111</v>
      </c>
      <c r="P5" t="s">
        <v>112</v>
      </c>
      <c r="Q5" t="s">
        <v>113</v>
      </c>
      <c r="R5" t="s">
        <v>103</v>
      </c>
    </row>
    <row r="6" spans="1:18" ht="21" customHeight="1" x14ac:dyDescent="0.2">
      <c r="A6" t="s">
        <v>114</v>
      </c>
      <c r="B6">
        <v>750</v>
      </c>
      <c r="C6">
        <v>2500</v>
      </c>
      <c r="D6">
        <v>200</v>
      </c>
      <c r="E6">
        <v>600</v>
      </c>
      <c r="F6" t="s">
        <v>115</v>
      </c>
      <c r="G6" t="s">
        <v>116</v>
      </c>
      <c r="H6" t="s">
        <v>117</v>
      </c>
      <c r="I6" t="s">
        <v>118</v>
      </c>
      <c r="K6" s="20" t="s">
        <v>119</v>
      </c>
      <c r="L6" s="21">
        <v>1</v>
      </c>
      <c r="M6" s="21">
        <v>1</v>
      </c>
      <c r="N6" t="s">
        <v>120</v>
      </c>
      <c r="O6" t="s">
        <v>121</v>
      </c>
      <c r="P6" t="s">
        <v>122</v>
      </c>
      <c r="Q6" t="s">
        <v>123</v>
      </c>
      <c r="R6" t="s">
        <v>124</v>
      </c>
    </row>
    <row r="7" spans="1:18" ht="21" customHeight="1" x14ac:dyDescent="0.2">
      <c r="A7" t="s">
        <v>125</v>
      </c>
      <c r="B7">
        <v>750</v>
      </c>
      <c r="C7">
        <v>2000</v>
      </c>
      <c r="D7">
        <v>150</v>
      </c>
      <c r="E7">
        <v>500</v>
      </c>
      <c r="F7" t="s">
        <v>126</v>
      </c>
      <c r="G7" t="s">
        <v>127</v>
      </c>
      <c r="H7" t="s">
        <v>128</v>
      </c>
      <c r="I7" t="s">
        <v>129</v>
      </c>
      <c r="K7" s="20" t="s">
        <v>130</v>
      </c>
      <c r="L7" s="21">
        <v>1.5</v>
      </c>
      <c r="M7" s="21">
        <v>1</v>
      </c>
      <c r="N7" t="s">
        <v>131</v>
      </c>
      <c r="O7" t="s">
        <v>132</v>
      </c>
      <c r="P7" t="s">
        <v>133</v>
      </c>
      <c r="Q7" t="s">
        <v>134</v>
      </c>
      <c r="R7" t="s">
        <v>135</v>
      </c>
    </row>
    <row r="8" spans="1:18" ht="21" customHeight="1" x14ac:dyDescent="0.2">
      <c r="A8" t="s">
        <v>136</v>
      </c>
      <c r="B8">
        <v>500</v>
      </c>
      <c r="C8">
        <v>2000</v>
      </c>
      <c r="D8">
        <v>250</v>
      </c>
      <c r="E8">
        <v>900</v>
      </c>
      <c r="F8" t="s">
        <v>137</v>
      </c>
      <c r="G8" t="s">
        <v>138</v>
      </c>
      <c r="H8" t="s">
        <v>139</v>
      </c>
      <c r="I8" t="s">
        <v>140</v>
      </c>
      <c r="K8" s="20" t="s">
        <v>141</v>
      </c>
      <c r="L8" s="21">
        <v>2</v>
      </c>
      <c r="M8" s="21">
        <v>1</v>
      </c>
      <c r="N8" t="s">
        <v>142</v>
      </c>
      <c r="O8" t="s">
        <v>100</v>
      </c>
      <c r="P8" t="s">
        <v>143</v>
      </c>
      <c r="Q8" t="s">
        <v>144</v>
      </c>
      <c r="R8" t="s">
        <v>145</v>
      </c>
    </row>
    <row r="9" spans="1:18" ht="21" customHeight="1" x14ac:dyDescent="0.2">
      <c r="A9" t="s">
        <v>146</v>
      </c>
      <c r="B9">
        <v>0</v>
      </c>
      <c r="C9">
        <v>0</v>
      </c>
      <c r="D9">
        <v>0</v>
      </c>
      <c r="E9">
        <v>0</v>
      </c>
      <c r="F9" t="s">
        <v>147</v>
      </c>
      <c r="G9" t="s">
        <v>148</v>
      </c>
      <c r="H9" t="s">
        <v>149</v>
      </c>
      <c r="I9" t="s">
        <v>150</v>
      </c>
      <c r="K9" s="20" t="s">
        <v>151</v>
      </c>
      <c r="L9" s="21">
        <v>3</v>
      </c>
      <c r="M9" s="21">
        <v>1</v>
      </c>
      <c r="N9" t="s">
        <v>152</v>
      </c>
      <c r="O9" t="s">
        <v>153</v>
      </c>
      <c r="P9" t="s">
        <v>154</v>
      </c>
      <c r="Q9" t="s">
        <v>155</v>
      </c>
      <c r="R9" t="s">
        <v>156</v>
      </c>
    </row>
    <row r="10" spans="1:18" ht="21" customHeight="1" x14ac:dyDescent="0.2">
      <c r="A10" t="s">
        <v>157</v>
      </c>
      <c r="B10">
        <v>0</v>
      </c>
      <c r="C10">
        <v>0</v>
      </c>
      <c r="D10">
        <v>0</v>
      </c>
      <c r="E10">
        <v>0</v>
      </c>
      <c r="F10" t="s">
        <v>158</v>
      </c>
      <c r="G10" t="s">
        <v>159</v>
      </c>
      <c r="H10" t="s">
        <v>160</v>
      </c>
      <c r="I10" t="s">
        <v>161</v>
      </c>
    </row>
    <row r="11" spans="1:18" ht="21" customHeight="1" x14ac:dyDescent="0.2">
      <c r="A11" t="s">
        <v>100</v>
      </c>
      <c r="B11">
        <v>0</v>
      </c>
      <c r="C11">
        <v>0</v>
      </c>
      <c r="D11">
        <v>0</v>
      </c>
      <c r="E11">
        <v>0</v>
      </c>
      <c r="F11" t="s">
        <v>162</v>
      </c>
      <c r="G11" t="s">
        <v>163</v>
      </c>
      <c r="H11" t="s">
        <v>164</v>
      </c>
      <c r="I11" t="s">
        <v>165</v>
      </c>
    </row>
    <row r="13" spans="1:18" ht="33.75" customHeight="1" x14ac:dyDescent="0.2">
      <c r="A13" s="15" t="s">
        <v>166</v>
      </c>
      <c r="B13" s="15" t="s">
        <v>167</v>
      </c>
      <c r="C13" s="15" t="s">
        <v>168</v>
      </c>
      <c r="D13" s="15" t="s">
        <v>169</v>
      </c>
      <c r="E13" s="15" t="s">
        <v>170</v>
      </c>
      <c r="F13" s="15" t="s">
        <v>171</v>
      </c>
      <c r="G13" s="15" t="s">
        <v>84</v>
      </c>
      <c r="H13" s="15" t="s">
        <v>172</v>
      </c>
      <c r="I13" s="15" t="s">
        <v>173</v>
      </c>
    </row>
    <row r="14" spans="1:18" ht="21" customHeight="1" x14ac:dyDescent="0.2">
      <c r="A14" t="s">
        <v>98</v>
      </c>
      <c r="B14" s="22">
        <v>0</v>
      </c>
      <c r="C14" t="s">
        <v>174</v>
      </c>
      <c r="D14" t="s">
        <v>175</v>
      </c>
      <c r="E14" t="s">
        <v>176</v>
      </c>
      <c r="F14" t="s">
        <v>177</v>
      </c>
      <c r="G14" t="s">
        <v>178</v>
      </c>
      <c r="H14" t="s">
        <v>102</v>
      </c>
      <c r="I14" t="s">
        <v>179</v>
      </c>
    </row>
    <row r="15" spans="1:18" ht="21" customHeight="1" x14ac:dyDescent="0.2">
      <c r="A15" t="s">
        <v>109</v>
      </c>
      <c r="B15" s="22">
        <v>0.5</v>
      </c>
      <c r="C15" t="s">
        <v>180</v>
      </c>
      <c r="D15" t="s">
        <v>181</v>
      </c>
      <c r="E15" t="s">
        <v>182</v>
      </c>
      <c r="F15" t="s">
        <v>183</v>
      </c>
      <c r="G15" t="s">
        <v>184</v>
      </c>
      <c r="H15" t="s">
        <v>185</v>
      </c>
      <c r="I15" t="s">
        <v>186</v>
      </c>
    </row>
    <row r="16" spans="1:18" ht="21" customHeight="1" x14ac:dyDescent="0.2">
      <c r="A16" t="s">
        <v>119</v>
      </c>
      <c r="B16" s="22">
        <v>1</v>
      </c>
      <c r="C16" t="s">
        <v>187</v>
      </c>
      <c r="D16" t="s">
        <v>188</v>
      </c>
      <c r="E16" t="s">
        <v>189</v>
      </c>
      <c r="F16" t="s">
        <v>190</v>
      </c>
      <c r="G16" t="s">
        <v>191</v>
      </c>
      <c r="H16" t="s">
        <v>123</v>
      </c>
      <c r="I16" t="s">
        <v>192</v>
      </c>
    </row>
    <row r="17" spans="1:9" ht="21" customHeight="1" x14ac:dyDescent="0.2">
      <c r="A17" t="s">
        <v>130</v>
      </c>
      <c r="B17" s="22">
        <v>1.5</v>
      </c>
      <c r="C17" t="s">
        <v>193</v>
      </c>
      <c r="D17" t="s">
        <v>194</v>
      </c>
      <c r="E17" t="s">
        <v>195</v>
      </c>
      <c r="F17" t="s">
        <v>196</v>
      </c>
      <c r="G17" t="s">
        <v>197</v>
      </c>
      <c r="H17" t="s">
        <v>198</v>
      </c>
      <c r="I17" t="s">
        <v>199</v>
      </c>
    </row>
    <row r="18" spans="1:9" ht="21" customHeight="1" x14ac:dyDescent="0.2">
      <c r="A18" t="s">
        <v>141</v>
      </c>
      <c r="B18" s="22">
        <v>2</v>
      </c>
      <c r="C18" t="s">
        <v>200</v>
      </c>
      <c r="D18" t="s">
        <v>201</v>
      </c>
      <c r="E18" t="s">
        <v>202</v>
      </c>
      <c r="F18" t="s">
        <v>203</v>
      </c>
      <c r="G18" t="s">
        <v>204</v>
      </c>
      <c r="H18" t="s">
        <v>205</v>
      </c>
      <c r="I18" t="s">
        <v>206</v>
      </c>
    </row>
    <row r="19" spans="1:9" ht="21" customHeight="1" x14ac:dyDescent="0.2">
      <c r="A19" t="s">
        <v>151</v>
      </c>
      <c r="B19" s="22">
        <v>3</v>
      </c>
      <c r="C19" t="s">
        <v>207</v>
      </c>
      <c r="D19" t="s">
        <v>208</v>
      </c>
      <c r="E19" t="s">
        <v>209</v>
      </c>
      <c r="F19" t="s">
        <v>210</v>
      </c>
      <c r="G19" t="s">
        <v>211</v>
      </c>
      <c r="H19" t="s">
        <v>155</v>
      </c>
      <c r="I19" t="s">
        <v>212</v>
      </c>
    </row>
  </sheetData>
  <mergeCells count="2">
    <mergeCell ref="A1:I1"/>
    <mergeCell ref="K1:R1"/>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C0"/>
  </sheetPr>
  <dimension ref="A1:V63"/>
  <sheetViews>
    <sheetView zoomScale="120" zoomScaleNormal="120" workbookViewId="0"/>
  </sheetViews>
  <sheetFormatPr baseColWidth="10" defaultColWidth="8.6640625" defaultRowHeight="14" x14ac:dyDescent="0.15"/>
  <cols>
    <col min="1" max="1" width="5.83203125" style="23" customWidth="1"/>
    <col min="2" max="2" width="34.83203125" style="23" customWidth="1"/>
    <col min="3" max="3" width="13.83203125" style="23" customWidth="1"/>
    <col min="4" max="4" width="55.83203125" style="23" customWidth="1"/>
    <col min="5" max="5" width="3.83203125" style="23" customWidth="1"/>
    <col min="6" max="7" width="21.83203125" style="23" customWidth="1"/>
    <col min="8" max="9" width="3.83203125" style="23" customWidth="1"/>
    <col min="10" max="10" width="21.83203125" style="23" customWidth="1"/>
    <col min="11" max="11" width="3.83203125" style="23" customWidth="1"/>
    <col min="12" max="12" width="21.83203125" style="23" customWidth="1"/>
    <col min="13" max="13" width="3.83203125" style="23" customWidth="1"/>
    <col min="14" max="14" width="21.83203125" style="23" customWidth="1"/>
    <col min="15" max="15" width="3.83203125" style="23" customWidth="1"/>
    <col min="16" max="16384" width="8.6640625" style="23"/>
  </cols>
  <sheetData>
    <row r="1" spans="1:22" ht="60.75" customHeight="1" x14ac:dyDescent="0.15">
      <c r="A1" s="24" t="s">
        <v>213</v>
      </c>
      <c r="B1" s="24"/>
      <c r="C1" s="24"/>
      <c r="D1" s="24"/>
    </row>
    <row r="2" spans="1:22" ht="13.5" customHeight="1" x14ac:dyDescent="0.15"/>
    <row r="3" spans="1:22" s="26" customFormat="1" ht="33.75" customHeight="1" x14ac:dyDescent="0.2">
      <c r="A3" s="25" t="s">
        <v>214</v>
      </c>
      <c r="B3" s="25" t="s">
        <v>215</v>
      </c>
      <c r="C3" s="25" t="s">
        <v>216</v>
      </c>
      <c r="D3" s="25" t="s">
        <v>217</v>
      </c>
      <c r="F3" s="25" t="s">
        <v>218</v>
      </c>
      <c r="G3" s="27"/>
      <c r="H3" s="27"/>
      <c r="I3" s="27"/>
      <c r="J3" s="25" t="s">
        <v>219</v>
      </c>
      <c r="K3" s="27"/>
      <c r="L3" s="25" t="s">
        <v>220</v>
      </c>
      <c r="M3" s="27"/>
      <c r="N3" s="25" t="s">
        <v>221</v>
      </c>
      <c r="O3" s="27"/>
      <c r="Q3" s="28" t="s">
        <v>222</v>
      </c>
      <c r="R3" s="25"/>
      <c r="T3" s="28" t="s">
        <v>223</v>
      </c>
      <c r="U3" s="25"/>
      <c r="V3" s="25"/>
    </row>
    <row r="4" spans="1:22" ht="21" customHeight="1" x14ac:dyDescent="0.15">
      <c r="A4" s="29" t="s">
        <v>224</v>
      </c>
      <c r="B4" s="23" t="s">
        <v>225</v>
      </c>
      <c r="C4" s="30"/>
      <c r="D4" s="23" t="s">
        <v>226</v>
      </c>
      <c r="F4" s="31" t="s">
        <v>227</v>
      </c>
      <c r="G4" s="32">
        <f>C4</f>
        <v>0</v>
      </c>
      <c r="J4" s="23" t="str">
        <f>'Package Reference'!A4</f>
        <v>Basic Intake</v>
      </c>
      <c r="L4" s="23" t="str">
        <f>'Access Models'!A5</f>
        <v>Logic visibility</v>
      </c>
      <c r="N4" s="23" t="str">
        <f>'Complexity Reference'!K4</f>
        <v>No support</v>
      </c>
      <c r="Q4" s="33" t="s">
        <v>98</v>
      </c>
      <c r="R4" s="33"/>
      <c r="T4" s="33" t="s">
        <v>228</v>
      </c>
      <c r="U4" s="33"/>
      <c r="V4" s="33"/>
    </row>
    <row r="5" spans="1:22" ht="21" customHeight="1" x14ac:dyDescent="0.15">
      <c r="A5" s="29" t="s">
        <v>229</v>
      </c>
      <c r="B5" s="23" t="s">
        <v>230</v>
      </c>
      <c r="C5" s="34" t="s">
        <v>36</v>
      </c>
      <c r="D5" s="23" t="s">
        <v>231</v>
      </c>
      <c r="E5" s="23" t="s">
        <v>232</v>
      </c>
      <c r="F5" s="31" t="s">
        <v>25</v>
      </c>
      <c r="G5" s="32" t="str">
        <f>C5</f>
        <v>Basic Intake</v>
      </c>
      <c r="J5" s="23" t="str">
        <f>'Package Reference'!A5</f>
        <v>Basic+ AI Triage</v>
      </c>
      <c r="L5" s="23" t="str">
        <f>'Access Models'!A6</f>
        <v>Limited admin</v>
      </c>
      <c r="N5" s="23" t="str">
        <f>'Complexity Reference'!K5</f>
        <v>Light support</v>
      </c>
      <c r="Q5" s="35" t="s">
        <v>109</v>
      </c>
      <c r="R5" s="35"/>
      <c r="T5" s="35" t="s">
        <v>233</v>
      </c>
      <c r="U5" s="35"/>
      <c r="V5" s="35"/>
    </row>
    <row r="6" spans="1:22" ht="21" customHeight="1" x14ac:dyDescent="0.15">
      <c r="A6" s="29" t="s">
        <v>234</v>
      </c>
      <c r="B6" s="23" t="s">
        <v>235</v>
      </c>
      <c r="C6" s="34" t="s">
        <v>139</v>
      </c>
      <c r="D6" s="23" t="s">
        <v>236</v>
      </c>
      <c r="F6" s="31" t="s">
        <v>32</v>
      </c>
      <c r="G6" s="32" t="str">
        <f>C6</f>
        <v>Managed service</v>
      </c>
      <c r="J6" s="23" t="str">
        <f>'Package Reference'!A6</f>
        <v>Pro Multi-Channel</v>
      </c>
      <c r="L6" s="23" t="str">
        <f>'Access Models'!A7</f>
        <v>Client-owned workspace</v>
      </c>
      <c r="N6" s="23" t="str">
        <f>'Complexity Reference'!K6</f>
        <v>Normal managed support</v>
      </c>
      <c r="Q6" s="34" t="s">
        <v>119</v>
      </c>
      <c r="R6" s="34"/>
      <c r="T6" s="34" t="s">
        <v>237</v>
      </c>
      <c r="U6" s="34"/>
      <c r="V6" s="34"/>
    </row>
    <row r="7" spans="1:22" ht="21" customHeight="1" x14ac:dyDescent="0.15">
      <c r="A7" s="29" t="s">
        <v>238</v>
      </c>
      <c r="B7" s="23" t="s">
        <v>222</v>
      </c>
      <c r="C7" s="34" t="s">
        <v>119</v>
      </c>
      <c r="D7" s="23" t="s">
        <v>239</v>
      </c>
      <c r="F7" s="31" t="s">
        <v>222</v>
      </c>
      <c r="G7" s="32" t="str">
        <f>C7</f>
        <v>Normal managed support</v>
      </c>
      <c r="J7" s="23" t="str">
        <f>'Package Reference'!A7</f>
        <v>Managed Operations</v>
      </c>
      <c r="L7" s="23" t="str">
        <f>'Access Models'!A8</f>
        <v>Build-and-transfer</v>
      </c>
      <c r="N7" s="23" t="str">
        <f>'Complexity Reference'!K7</f>
        <v>High-responsibility maintenance</v>
      </c>
      <c r="Q7" s="36" t="s">
        <v>240</v>
      </c>
      <c r="R7" s="36"/>
      <c r="T7" s="36" t="s">
        <v>241</v>
      </c>
      <c r="U7" s="36"/>
      <c r="V7" s="36"/>
    </row>
    <row r="8" spans="1:22" ht="21" customHeight="1" x14ac:dyDescent="0.15">
      <c r="F8" s="31" t="s">
        <v>242</v>
      </c>
      <c r="G8" s="32" t="str">
        <f>"CHF "&amp;ROUND(C34,0)&amp;" - CHF "&amp;ROUND(C35,0)</f>
        <v>CHF 2250 - CHF 6300</v>
      </c>
      <c r="J8" s="23" t="str">
        <f>'Package Reference'!A8</f>
        <v>Agentic Automation</v>
      </c>
      <c r="L8" s="23">
        <f>'Access Models'!A9</f>
        <v>0</v>
      </c>
      <c r="N8" s="23" t="str">
        <f>'Complexity Reference'!K8</f>
        <v>Premium transfer support</v>
      </c>
      <c r="Q8" s="37" t="s">
        <v>64</v>
      </c>
      <c r="R8" s="37"/>
      <c r="T8" s="37" t="s">
        <v>141</v>
      </c>
      <c r="U8" s="37"/>
      <c r="V8" s="37"/>
    </row>
    <row r="9" spans="1:22" ht="21" customHeight="1" x14ac:dyDescent="0.15">
      <c r="A9" s="29" t="s">
        <v>243</v>
      </c>
      <c r="B9" s="23" t="s">
        <v>244</v>
      </c>
      <c r="C9" s="38">
        <f>IFERROR(VLOOKUP(C5,'Package Reference'!$A$4:$E$8,2,FALSE()),0)</f>
        <v>750</v>
      </c>
      <c r="D9" s="23" t="s">
        <v>245</v>
      </c>
      <c r="F9" s="31" t="s">
        <v>246</v>
      </c>
      <c r="G9" s="32" t="str">
        <f>"CHF "&amp;ROUND(C36,0)&amp;" - CHF "&amp;ROUND(C37,0)</f>
        <v>CHF 500 - CHF 1550</v>
      </c>
      <c r="N9" s="23" t="str">
        <f>'Complexity Reference'!K9</f>
        <v>Critical support</v>
      </c>
      <c r="Q9" s="39" t="s">
        <v>151</v>
      </c>
      <c r="R9" s="39"/>
      <c r="T9" s="39" t="s">
        <v>247</v>
      </c>
      <c r="U9" s="39"/>
      <c r="V9" s="39"/>
    </row>
    <row r="10" spans="1:22" ht="21" customHeight="1" x14ac:dyDescent="0.15">
      <c r="A10" s="29" t="s">
        <v>248</v>
      </c>
      <c r="B10" s="23" t="s">
        <v>249</v>
      </c>
      <c r="C10" s="38">
        <f>IFERROR(VLOOKUP(C5,'Package Reference'!$A$4:$E$8,3,FALSE()),0)</f>
        <v>1800</v>
      </c>
      <c r="D10" s="23" t="s">
        <v>245</v>
      </c>
      <c r="F10" s="31" t="s">
        <v>250</v>
      </c>
      <c r="G10" s="32" t="str">
        <f>"CHF "&amp;ROUND(C38,0)</f>
        <v>CHF 4300</v>
      </c>
    </row>
    <row r="11" spans="1:22" ht="21" customHeight="1" x14ac:dyDescent="0.15">
      <c r="A11" s="29" t="s">
        <v>251</v>
      </c>
      <c r="B11" s="23" t="s">
        <v>252</v>
      </c>
      <c r="C11" s="38">
        <f>IFERROR(VLOOKUP(C5,'Package Reference'!$A$4:$E$8,4,FALSE()),0)</f>
        <v>150</v>
      </c>
      <c r="D11" s="23" t="s">
        <v>245</v>
      </c>
      <c r="F11" s="31" t="s">
        <v>253</v>
      </c>
      <c r="G11" s="32" t="str">
        <f>"CHF "&amp;ROUND(C39,0)</f>
        <v>CHF 1000</v>
      </c>
    </row>
    <row r="12" spans="1:22" ht="21" customHeight="1" x14ac:dyDescent="0.15">
      <c r="A12" s="29" t="s">
        <v>254</v>
      </c>
      <c r="B12" s="23" t="s">
        <v>255</v>
      </c>
      <c r="C12" s="38">
        <f>IFERROR(VLOOKUP(C5,'Package Reference'!$A$4:$E$8,5,FALSE()),0)</f>
        <v>450</v>
      </c>
      <c r="D12" s="23" t="s">
        <v>245</v>
      </c>
      <c r="F12" s="31" t="s">
        <v>83</v>
      </c>
      <c r="G12" s="32" t="s">
        <v>256</v>
      </c>
    </row>
    <row r="13" spans="1:22" ht="21" customHeight="1" x14ac:dyDescent="0.15">
      <c r="A13" s="29" t="s">
        <v>257</v>
      </c>
      <c r="B13" s="23" t="s">
        <v>258</v>
      </c>
      <c r="C13" s="38">
        <f>IFERROR(VLOOKUP(C6,'Access Models'!$A$5:$K$9,10,FALSE()),1)</f>
        <v>1</v>
      </c>
      <c r="D13" s="23" t="s">
        <v>259</v>
      </c>
      <c r="E13" s="23" t="s">
        <v>232</v>
      </c>
      <c r="F13" s="31" t="s">
        <v>260</v>
      </c>
      <c r="G13" s="32" t="s">
        <v>261</v>
      </c>
    </row>
    <row r="14" spans="1:22" ht="21" customHeight="1" x14ac:dyDescent="0.15">
      <c r="A14" s="29" t="s">
        <v>262</v>
      </c>
      <c r="B14" s="23" t="s">
        <v>263</v>
      </c>
      <c r="C14" s="38">
        <f>IFERROR(VLOOKUP(C7,'Complexity Reference'!$K$4:$M$9,2,FALSE()),1)</f>
        <v>1</v>
      </c>
      <c r="D14" s="23" t="s">
        <v>264</v>
      </c>
    </row>
    <row r="16" spans="1:22" ht="21" customHeight="1" x14ac:dyDescent="0.15">
      <c r="A16" s="29" t="s">
        <v>265</v>
      </c>
      <c r="B16" s="23" t="s">
        <v>266</v>
      </c>
      <c r="C16" s="30">
        <v>0</v>
      </c>
      <c r="D16" s="41" t="s">
        <v>267</v>
      </c>
      <c r="E16" s="23" t="s">
        <v>232</v>
      </c>
      <c r="F16" s="40" t="s">
        <v>268</v>
      </c>
      <c r="G16" s="32" t="s">
        <v>269</v>
      </c>
    </row>
    <row r="17" spans="1:7" ht="21" customHeight="1" x14ac:dyDescent="0.15">
      <c r="A17" s="29" t="s">
        <v>270</v>
      </c>
      <c r="B17" s="23" t="s">
        <v>271</v>
      </c>
      <c r="C17" s="30">
        <v>1</v>
      </c>
      <c r="D17" s="41" t="s">
        <v>272</v>
      </c>
      <c r="E17" s="23" t="s">
        <v>232</v>
      </c>
      <c r="F17" s="32" t="s">
        <v>273</v>
      </c>
    </row>
    <row r="18" spans="1:7" ht="21" customHeight="1" x14ac:dyDescent="0.15">
      <c r="A18" s="29" t="s">
        <v>274</v>
      </c>
      <c r="B18" s="23" t="s">
        <v>275</v>
      </c>
      <c r="C18" s="30">
        <v>1</v>
      </c>
      <c r="D18" s="41" t="s">
        <v>276</v>
      </c>
      <c r="E18" s="23" t="s">
        <v>232</v>
      </c>
      <c r="F18" s="40" t="s">
        <v>277</v>
      </c>
    </row>
    <row r="19" spans="1:7" ht="21" customHeight="1" x14ac:dyDescent="0.15">
      <c r="A19" s="29" t="s">
        <v>278</v>
      </c>
      <c r="B19" s="23" t="s">
        <v>279</v>
      </c>
      <c r="C19" s="30">
        <v>1</v>
      </c>
      <c r="D19" s="41" t="s">
        <v>280</v>
      </c>
      <c r="E19" s="23" t="s">
        <v>232</v>
      </c>
      <c r="F19" s="32" t="s">
        <v>281</v>
      </c>
    </row>
    <row r="20" spans="1:7" ht="21" customHeight="1" x14ac:dyDescent="0.15">
      <c r="A20" s="29" t="s">
        <v>282</v>
      </c>
      <c r="B20" s="23" t="s">
        <v>283</v>
      </c>
      <c r="C20" s="30">
        <v>0</v>
      </c>
      <c r="D20" s="41" t="s">
        <v>284</v>
      </c>
      <c r="E20" s="23" t="s">
        <v>232</v>
      </c>
      <c r="F20" s="40" t="s">
        <v>285</v>
      </c>
    </row>
    <row r="21" spans="1:7" ht="21" customHeight="1" x14ac:dyDescent="0.15">
      <c r="A21" s="29" t="s">
        <v>286</v>
      </c>
      <c r="B21" s="23" t="s">
        <v>287</v>
      </c>
      <c r="C21" s="30">
        <v>1</v>
      </c>
      <c r="D21" s="41" t="s">
        <v>288</v>
      </c>
      <c r="E21" s="23" t="s">
        <v>232</v>
      </c>
      <c r="F21" s="40" t="s">
        <v>289</v>
      </c>
    </row>
    <row r="22" spans="1:7" ht="21" customHeight="1" x14ac:dyDescent="0.15">
      <c r="A22" s="29" t="s">
        <v>290</v>
      </c>
      <c r="B22" s="23" t="s">
        <v>291</v>
      </c>
      <c r="C22" s="30">
        <v>1</v>
      </c>
      <c r="D22" s="41" t="s">
        <v>292</v>
      </c>
      <c r="E22" s="23" t="s">
        <v>232</v>
      </c>
      <c r="F22" s="23" t="s">
        <v>232</v>
      </c>
    </row>
    <row r="23" spans="1:7" ht="21" customHeight="1" x14ac:dyDescent="0.15">
      <c r="A23" s="29" t="s">
        <v>293</v>
      </c>
      <c r="B23" s="23" t="s">
        <v>294</v>
      </c>
      <c r="C23" s="42"/>
      <c r="D23" s="43" t="s">
        <v>295</v>
      </c>
      <c r="E23" s="23" t="s">
        <v>232</v>
      </c>
      <c r="F23" s="40" t="s">
        <v>296</v>
      </c>
      <c r="G23" s="32" t="s">
        <v>297</v>
      </c>
    </row>
    <row r="24" spans="1:7" ht="21" customHeight="1" x14ac:dyDescent="0.15">
      <c r="A24" s="29" t="s">
        <v>298</v>
      </c>
      <c r="B24" s="23" t="s">
        <v>299</v>
      </c>
      <c r="C24" s="42"/>
      <c r="D24" s="43" t="s">
        <v>300</v>
      </c>
      <c r="E24" s="23" t="s">
        <v>232</v>
      </c>
      <c r="F24" s="32" t="s">
        <v>273</v>
      </c>
    </row>
    <row r="25" spans="1:7" ht="21" customHeight="1" x14ac:dyDescent="0.15">
      <c r="A25" s="29" t="s">
        <v>301</v>
      </c>
      <c r="B25" s="23" t="s">
        <v>302</v>
      </c>
      <c r="C25" s="42">
        <v>0</v>
      </c>
      <c r="D25" s="43" t="s">
        <v>303</v>
      </c>
      <c r="E25" s="23" t="s">
        <v>232</v>
      </c>
      <c r="F25" s="40" t="s">
        <v>304</v>
      </c>
    </row>
    <row r="26" spans="1:7" ht="21" customHeight="1" x14ac:dyDescent="0.15">
      <c r="A26" s="29" t="s">
        <v>305</v>
      </c>
      <c r="B26" s="23" t="s">
        <v>306</v>
      </c>
      <c r="C26" s="42">
        <v>0</v>
      </c>
      <c r="D26" s="43" t="s">
        <v>307</v>
      </c>
      <c r="E26" s="23" t="s">
        <v>232</v>
      </c>
      <c r="F26" s="40" t="s">
        <v>308</v>
      </c>
    </row>
    <row r="27" spans="1:7" ht="21" customHeight="1" x14ac:dyDescent="0.15">
      <c r="F27" s="40" t="s">
        <v>309</v>
      </c>
    </row>
    <row r="28" spans="1:7" ht="21" customHeight="1" x14ac:dyDescent="0.15">
      <c r="B28" s="44" t="s">
        <v>310</v>
      </c>
      <c r="C28" s="44">
        <f>IF(C23="",C13,C23)</f>
        <v>1</v>
      </c>
      <c r="D28" s="44" t="s">
        <v>311</v>
      </c>
    </row>
    <row r="29" spans="1:7" ht="21" customHeight="1" x14ac:dyDescent="0.15">
      <c r="B29" s="44" t="s">
        <v>312</v>
      </c>
      <c r="C29" s="44">
        <f>IF(C24="",C14,C24)</f>
        <v>1</v>
      </c>
      <c r="D29" s="44" t="s">
        <v>311</v>
      </c>
      <c r="F29" s="31" t="s">
        <v>313</v>
      </c>
      <c r="G29" s="32" t="s">
        <v>314</v>
      </c>
    </row>
    <row r="30" spans="1:7" ht="21" customHeight="1" x14ac:dyDescent="0.15">
      <c r="B30" s="44" t="s">
        <v>315</v>
      </c>
      <c r="C30" s="44">
        <f>C9+C16*IFERROR(VLOOKUP("Extra channel",'Complexity Reference'!$A$4:$E$8,2,FALSE()),0)+C17*IFERROR(VLOOKUP("AI draft workflow",'Complexity Reference'!$A$4:$E$8,2,FALSE()),0)+C18*IFERROR(VLOOKUP("CRM integration",'Complexity Reference'!$A$4:$E$8,2,FALSE()),0)+C19*IFERROR(VLOOKUP("Approval workflow",'Complexity Reference'!$A$4:$E$8,2,FALSE()),0)+C20*IFERROR(VLOOKUP("Reporting layer",'Complexity Reference'!$A$4:$E$8,2,FALSE()),0)+C25</f>
        <v>2250</v>
      </c>
      <c r="D30" s="44" t="s">
        <v>311</v>
      </c>
      <c r="F30" s="32" t="s">
        <v>273</v>
      </c>
    </row>
    <row r="31" spans="1:7" ht="21" customHeight="1" x14ac:dyDescent="0.15">
      <c r="B31" s="44" t="s">
        <v>316</v>
      </c>
      <c r="C31" s="44">
        <f>C10+C16*IFERROR(VLOOKUP("Extra channel",'Complexity Reference'!$A$4:$E$8,3,FALSE()),0)+C17*IFERROR(VLOOKUP("AI draft workflow",'Complexity Reference'!$A$4:$E$8,3,FALSE()),0)+C18*IFERROR(VLOOKUP("CRM integration",'Complexity Reference'!$A$4:$E$8,3,FALSE()),0)+C19*IFERROR(VLOOKUP("Approval workflow",'Complexity Reference'!$A$4:$E$8,3,FALSE()),0)+C20*IFERROR(VLOOKUP("Reporting layer",'Complexity Reference'!$A$4:$E$8,3,FALSE()),0)+C25</f>
        <v>6300</v>
      </c>
      <c r="D31" s="44" t="s">
        <v>311</v>
      </c>
      <c r="F31" s="32" t="s">
        <v>317</v>
      </c>
    </row>
    <row r="32" spans="1:7" ht="21" customHeight="1" x14ac:dyDescent="0.15">
      <c r="B32" s="44" t="s">
        <v>318</v>
      </c>
      <c r="C32" s="44">
        <f>C11+C16*IFERROR(VLOOKUP("Extra channel",'Complexity Reference'!$A$4:$E$8,4,FALSE()),0)+C17*IFERROR(VLOOKUP("AI draft workflow",'Complexity Reference'!$A$4:$E$8,4,FALSE()),0)+C18*IFERROR(VLOOKUP("CRM integration",'Complexity Reference'!$A$4:$E$8,4,FALSE()),0)+C19*IFERROR(VLOOKUP("Approval workflow",'Complexity Reference'!$A$4:$E$8,4,FALSE()),0)+C20*IFERROR(VLOOKUP("Reporting layer",'Complexity Reference'!$A$4:$E$8,4,FALSE()),0)+C26</f>
        <v>500</v>
      </c>
      <c r="D32" s="44" t="s">
        <v>311</v>
      </c>
      <c r="F32" s="32" t="s">
        <v>319</v>
      </c>
    </row>
    <row r="33" spans="2:7" ht="21" customHeight="1" x14ac:dyDescent="0.15">
      <c r="B33" s="44" t="s">
        <v>320</v>
      </c>
      <c r="C33" s="44">
        <f>C12+C16*IFERROR(VLOOKUP("Extra channel",'Complexity Reference'!$A$4:$E$8,5,FALSE()),0)+C17*IFERROR(VLOOKUP("AI draft workflow",'Complexity Reference'!$A$4:$E$8,5,FALSE()),0)+C18*IFERROR(VLOOKUP("CRM integration",'Complexity Reference'!$A$4:$E$8,5,FALSE()),0)+C19*IFERROR(VLOOKUP("Approval workflow",'Complexity Reference'!$A$4:$E$8,5,FALSE()),0)+C20*IFERROR(VLOOKUP("Reporting layer",'Complexity Reference'!$A$4:$E$8,5,FALSE()),0)+C26</f>
        <v>1550</v>
      </c>
      <c r="D33" s="44" t="s">
        <v>311</v>
      </c>
      <c r="F33" s="32" t="s">
        <v>321</v>
      </c>
    </row>
    <row r="34" spans="2:7" ht="21" customHeight="1" x14ac:dyDescent="0.15">
      <c r="B34" s="44" t="s">
        <v>322</v>
      </c>
      <c r="C34" s="44">
        <f>ROUND(C30*C21*C22*C28,0)</f>
        <v>2250</v>
      </c>
      <c r="D34" s="44" t="s">
        <v>311</v>
      </c>
    </row>
    <row r="35" spans="2:7" ht="21" customHeight="1" x14ac:dyDescent="0.15">
      <c r="B35" s="44" t="s">
        <v>323</v>
      </c>
      <c r="C35" s="44">
        <f>ROUND(C31*C21*C22*C28,0)</f>
        <v>6300</v>
      </c>
      <c r="D35" s="44" t="s">
        <v>311</v>
      </c>
      <c r="F35" s="31" t="s">
        <v>324</v>
      </c>
      <c r="G35" s="32" t="s">
        <v>325</v>
      </c>
    </row>
    <row r="36" spans="2:7" ht="21" customHeight="1" x14ac:dyDescent="0.15">
      <c r="B36" s="44" t="s">
        <v>326</v>
      </c>
      <c r="C36" s="44">
        <f>ROUND(C32*C21*C29,0)</f>
        <v>500</v>
      </c>
      <c r="D36" s="44" t="s">
        <v>311</v>
      </c>
      <c r="F36" s="32" t="s">
        <v>273</v>
      </c>
    </row>
    <row r="37" spans="2:7" ht="21" customHeight="1" x14ac:dyDescent="0.15">
      <c r="B37" s="44" t="s">
        <v>327</v>
      </c>
      <c r="C37" s="44">
        <f>ROUND(C33*C21*C29,0)</f>
        <v>1550</v>
      </c>
      <c r="D37" s="44" t="s">
        <v>311</v>
      </c>
      <c r="F37" s="32" t="s">
        <v>328</v>
      </c>
    </row>
    <row r="38" spans="2:7" ht="21" customHeight="1" x14ac:dyDescent="0.15">
      <c r="B38" s="44" t="s">
        <v>329</v>
      </c>
      <c r="C38" s="44">
        <f>ROUND((C34+C35)/2,-2)</f>
        <v>4300</v>
      </c>
      <c r="D38" s="44" t="s">
        <v>311</v>
      </c>
      <c r="F38" s="32" t="s">
        <v>330</v>
      </c>
    </row>
    <row r="39" spans="2:7" ht="21" customHeight="1" x14ac:dyDescent="0.15">
      <c r="B39" s="44" t="s">
        <v>331</v>
      </c>
      <c r="C39" s="44">
        <f>ROUND((C36+C37)/2,-2)</f>
        <v>1000</v>
      </c>
      <c r="D39" s="44" t="s">
        <v>311</v>
      </c>
      <c r="F39" s="32" t="s">
        <v>332</v>
      </c>
    </row>
    <row r="41" spans="2:7" ht="21" customHeight="1" x14ac:dyDescent="0.15">
      <c r="B41" s="45" t="s">
        <v>333</v>
      </c>
      <c r="C41" s="45"/>
      <c r="D41" s="45"/>
      <c r="F41" s="31" t="s">
        <v>334</v>
      </c>
    </row>
    <row r="42" spans="2:7" ht="21" customHeight="1" x14ac:dyDescent="0.15">
      <c r="B42" s="46" t="s">
        <v>335</v>
      </c>
      <c r="C42" s="46" t="s">
        <v>336</v>
      </c>
      <c r="D42" s="46" t="s">
        <v>337</v>
      </c>
      <c r="F42" s="32" t="s">
        <v>273</v>
      </c>
    </row>
    <row r="43" spans="2:7" ht="21" customHeight="1" x14ac:dyDescent="0.15">
      <c r="B43" s="47" t="s">
        <v>338</v>
      </c>
      <c r="C43" s="48" t="str">
        <f>IF(C5="","empty",IF(C9=0,"FAIL","OK"))</f>
        <v>OK</v>
      </c>
      <c r="D43" s="47" t="str">
        <f>IF(C5="","Pick a package from column J (5 scope packages only).",IF(C9=0,IF(LOWER(C5)="build-and-transfer","Build-and-Transfer is an access model — select scope package in C5 and set C6 = Build-and-transfer.","Package name doesn't match Package Reference — use column J list."),"Package found in Reference."))</f>
        <v>Package found in Reference.</v>
      </c>
      <c r="F43" s="32" t="s">
        <v>339</v>
      </c>
    </row>
    <row r="44" spans="2:7" ht="21" customHeight="1" x14ac:dyDescent="0.15">
      <c r="B44" s="47" t="s">
        <v>340</v>
      </c>
      <c r="C44" s="48" t="str">
        <f>IF(C6="","empty",IF(IFERROR(MATCH(C6,'Access Models'!$A$5:$A$9,0),0)=0,"FAIL","OK"))</f>
        <v>FAIL</v>
      </c>
      <c r="D44" s="47" t="str">
        <f>IF(C6="","Pick an access model from column L.",IF(IFERROR(MATCH(C6,'Access Models'!$A$5:$A$9,0),0)=0,"Access model doesn't match Access Models — use column L list.","Access model found."))</f>
        <v>Access model doesn't match Access Models — use column L list.</v>
      </c>
      <c r="F44" s="32" t="s">
        <v>341</v>
      </c>
    </row>
    <row r="45" spans="2:7" ht="21" customHeight="1" x14ac:dyDescent="0.15">
      <c r="B45" s="47" t="s">
        <v>342</v>
      </c>
      <c r="C45" s="48" t="str">
        <f>IF(C7="","empty",IF(AND(C14=0,C7&lt;&gt;"No support"),"FAIL","OK"))</f>
        <v>OK</v>
      </c>
      <c r="D45" s="47" t="str">
        <f>IF(C7="","Pick a support model from column N.",IF(AND(C14=0,C7&lt;&gt;"No support"),"Support model doesn't match Complexity Reference — use column N list.","Support model found."))</f>
        <v>Support model found.</v>
      </c>
      <c r="F45" s="32" t="s">
        <v>343</v>
      </c>
    </row>
    <row r="46" spans="2:7" ht="21" customHeight="1" x14ac:dyDescent="0.15">
      <c r="B46" s="47" t="s">
        <v>344</v>
      </c>
      <c r="C46" s="48" t="str">
        <f>IF(C21&lt;=1,"n/a",IF(OR(C19="",C19=0),"WARN","OK"))</f>
        <v>n/a</v>
      </c>
      <c r="D46" s="47" t="str">
        <f>IF(C21&lt;=1,"Sensitive multiplier not applied.",IF(OR(C19="",C19=0),"Sensitive data multiplier applied but Approval workflows count is 0 — sensitive content should always have at least 1 approval workflow.","Sensitive + approval workflow OK."))</f>
        <v>Sensitive multiplier not applied.</v>
      </c>
      <c r="F46" s="31" t="s">
        <v>345</v>
      </c>
    </row>
    <row r="47" spans="2:7" ht="21" customHeight="1" x14ac:dyDescent="0.15">
      <c r="B47" s="47" t="s">
        <v>346</v>
      </c>
      <c r="C47" s="48" t="str">
        <f>IF(OR(C22="",C22&lt;=1),"OK",IF(C22&gt;1.3,"WARN","OK"))</f>
        <v>OK</v>
      </c>
      <c r="D47" s="47" t="str">
        <f>IF(OR(C22="",C22&lt;=1),"No urgency premium.",IF(C22&gt;1.3,"Urgency multiplier above 1.3 — confirm client accepts premium delivery cost.","Urgency premium within normal range."))</f>
        <v>No urgency premium.</v>
      </c>
      <c r="F47" s="32" t="s">
        <v>347</v>
      </c>
    </row>
    <row r="48" spans="2:7" ht="21" customHeight="1" x14ac:dyDescent="0.15">
      <c r="B48" s="47" t="s">
        <v>348</v>
      </c>
      <c r="C48" s="48" t="str">
        <f>IF(AND(C6="Build-and-transfer",C7="No support"),"NOTE","n/a")</f>
        <v>n/a</v>
      </c>
      <c r="D48" s="47" t="str">
        <f>IF(AND(C6="Build-and-transfer",C7="No support"),"Build-and-transfer + No support: client takes full operational risk after handover. Document this clearly.","")</f>
        <v/>
      </c>
      <c r="F48" s="32" t="s">
        <v>349</v>
      </c>
    </row>
    <row r="49" spans="2:7" ht="21" customHeight="1" x14ac:dyDescent="0.15">
      <c r="B49" s="47" t="s">
        <v>350</v>
      </c>
      <c r="C49" s="48" t="str">
        <f>IF(AND(C5="Basic Intake",OR(C20="",C20=0)=FALSE()),"WARN","OK")</f>
        <v>OK</v>
      </c>
      <c r="D49" s="47" t="str">
        <f>IF(AND(C5="Basic Intake",OR(C20="",C20=0)=FALSE()),"Reporting layer on Basic Intake — consider upgrading to Managed Operations or higher.","Reporting layer fits selected package.")</f>
        <v>Reporting layer fits selected package.</v>
      </c>
      <c r="F49" s="32" t="s">
        <v>351</v>
      </c>
    </row>
    <row r="50" spans="2:7" ht="21" customHeight="1" x14ac:dyDescent="0.15">
      <c r="B50" s="49"/>
      <c r="F50" s="31" t="s">
        <v>352</v>
      </c>
    </row>
    <row r="51" spans="2:7" ht="21" customHeight="1" x14ac:dyDescent="0.15">
      <c r="B51" s="49" t="s">
        <v>353</v>
      </c>
      <c r="C51" s="49" t="s">
        <v>354</v>
      </c>
      <c r="F51" s="32" t="s">
        <v>355</v>
      </c>
    </row>
    <row r="52" spans="2:7" ht="21" customHeight="1" x14ac:dyDescent="0.15">
      <c r="B52" s="49"/>
      <c r="C52" s="49" t="s">
        <v>356</v>
      </c>
      <c r="F52" s="32" t="s">
        <v>357</v>
      </c>
    </row>
    <row r="53" spans="2:7" ht="21" customHeight="1" x14ac:dyDescent="0.15">
      <c r="B53" s="49"/>
      <c r="C53" s="49" t="s">
        <v>358</v>
      </c>
    </row>
    <row r="54" spans="2:7" ht="21" customHeight="1" x14ac:dyDescent="0.15">
      <c r="B54" s="49"/>
      <c r="C54" s="49" t="s">
        <v>359</v>
      </c>
      <c r="F54" s="50" t="s">
        <v>360</v>
      </c>
      <c r="G54" s="50"/>
    </row>
    <row r="55" spans="2:7" ht="21" customHeight="1" x14ac:dyDescent="0.15">
      <c r="B55" s="49"/>
      <c r="F55" s="31" t="s">
        <v>215</v>
      </c>
      <c r="G55" s="31" t="s">
        <v>216</v>
      </c>
    </row>
    <row r="56" spans="2:7" ht="21" customHeight="1" x14ac:dyDescent="0.15">
      <c r="F56" s="29" t="s">
        <v>361</v>
      </c>
      <c r="G56" s="51">
        <v>0</v>
      </c>
    </row>
    <row r="57" spans="2:7" ht="21" customHeight="1" x14ac:dyDescent="0.15">
      <c r="F57" s="29" t="s">
        <v>362</v>
      </c>
      <c r="G57" s="51">
        <v>1</v>
      </c>
    </row>
    <row r="58" spans="2:7" ht="21" customHeight="1" x14ac:dyDescent="0.15">
      <c r="F58" s="29" t="s">
        <v>363</v>
      </c>
      <c r="G58" s="51">
        <v>1</v>
      </c>
    </row>
    <row r="59" spans="2:7" ht="21" customHeight="1" x14ac:dyDescent="0.15">
      <c r="F59" s="29" t="s">
        <v>364</v>
      </c>
      <c r="G59" s="51">
        <v>1</v>
      </c>
    </row>
    <row r="60" spans="2:7" ht="21" customHeight="1" x14ac:dyDescent="0.15">
      <c r="F60" s="29" t="s">
        <v>365</v>
      </c>
      <c r="G60" s="51">
        <v>0</v>
      </c>
    </row>
    <row r="61" spans="2:7" ht="21" customHeight="1" x14ac:dyDescent="0.15">
      <c r="F61" s="23" t="s">
        <v>366</v>
      </c>
      <c r="G61" s="23" t="s">
        <v>367</v>
      </c>
    </row>
    <row r="62" spans="2:7" ht="21" customHeight="1" x14ac:dyDescent="0.15">
      <c r="F62" s="23" t="s">
        <v>368</v>
      </c>
      <c r="G62" s="23" t="s">
        <v>369</v>
      </c>
    </row>
    <row r="63" spans="2:7" ht="21" customHeight="1" x14ac:dyDescent="0.15">
      <c r="F63" s="23" t="s">
        <v>370</v>
      </c>
      <c r="G63" s="23" t="s">
        <v>371</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E95D9"/>
  </sheetPr>
  <dimension ref="A1:H43"/>
  <sheetViews>
    <sheetView zoomScale="120" zoomScaleNormal="120" workbookViewId="0"/>
  </sheetViews>
  <sheetFormatPr baseColWidth="10" defaultColWidth="8.83203125" defaultRowHeight="16" x14ac:dyDescent="0.25"/>
  <cols>
    <col min="1" max="1" width="5" style="52" customWidth="1"/>
    <col min="2" max="2" width="25.83203125" style="52" customWidth="1"/>
    <col min="3" max="3" width="8.83203125" style="52"/>
    <col min="4" max="4" width="21.83203125" style="52" customWidth="1"/>
    <col min="5" max="5" width="5" style="52" customWidth="1"/>
    <col min="6" max="16384" width="8.83203125" style="52"/>
  </cols>
  <sheetData>
    <row r="1" spans="1:8" ht="18" customHeight="1" x14ac:dyDescent="0.25">
      <c r="A1" s="53"/>
      <c r="B1" s="53"/>
      <c r="C1" s="53"/>
      <c r="D1" s="53"/>
      <c r="E1" s="53"/>
    </row>
    <row r="2" spans="1:8" ht="18" customHeight="1" x14ac:dyDescent="0.25">
      <c r="A2" s="53"/>
      <c r="B2" s="7" t="s">
        <v>372</v>
      </c>
      <c r="C2" s="7"/>
      <c r="D2" s="7"/>
      <c r="E2" s="53"/>
    </row>
    <row r="3" spans="1:8" ht="18" customHeight="1" x14ac:dyDescent="0.25">
      <c r="A3" s="53"/>
      <c r="B3" s="54" t="s">
        <v>215</v>
      </c>
      <c r="C3" s="54" t="s">
        <v>216</v>
      </c>
      <c r="D3" s="54" t="s">
        <v>373</v>
      </c>
      <c r="E3" s="53"/>
    </row>
    <row r="4" spans="1:8" ht="18" customHeight="1" x14ac:dyDescent="0.25">
      <c r="A4" s="53"/>
      <c r="B4" s="6" t="s">
        <v>374</v>
      </c>
      <c r="C4" s="6"/>
      <c r="D4" s="6"/>
      <c r="E4" s="53"/>
      <c r="G4" s="55" t="s">
        <v>375</v>
      </c>
      <c r="H4" s="56"/>
    </row>
    <row r="5" spans="1:8" ht="18" customHeight="1" x14ac:dyDescent="0.25">
      <c r="A5" s="53"/>
      <c r="B5" s="57" t="s">
        <v>376</v>
      </c>
      <c r="C5" s="58"/>
      <c r="D5" s="58"/>
      <c r="E5" s="53"/>
    </row>
    <row r="6" spans="1:8" ht="18" customHeight="1" x14ac:dyDescent="0.25">
      <c r="A6" s="53"/>
      <c r="B6" s="59" t="s">
        <v>377</v>
      </c>
      <c r="C6" s="60">
        <v>2</v>
      </c>
      <c r="D6" s="61" t="s">
        <v>378</v>
      </c>
      <c r="E6" s="53"/>
      <c r="G6" s="60">
        <v>4</v>
      </c>
      <c r="H6" s="61" t="s">
        <v>378</v>
      </c>
    </row>
    <row r="7" spans="1:8" ht="18" customHeight="1" x14ac:dyDescent="0.25">
      <c r="A7" s="53"/>
      <c r="B7" s="59" t="s">
        <v>379</v>
      </c>
      <c r="C7" s="60">
        <v>5</v>
      </c>
      <c r="D7" s="61" t="s">
        <v>380</v>
      </c>
      <c r="E7" s="53"/>
      <c r="G7" s="60">
        <v>2</v>
      </c>
      <c r="H7" s="61" t="s">
        <v>380</v>
      </c>
    </row>
    <row r="8" spans="1:8" ht="18" customHeight="1" x14ac:dyDescent="0.25">
      <c r="A8" s="53"/>
      <c r="B8" s="59" t="s">
        <v>381</v>
      </c>
      <c r="C8" s="60">
        <v>100</v>
      </c>
      <c r="D8" s="61" t="s">
        <v>382</v>
      </c>
      <c r="E8" s="53"/>
      <c r="G8" s="60">
        <v>80</v>
      </c>
      <c r="H8" s="61" t="s">
        <v>382</v>
      </c>
    </row>
    <row r="9" spans="1:8" ht="18" customHeight="1" x14ac:dyDescent="0.25">
      <c r="A9" s="53"/>
      <c r="B9" s="58"/>
      <c r="C9" s="58"/>
      <c r="D9" s="58"/>
      <c r="E9" s="53"/>
      <c r="G9" s="58"/>
      <c r="H9" s="58"/>
    </row>
    <row r="10" spans="1:8" ht="18" customHeight="1" x14ac:dyDescent="0.25">
      <c r="A10" s="53"/>
      <c r="B10" s="57" t="s">
        <v>383</v>
      </c>
      <c r="C10" s="58"/>
      <c r="D10" s="58"/>
      <c r="E10" s="53"/>
      <c r="G10" s="58"/>
      <c r="H10" s="58"/>
    </row>
    <row r="11" spans="1:8" ht="18" customHeight="1" x14ac:dyDescent="0.25">
      <c r="A11" s="53"/>
      <c r="B11" s="59" t="s">
        <v>384</v>
      </c>
      <c r="C11" s="60">
        <v>5</v>
      </c>
      <c r="D11" s="61" t="s">
        <v>385</v>
      </c>
      <c r="E11" s="53"/>
      <c r="G11" s="60">
        <v>1</v>
      </c>
      <c r="H11" s="61" t="s">
        <v>385</v>
      </c>
    </row>
    <row r="12" spans="1:8" ht="18" customHeight="1" x14ac:dyDescent="0.25">
      <c r="A12" s="53"/>
      <c r="B12" s="59" t="s">
        <v>386</v>
      </c>
      <c r="C12" s="60">
        <v>200</v>
      </c>
      <c r="D12" s="61" t="s">
        <v>387</v>
      </c>
      <c r="E12" s="53"/>
      <c r="G12" s="60">
        <v>75</v>
      </c>
      <c r="H12" s="61" t="s">
        <v>387</v>
      </c>
    </row>
    <row r="13" spans="1:8" ht="18" customHeight="1" x14ac:dyDescent="0.25">
      <c r="A13" s="53"/>
      <c r="B13" s="58"/>
      <c r="C13" s="58"/>
      <c r="D13" s="58"/>
      <c r="E13" s="53"/>
      <c r="G13" s="58"/>
      <c r="H13" s="58"/>
    </row>
    <row r="14" spans="1:8" ht="18" customHeight="1" x14ac:dyDescent="0.25">
      <c r="A14" s="53"/>
      <c r="B14" s="57" t="s">
        <v>388</v>
      </c>
      <c r="C14" s="58"/>
      <c r="D14" s="58"/>
      <c r="E14" s="53"/>
      <c r="G14" s="58"/>
      <c r="H14" s="58"/>
    </row>
    <row r="15" spans="1:8" ht="18" customHeight="1" x14ac:dyDescent="0.25">
      <c r="A15" s="53"/>
      <c r="B15" s="59" t="s">
        <v>389</v>
      </c>
      <c r="C15" s="60">
        <v>10</v>
      </c>
      <c r="D15" s="61" t="s">
        <v>390</v>
      </c>
      <c r="E15" s="53"/>
      <c r="G15" s="60">
        <v>1</v>
      </c>
      <c r="H15" s="61" t="s">
        <v>390</v>
      </c>
    </row>
    <row r="16" spans="1:8" ht="18" customHeight="1" x14ac:dyDescent="0.25">
      <c r="A16" s="53"/>
      <c r="B16" s="59" t="s">
        <v>391</v>
      </c>
      <c r="C16" s="60">
        <v>1500</v>
      </c>
      <c r="D16" s="61" t="s">
        <v>392</v>
      </c>
      <c r="E16" s="53"/>
      <c r="G16" s="60">
        <v>1000</v>
      </c>
      <c r="H16" s="61" t="s">
        <v>392</v>
      </c>
    </row>
    <row r="17" spans="1:8" ht="18" customHeight="1" x14ac:dyDescent="0.25">
      <c r="A17" s="53"/>
      <c r="B17" s="58"/>
      <c r="C17" s="58"/>
      <c r="D17" s="58"/>
      <c r="E17" s="53"/>
      <c r="G17" s="58"/>
      <c r="H17" s="58"/>
    </row>
    <row r="18" spans="1:8" ht="18" customHeight="1" x14ac:dyDescent="0.25">
      <c r="A18" s="53"/>
      <c r="B18" s="57" t="s">
        <v>393</v>
      </c>
      <c r="C18" s="58"/>
      <c r="D18" s="58"/>
      <c r="E18" s="53"/>
      <c r="G18" s="58"/>
      <c r="H18" s="58"/>
    </row>
    <row r="19" spans="1:8" ht="18" customHeight="1" x14ac:dyDescent="0.25">
      <c r="A19" s="53"/>
      <c r="B19" s="59" t="s">
        <v>394</v>
      </c>
      <c r="C19" s="60">
        <v>20000</v>
      </c>
      <c r="D19" s="61" t="s">
        <v>395</v>
      </c>
      <c r="E19" s="53"/>
      <c r="G19" s="60">
        <v>3500</v>
      </c>
      <c r="H19" s="61" t="s">
        <v>395</v>
      </c>
    </row>
    <row r="20" spans="1:8" ht="18" customHeight="1" x14ac:dyDescent="0.25">
      <c r="A20" s="53"/>
      <c r="B20" s="59" t="s">
        <v>396</v>
      </c>
      <c r="C20" s="60">
        <v>2350</v>
      </c>
      <c r="D20" s="61" t="s">
        <v>397</v>
      </c>
      <c r="E20" s="53"/>
      <c r="G20" s="60">
        <v>1600</v>
      </c>
      <c r="H20" s="61" t="s">
        <v>398</v>
      </c>
    </row>
    <row r="21" spans="1:8" ht="18" customHeight="1" x14ac:dyDescent="0.25">
      <c r="A21" s="53"/>
      <c r="B21" s="58"/>
      <c r="C21" s="58"/>
      <c r="D21" s="58"/>
      <c r="E21" s="53"/>
    </row>
    <row r="22" spans="1:8" ht="18" customHeight="1" x14ac:dyDescent="0.25">
      <c r="A22" s="53"/>
      <c r="B22" s="6" t="s">
        <v>399</v>
      </c>
      <c r="C22" s="6"/>
      <c r="D22" s="6"/>
      <c r="E22" s="53"/>
      <c r="G22" s="55" t="s">
        <v>400</v>
      </c>
      <c r="H22" s="56"/>
    </row>
    <row r="23" spans="1:8" ht="18" customHeight="1" x14ac:dyDescent="0.25">
      <c r="A23" s="53"/>
      <c r="B23" s="58"/>
      <c r="C23" s="58"/>
      <c r="D23" s="58"/>
      <c r="E23" s="53"/>
    </row>
    <row r="24" spans="1:8" ht="18" customHeight="1" x14ac:dyDescent="0.25">
      <c r="A24" s="53"/>
      <c r="B24" s="61" t="s">
        <v>401</v>
      </c>
      <c r="C24" s="62">
        <f>C6*C7*C8*4</f>
        <v>4000</v>
      </c>
      <c r="D24" s="61" t="s">
        <v>402</v>
      </c>
      <c r="E24" s="53"/>
      <c r="G24" s="62">
        <f>G6*G7*G8*4</f>
        <v>2560</v>
      </c>
      <c r="H24" s="61" t="s">
        <v>402</v>
      </c>
    </row>
    <row r="25" spans="1:8" ht="18" customHeight="1" x14ac:dyDescent="0.25">
      <c r="A25" s="53"/>
      <c r="B25" s="61" t="s">
        <v>403</v>
      </c>
      <c r="C25" s="62">
        <f>C11*C12*4</f>
        <v>4000</v>
      </c>
      <c r="D25" s="61" t="s">
        <v>402</v>
      </c>
      <c r="E25" s="53"/>
      <c r="G25" s="62">
        <f>G11*G12*4</f>
        <v>300</v>
      </c>
      <c r="H25" s="61" t="s">
        <v>402</v>
      </c>
    </row>
    <row r="26" spans="1:8" ht="18" customHeight="1" x14ac:dyDescent="0.25">
      <c r="A26" s="53"/>
      <c r="B26" s="61" t="s">
        <v>404</v>
      </c>
      <c r="C26" s="62">
        <f>C15*C16</f>
        <v>15000</v>
      </c>
      <c r="D26" s="61" t="s">
        <v>402</v>
      </c>
      <c r="E26" s="53"/>
      <c r="G26" s="62">
        <f>G15*G16</f>
        <v>1000</v>
      </c>
      <c r="H26" s="61" t="s">
        <v>402</v>
      </c>
    </row>
    <row r="27" spans="1:8" ht="18" customHeight="1" x14ac:dyDescent="0.25">
      <c r="A27" s="53"/>
      <c r="B27" s="57" t="s">
        <v>405</v>
      </c>
      <c r="C27" s="63">
        <f>SUM(C24:C26)</f>
        <v>23000</v>
      </c>
      <c r="D27" s="57" t="s">
        <v>406</v>
      </c>
      <c r="E27" s="53"/>
      <c r="G27" s="63">
        <f>SUM(G24:G26)</f>
        <v>3860</v>
      </c>
      <c r="H27" s="57" t="s">
        <v>406</v>
      </c>
    </row>
    <row r="28" spans="1:8" ht="18" customHeight="1" x14ac:dyDescent="0.25">
      <c r="A28" s="53"/>
      <c r="B28" s="61" t="s">
        <v>407</v>
      </c>
      <c r="C28" s="64">
        <f>C20</f>
        <v>2350</v>
      </c>
      <c r="D28" s="61" t="s">
        <v>402</v>
      </c>
      <c r="E28" s="53"/>
      <c r="G28" s="64">
        <f>G20</f>
        <v>1600</v>
      </c>
      <c r="H28" s="61" t="s">
        <v>402</v>
      </c>
    </row>
    <row r="29" spans="1:8" ht="18" customHeight="1" x14ac:dyDescent="0.25">
      <c r="A29" s="53"/>
      <c r="B29" s="57" t="s">
        <v>408</v>
      </c>
      <c r="C29" s="65">
        <f>C27-C28</f>
        <v>20650</v>
      </c>
      <c r="D29" s="57" t="s">
        <v>402</v>
      </c>
      <c r="E29" s="53"/>
      <c r="G29" s="65">
        <f>G27-G28</f>
        <v>2260</v>
      </c>
      <c r="H29" s="57" t="s">
        <v>402</v>
      </c>
    </row>
    <row r="30" spans="1:8" ht="18" customHeight="1" x14ac:dyDescent="0.25">
      <c r="A30" s="53"/>
      <c r="B30" s="57" t="s">
        <v>409</v>
      </c>
      <c r="C30" s="66">
        <f>C29*12</f>
        <v>247800</v>
      </c>
      <c r="D30" s="57" t="s">
        <v>402</v>
      </c>
      <c r="E30" s="53"/>
      <c r="G30" s="66">
        <f>G29*12</f>
        <v>27120</v>
      </c>
      <c r="H30" s="57" t="s">
        <v>402</v>
      </c>
    </row>
    <row r="31" spans="1:8" ht="21.75" customHeight="1" x14ac:dyDescent="0.25">
      <c r="B31" s="67" t="s">
        <v>410</v>
      </c>
      <c r="C31" s="68">
        <f>C19+C20*12</f>
        <v>48200</v>
      </c>
      <c r="D31" s="67" t="s">
        <v>411</v>
      </c>
      <c r="G31" s="68">
        <f>G19+G20*12</f>
        <v>22700</v>
      </c>
      <c r="H31" s="67" t="s">
        <v>402</v>
      </c>
    </row>
    <row r="32" spans="1:8" ht="18" customHeight="1" x14ac:dyDescent="0.25">
      <c r="A32" s="53"/>
      <c r="B32" s="57" t="s">
        <v>412</v>
      </c>
      <c r="C32" s="69">
        <f>IF(C29&lt;=0,"N/A",C19/C29)</f>
        <v>0.96852300242130751</v>
      </c>
      <c r="D32" s="57" t="s">
        <v>413</v>
      </c>
      <c r="E32" s="53"/>
      <c r="G32" s="69">
        <f>IF(G29&lt;=0,"N/A",G19/G29)</f>
        <v>1.5486725663716814</v>
      </c>
      <c r="H32" s="57" t="s">
        <v>413</v>
      </c>
    </row>
    <row r="33" spans="1:8" ht="18" customHeight="1" x14ac:dyDescent="0.25">
      <c r="A33" s="53"/>
      <c r="B33" s="67" t="s">
        <v>414</v>
      </c>
      <c r="C33" s="70">
        <f>IF(C31=0,"N/A",(C30-C19)/C31)</f>
        <v>4.7261410788381744</v>
      </c>
      <c r="D33" s="67" t="s">
        <v>415</v>
      </c>
      <c r="E33" s="53"/>
      <c r="G33" s="70">
        <f>IF(G31=0,"N/A",(G30-G19)/G31)</f>
        <v>1.0405286343612334</v>
      </c>
      <c r="H33" s="67" t="s">
        <v>416</v>
      </c>
    </row>
    <row r="34" spans="1:8" ht="21.75" customHeight="1" x14ac:dyDescent="0.25">
      <c r="A34" s="53"/>
      <c r="B34" s="67" t="s">
        <v>417</v>
      </c>
      <c r="C34" s="71">
        <f>IF(C20=0,"N/A",C29*12/(C20*12))</f>
        <v>8.787234042553191</v>
      </c>
      <c r="E34" s="53"/>
      <c r="G34" s="72">
        <f>IF(G20=0,"N/A",G29*12/(G20*12))</f>
        <v>1.4125000000000001</v>
      </c>
      <c r="H34" s="67" t="s">
        <v>416</v>
      </c>
    </row>
    <row r="35" spans="1:8" ht="21.75" customHeight="1" x14ac:dyDescent="0.25">
      <c r="B35" s="5" t="s">
        <v>418</v>
      </c>
      <c r="C35" s="5"/>
      <c r="D35" s="5"/>
    </row>
    <row r="36" spans="1:8" ht="21.75" customHeight="1" x14ac:dyDescent="0.25">
      <c r="B36" s="67" t="s">
        <v>419</v>
      </c>
      <c r="C36" s="73">
        <f>IF(C19+C27=0,"N/A",(C27*12-C19)/12)</f>
        <v>21333.333333333332</v>
      </c>
      <c r="D36" s="67" t="s">
        <v>420</v>
      </c>
      <c r="G36" s="73">
        <f>IF(G19+G27=0,"N/A",(G27*12-G19)/12)</f>
        <v>3568.3333333333335</v>
      </c>
      <c r="H36" s="67" t="s">
        <v>421</v>
      </c>
    </row>
    <row r="37" spans="1:8" ht="27" customHeight="1" x14ac:dyDescent="0.25">
      <c r="B37" s="67" t="s">
        <v>422</v>
      </c>
      <c r="C37" s="73">
        <f>IF(C36="N/A","N/A",C36-C20)</f>
        <v>18983.333333333332</v>
      </c>
      <c r="D37" s="67" t="s">
        <v>423</v>
      </c>
      <c r="G37" s="73">
        <f>IF(G36="N/A","N/A",G36-G20)</f>
        <v>1968.3333333333335</v>
      </c>
      <c r="H37" s="67" t="s">
        <v>421</v>
      </c>
    </row>
    <row r="38" spans="1:8" ht="18" customHeight="1" x14ac:dyDescent="0.25">
      <c r="B38" s="74" t="s">
        <v>424</v>
      </c>
    </row>
    <row r="39" spans="1:8" ht="40.5" customHeight="1" x14ac:dyDescent="0.25">
      <c r="B39" s="67" t="s">
        <v>425</v>
      </c>
      <c r="C39" s="75">
        <v>0</v>
      </c>
      <c r="D39" s="67" t="s">
        <v>426</v>
      </c>
      <c r="G39" s="75">
        <v>0</v>
      </c>
      <c r="H39" s="67" t="s">
        <v>421</v>
      </c>
    </row>
    <row r="40" spans="1:8" ht="27" customHeight="1" x14ac:dyDescent="0.25">
      <c r="B40" s="67" t="s">
        <v>427</v>
      </c>
      <c r="C40" s="76" t="str">
        <f>IF(C39=0,"(enter staffing cost above)",C39-C20)</f>
        <v>(enter staffing cost above)</v>
      </c>
      <c r="D40" s="67" t="s">
        <v>428</v>
      </c>
      <c r="G40" s="76" t="str">
        <f>IF(G39=0,"(enter staffing cost above)",G39-G20)</f>
        <v>(enter staffing cost above)</v>
      </c>
      <c r="H40" s="67" t="s">
        <v>421</v>
      </c>
    </row>
    <row r="41" spans="1:8" ht="52.5" customHeight="1" x14ac:dyDescent="0.25">
      <c r="B41" s="4" t="s">
        <v>429</v>
      </c>
      <c r="C41" s="4"/>
      <c r="D41" s="4"/>
      <c r="E41" s="4"/>
      <c r="F41" s="4"/>
      <c r="G41" s="4"/>
      <c r="H41" s="4"/>
    </row>
    <row r="42" spans="1:8" ht="6" customHeight="1" x14ac:dyDescent="0.25"/>
    <row r="43" spans="1:8" ht="55.25" customHeight="1" x14ac:dyDescent="0.25">
      <c r="A43" s="53"/>
      <c r="B43" s="3" t="s">
        <v>430</v>
      </c>
      <c r="C43" s="3"/>
      <c r="D43" s="3"/>
      <c r="E43" s="53"/>
    </row>
  </sheetData>
  <mergeCells count="6">
    <mergeCell ref="B43:D43"/>
    <mergeCell ref="B2:D2"/>
    <mergeCell ref="B4:D4"/>
    <mergeCell ref="B22:D22"/>
    <mergeCell ref="B35:D35"/>
    <mergeCell ref="B41:H41"/>
  </mergeCell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9"/>
  <sheetViews>
    <sheetView zoomScale="120" zoomScaleNormal="120" workbookViewId="0">
      <selection activeCell="A3" sqref="A3"/>
    </sheetView>
  </sheetViews>
  <sheetFormatPr baseColWidth="10" defaultColWidth="8.83203125" defaultRowHeight="15" x14ac:dyDescent="0.2"/>
  <cols>
    <col min="1" max="2" width="21.83203125" customWidth="1"/>
    <col min="7" max="10" width="21.83203125" customWidth="1"/>
  </cols>
  <sheetData>
    <row r="1" spans="1:10" ht="60.75" customHeight="1" x14ac:dyDescent="0.2">
      <c r="A1" s="8" t="s">
        <v>431</v>
      </c>
      <c r="B1" s="8"/>
      <c r="C1" s="8"/>
      <c r="D1" s="8"/>
      <c r="E1" s="8"/>
      <c r="F1" s="8"/>
      <c r="G1" s="8"/>
      <c r="H1" s="8"/>
      <c r="I1" s="8"/>
      <c r="J1" s="8"/>
    </row>
    <row r="2" spans="1:10" ht="15" customHeight="1" x14ac:dyDescent="0.2"/>
    <row r="3" spans="1:10" ht="27.75" customHeight="1" x14ac:dyDescent="0.2">
      <c r="A3" s="15" t="s">
        <v>84</v>
      </c>
      <c r="B3" s="15" t="s">
        <v>25</v>
      </c>
      <c r="C3" s="15" t="s">
        <v>26</v>
      </c>
      <c r="D3" s="15" t="s">
        <v>27</v>
      </c>
      <c r="E3" s="15" t="s">
        <v>28</v>
      </c>
      <c r="F3" s="15" t="s">
        <v>29</v>
      </c>
      <c r="G3" s="15" t="s">
        <v>432</v>
      </c>
      <c r="H3" s="15" t="s">
        <v>32</v>
      </c>
      <c r="I3" s="15" t="s">
        <v>83</v>
      </c>
      <c r="J3" s="15" t="s">
        <v>433</v>
      </c>
    </row>
    <row r="4" spans="1:10" ht="21" customHeight="1" x14ac:dyDescent="0.2">
      <c r="A4" t="s">
        <v>434</v>
      </c>
      <c r="B4" t="s">
        <v>43</v>
      </c>
      <c r="C4">
        <v>1500</v>
      </c>
      <c r="D4">
        <v>3000</v>
      </c>
      <c r="E4">
        <v>250</v>
      </c>
      <c r="F4">
        <v>600</v>
      </c>
      <c r="G4" t="s">
        <v>435</v>
      </c>
      <c r="H4" t="s">
        <v>436</v>
      </c>
      <c r="I4" t="s">
        <v>437</v>
      </c>
      <c r="J4" t="s">
        <v>48</v>
      </c>
    </row>
    <row r="5" spans="1:10" ht="21" customHeight="1" x14ac:dyDescent="0.2">
      <c r="A5" t="s">
        <v>438</v>
      </c>
      <c r="B5" t="s">
        <v>36</v>
      </c>
      <c r="C5">
        <v>1200</v>
      </c>
      <c r="D5">
        <v>2500</v>
      </c>
      <c r="E5">
        <v>250</v>
      </c>
      <c r="F5">
        <v>500</v>
      </c>
      <c r="G5" t="s">
        <v>439</v>
      </c>
      <c r="H5" t="s">
        <v>436</v>
      </c>
      <c r="I5" t="s">
        <v>440</v>
      </c>
      <c r="J5" t="s">
        <v>41</v>
      </c>
    </row>
    <row r="6" spans="1:10" ht="21" customHeight="1" x14ac:dyDescent="0.2">
      <c r="A6" t="s">
        <v>441</v>
      </c>
      <c r="B6" t="s">
        <v>50</v>
      </c>
      <c r="C6">
        <v>3500</v>
      </c>
      <c r="D6">
        <v>7500</v>
      </c>
      <c r="E6">
        <v>750</v>
      </c>
      <c r="F6">
        <v>1500</v>
      </c>
      <c r="G6" t="s">
        <v>442</v>
      </c>
      <c r="H6" t="s">
        <v>443</v>
      </c>
      <c r="I6" t="s">
        <v>444</v>
      </c>
      <c r="J6" t="s">
        <v>55</v>
      </c>
    </row>
    <row r="7" spans="1:10" ht="21" customHeight="1" x14ac:dyDescent="0.2">
      <c r="A7" t="s">
        <v>445</v>
      </c>
      <c r="B7" t="s">
        <v>57</v>
      </c>
      <c r="C7">
        <v>7500</v>
      </c>
      <c r="D7">
        <v>15000</v>
      </c>
      <c r="E7">
        <v>1500</v>
      </c>
      <c r="F7">
        <v>3500</v>
      </c>
      <c r="G7" t="s">
        <v>446</v>
      </c>
      <c r="H7" t="s">
        <v>443</v>
      </c>
      <c r="I7" t="s">
        <v>447</v>
      </c>
      <c r="J7" t="s">
        <v>62</v>
      </c>
    </row>
    <row r="8" spans="1:10" ht="21" customHeight="1" x14ac:dyDescent="0.2">
      <c r="A8" t="s">
        <v>448</v>
      </c>
      <c r="B8" t="s">
        <v>64</v>
      </c>
      <c r="C8">
        <v>12000</v>
      </c>
      <c r="D8">
        <v>30000</v>
      </c>
      <c r="E8">
        <v>2500</v>
      </c>
      <c r="F8">
        <v>6000</v>
      </c>
      <c r="G8" t="s">
        <v>449</v>
      </c>
      <c r="H8" t="s">
        <v>450</v>
      </c>
      <c r="I8" t="s">
        <v>68</v>
      </c>
      <c r="J8" t="s">
        <v>69</v>
      </c>
    </row>
    <row r="9" spans="1:10" ht="21" customHeight="1" x14ac:dyDescent="0.2">
      <c r="A9" t="s">
        <v>451</v>
      </c>
      <c r="B9" t="s">
        <v>71</v>
      </c>
      <c r="C9">
        <v>4500</v>
      </c>
      <c r="D9">
        <v>15000</v>
      </c>
      <c r="E9">
        <v>0</v>
      </c>
      <c r="F9">
        <v>1000</v>
      </c>
      <c r="G9" t="s">
        <v>452</v>
      </c>
      <c r="H9" t="s">
        <v>453</v>
      </c>
      <c r="I9" t="s">
        <v>454</v>
      </c>
      <c r="J9" t="s">
        <v>76</v>
      </c>
    </row>
  </sheetData>
  <mergeCells count="1">
    <mergeCell ref="A1:J1"/>
  </mergeCell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9"/>
  <sheetViews>
    <sheetView zoomScale="120" zoomScaleNormal="120" workbookViewId="0">
      <selection activeCell="A3" sqref="A3"/>
    </sheetView>
  </sheetViews>
  <sheetFormatPr baseColWidth="10" defaultColWidth="8.83203125" defaultRowHeight="15" x14ac:dyDescent="0.2"/>
  <cols>
    <col min="1" max="5" width="21.83203125" customWidth="1"/>
    <col min="7" max="9" width="21.83203125" customWidth="1"/>
  </cols>
  <sheetData>
    <row r="1" spans="1:12" ht="60.75" customHeight="1" x14ac:dyDescent="0.2">
      <c r="A1" s="8" t="s">
        <v>455</v>
      </c>
      <c r="B1" s="8"/>
      <c r="C1" s="8"/>
      <c r="D1" s="8"/>
      <c r="E1" s="8"/>
      <c r="F1" s="8"/>
      <c r="G1" s="8"/>
      <c r="H1" s="8"/>
      <c r="I1" s="8"/>
    </row>
    <row r="2" spans="1:12" ht="15" customHeight="1" x14ac:dyDescent="0.2"/>
    <row r="3" spans="1:12" ht="27.75" customHeight="1" x14ac:dyDescent="0.2">
      <c r="A3" s="15" t="s">
        <v>456</v>
      </c>
      <c r="B3" s="15" t="s">
        <v>170</v>
      </c>
      <c r="C3" s="15" t="s">
        <v>457</v>
      </c>
      <c r="D3" s="15" t="s">
        <v>458</v>
      </c>
      <c r="E3" s="15" t="s">
        <v>459</v>
      </c>
      <c r="F3" s="15" t="s">
        <v>460</v>
      </c>
      <c r="G3" s="15" t="s">
        <v>169</v>
      </c>
      <c r="H3" s="15" t="s">
        <v>461</v>
      </c>
      <c r="I3" s="15" t="s">
        <v>33</v>
      </c>
      <c r="J3" t="s">
        <v>462</v>
      </c>
      <c r="K3" t="s">
        <v>463</v>
      </c>
      <c r="L3" t="s">
        <v>464</v>
      </c>
    </row>
    <row r="4" spans="1:12" ht="27.75" customHeight="1" x14ac:dyDescent="0.2">
      <c r="A4" t="s">
        <v>139</v>
      </c>
      <c r="B4" t="s">
        <v>465</v>
      </c>
      <c r="C4" t="s">
        <v>466</v>
      </c>
      <c r="D4" t="s">
        <v>467</v>
      </c>
      <c r="E4" t="s">
        <v>468</v>
      </c>
      <c r="F4" t="s">
        <v>469</v>
      </c>
      <c r="G4" t="s">
        <v>192</v>
      </c>
      <c r="H4" t="s">
        <v>470</v>
      </c>
      <c r="I4" t="s">
        <v>471</v>
      </c>
      <c r="J4">
        <v>1</v>
      </c>
      <c r="K4" t="s">
        <v>472</v>
      </c>
      <c r="L4" t="s">
        <v>473</v>
      </c>
    </row>
    <row r="5" spans="1:12" ht="21" customHeight="1" x14ac:dyDescent="0.2">
      <c r="A5" t="s">
        <v>474</v>
      </c>
      <c r="B5" t="s">
        <v>475</v>
      </c>
      <c r="C5" t="s">
        <v>476</v>
      </c>
      <c r="D5" t="s">
        <v>477</v>
      </c>
      <c r="E5" t="s">
        <v>468</v>
      </c>
      <c r="F5" t="s">
        <v>469</v>
      </c>
      <c r="G5" t="s">
        <v>478</v>
      </c>
      <c r="H5" t="s">
        <v>479</v>
      </c>
      <c r="I5" t="s">
        <v>480</v>
      </c>
      <c r="J5">
        <v>1.1000000000000001</v>
      </c>
      <c r="K5" t="s">
        <v>481</v>
      </c>
      <c r="L5" t="s">
        <v>482</v>
      </c>
    </row>
    <row r="6" spans="1:12" ht="21" customHeight="1" x14ac:dyDescent="0.2">
      <c r="A6" t="s">
        <v>483</v>
      </c>
      <c r="B6" t="s">
        <v>484</v>
      </c>
      <c r="C6" t="s">
        <v>485</v>
      </c>
      <c r="D6" t="s">
        <v>486</v>
      </c>
      <c r="E6" t="s">
        <v>487</v>
      </c>
      <c r="F6" t="s">
        <v>488</v>
      </c>
      <c r="G6" t="s">
        <v>489</v>
      </c>
      <c r="H6" t="s">
        <v>490</v>
      </c>
      <c r="I6" t="s">
        <v>491</v>
      </c>
      <c r="J6">
        <v>1.2</v>
      </c>
      <c r="K6" t="s">
        <v>492</v>
      </c>
      <c r="L6" t="s">
        <v>493</v>
      </c>
    </row>
    <row r="7" spans="1:12" ht="21" customHeight="1" x14ac:dyDescent="0.2">
      <c r="A7" t="s">
        <v>494</v>
      </c>
      <c r="B7" t="s">
        <v>495</v>
      </c>
      <c r="C7" t="s">
        <v>496</v>
      </c>
      <c r="D7" t="s">
        <v>497</v>
      </c>
      <c r="E7" t="s">
        <v>498</v>
      </c>
      <c r="F7" t="s">
        <v>488</v>
      </c>
      <c r="G7" t="s">
        <v>499</v>
      </c>
      <c r="H7" t="s">
        <v>500</v>
      </c>
      <c r="I7" t="s">
        <v>501</v>
      </c>
      <c r="J7">
        <v>1.5</v>
      </c>
      <c r="K7" t="s">
        <v>502</v>
      </c>
      <c r="L7" t="s">
        <v>503</v>
      </c>
    </row>
    <row r="8" spans="1:12" ht="21" customHeight="1" x14ac:dyDescent="0.2">
      <c r="A8" t="s">
        <v>164</v>
      </c>
      <c r="B8" t="s">
        <v>504</v>
      </c>
      <c r="C8" t="s">
        <v>505</v>
      </c>
      <c r="D8" t="s">
        <v>506</v>
      </c>
      <c r="E8" t="s">
        <v>507</v>
      </c>
      <c r="F8" t="s">
        <v>508</v>
      </c>
      <c r="G8" t="s">
        <v>509</v>
      </c>
      <c r="H8" t="s">
        <v>510</v>
      </c>
      <c r="I8" t="s">
        <v>511</v>
      </c>
      <c r="J8">
        <v>2</v>
      </c>
      <c r="K8" t="s">
        <v>512</v>
      </c>
      <c r="L8" t="s">
        <v>513</v>
      </c>
    </row>
    <row r="9" spans="1:12" ht="21" customHeight="1" x14ac:dyDescent="0.2"/>
  </sheetData>
  <mergeCells count="1">
    <mergeCell ref="A1:I1"/>
  </mergeCell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9"/>
  <sheetViews>
    <sheetView zoomScale="120" zoomScaleNormal="120" workbookViewId="0">
      <selection activeCell="A3" sqref="A3"/>
    </sheetView>
  </sheetViews>
  <sheetFormatPr baseColWidth="10" defaultColWidth="8.83203125" defaultRowHeight="15" x14ac:dyDescent="0.2"/>
  <cols>
    <col min="1" max="6" width="21.83203125" customWidth="1"/>
  </cols>
  <sheetData>
    <row r="1" spans="1:6" ht="46.5" customHeight="1" x14ac:dyDescent="0.2">
      <c r="A1" s="10" t="s">
        <v>514</v>
      </c>
      <c r="B1" s="10"/>
      <c r="C1" s="10"/>
      <c r="D1" s="10"/>
      <c r="E1" s="10"/>
      <c r="F1" s="10"/>
    </row>
    <row r="3" spans="1:6" ht="21" customHeight="1" x14ac:dyDescent="0.2">
      <c r="A3" s="77" t="s">
        <v>515</v>
      </c>
      <c r="B3" t="s">
        <v>516</v>
      </c>
    </row>
    <row r="4" spans="1:6" ht="21" customHeight="1" x14ac:dyDescent="0.2">
      <c r="A4" s="77" t="s">
        <v>517</v>
      </c>
      <c r="B4" t="s">
        <v>518</v>
      </c>
    </row>
    <row r="5" spans="1:6" ht="21" customHeight="1" x14ac:dyDescent="0.2">
      <c r="A5" s="77" t="s">
        <v>519</v>
      </c>
      <c r="B5" t="s">
        <v>520</v>
      </c>
    </row>
    <row r="6" spans="1:6" ht="21" customHeight="1" x14ac:dyDescent="0.2">
      <c r="A6" s="77" t="s">
        <v>521</v>
      </c>
      <c r="B6" t="s">
        <v>522</v>
      </c>
    </row>
    <row r="7" spans="1:6" ht="21" customHeight="1" x14ac:dyDescent="0.2">
      <c r="A7" s="77" t="s">
        <v>523</v>
      </c>
      <c r="B7" t="s">
        <v>524</v>
      </c>
    </row>
    <row r="8" spans="1:6" ht="21" customHeight="1" x14ac:dyDescent="0.2">
      <c r="A8" s="77" t="s">
        <v>525</v>
      </c>
      <c r="B8" t="s">
        <v>526</v>
      </c>
    </row>
    <row r="9" spans="1:6" ht="21" customHeight="1" x14ac:dyDescent="0.2">
      <c r="A9" s="77" t="s">
        <v>527</v>
      </c>
      <c r="B9" t="s">
        <v>528</v>
      </c>
    </row>
    <row r="10" spans="1:6" ht="21" customHeight="1" x14ac:dyDescent="0.2">
      <c r="A10" s="77" t="s">
        <v>32</v>
      </c>
      <c r="B10" t="s">
        <v>529</v>
      </c>
    </row>
    <row r="11" spans="1:6" ht="21" customHeight="1" x14ac:dyDescent="0.2">
      <c r="A11" s="77" t="s">
        <v>530</v>
      </c>
      <c r="B11" t="s">
        <v>531</v>
      </c>
    </row>
    <row r="12" spans="1:6" ht="21" customHeight="1" x14ac:dyDescent="0.2">
      <c r="A12" s="77" t="s">
        <v>532</v>
      </c>
      <c r="B12" t="s">
        <v>533</v>
      </c>
    </row>
    <row r="13" spans="1:6" ht="21" customHeight="1" x14ac:dyDescent="0.2">
      <c r="A13" s="77" t="s">
        <v>534</v>
      </c>
      <c r="B13" t="s">
        <v>535</v>
      </c>
    </row>
    <row r="14" spans="1:6" ht="21" customHeight="1" x14ac:dyDescent="0.2">
      <c r="A14" s="77" t="s">
        <v>83</v>
      </c>
      <c r="B14" t="s">
        <v>536</v>
      </c>
    </row>
    <row r="15" spans="1:6" ht="21" customHeight="1" x14ac:dyDescent="0.2">
      <c r="A15" s="77"/>
    </row>
    <row r="16" spans="1:6" ht="21" customHeight="1" x14ac:dyDescent="0.2">
      <c r="A16" s="77" t="s">
        <v>537</v>
      </c>
      <c r="B16" t="s">
        <v>538</v>
      </c>
    </row>
    <row r="17" spans="1:2" ht="21" customHeight="1" x14ac:dyDescent="0.2">
      <c r="A17" s="77" t="s">
        <v>539</v>
      </c>
      <c r="B17" t="s">
        <v>18</v>
      </c>
    </row>
    <row r="18" spans="1:2" ht="21" customHeight="1" x14ac:dyDescent="0.2">
      <c r="A18" s="77" t="s">
        <v>166</v>
      </c>
      <c r="B18" t="s">
        <v>540</v>
      </c>
    </row>
    <row r="19" spans="1:2" ht="21" customHeight="1" x14ac:dyDescent="0.2">
      <c r="A19" s="77" t="s">
        <v>541</v>
      </c>
      <c r="B19" t="s">
        <v>542</v>
      </c>
    </row>
  </sheetData>
  <mergeCells count="1">
    <mergeCell ref="A1:F1"/>
  </mergeCell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F125"/>
  <sheetViews>
    <sheetView topLeftCell="A59" zoomScale="120" zoomScaleNormal="120" workbookViewId="0">
      <selection activeCell="B68" sqref="B68"/>
    </sheetView>
  </sheetViews>
  <sheetFormatPr baseColWidth="10" defaultColWidth="8.83203125" defaultRowHeight="15" x14ac:dyDescent="0.2"/>
  <cols>
    <col min="2" max="2" width="21.83203125" customWidth="1"/>
    <col min="3" max="6" width="34.83203125" customWidth="1"/>
  </cols>
  <sheetData>
    <row r="2" spans="1:2" ht="21" customHeight="1" x14ac:dyDescent="0.2">
      <c r="A2" t="s">
        <v>543</v>
      </c>
      <c r="B2" t="s">
        <v>544</v>
      </c>
    </row>
    <row r="3" spans="1:2" ht="21" customHeight="1" x14ac:dyDescent="0.2">
      <c r="A3" t="s">
        <v>545</v>
      </c>
      <c r="B3" t="s">
        <v>546</v>
      </c>
    </row>
    <row r="4" spans="1:2" ht="21" customHeight="1" x14ac:dyDescent="0.2">
      <c r="B4" t="s">
        <v>547</v>
      </c>
    </row>
    <row r="6" spans="1:2" ht="21" customHeight="1" x14ac:dyDescent="0.3">
      <c r="B6" s="78" t="s">
        <v>548</v>
      </c>
    </row>
    <row r="8" spans="1:2" ht="21" customHeight="1" x14ac:dyDescent="0.2">
      <c r="B8" s="79" t="s">
        <v>549</v>
      </c>
    </row>
    <row r="10" spans="1:2" ht="21" customHeight="1" x14ac:dyDescent="0.2">
      <c r="B10" t="s">
        <v>550</v>
      </c>
    </row>
    <row r="11" spans="1:2" ht="21" customHeight="1" x14ac:dyDescent="0.2">
      <c r="B11" t="s">
        <v>551</v>
      </c>
    </row>
    <row r="12" spans="1:2" ht="21" customHeight="1" x14ac:dyDescent="0.2">
      <c r="B12" t="s">
        <v>552</v>
      </c>
    </row>
    <row r="14" spans="1:2" ht="21" customHeight="1" x14ac:dyDescent="0.2">
      <c r="B14" s="79" t="s">
        <v>553</v>
      </c>
    </row>
    <row r="16" spans="1:2" ht="21" customHeight="1" x14ac:dyDescent="0.2">
      <c r="B16" t="s">
        <v>554</v>
      </c>
    </row>
    <row r="17" spans="2:2" ht="21" customHeight="1" x14ac:dyDescent="0.2">
      <c r="B17" t="s">
        <v>555</v>
      </c>
    </row>
    <row r="18" spans="2:2" ht="21" customHeight="1" x14ac:dyDescent="0.2">
      <c r="B18" t="s">
        <v>556</v>
      </c>
    </row>
    <row r="19" spans="2:2" ht="21" customHeight="1" x14ac:dyDescent="0.2">
      <c r="B19" t="s">
        <v>557</v>
      </c>
    </row>
    <row r="20" spans="2:2" ht="21" customHeight="1" x14ac:dyDescent="0.2">
      <c r="B20" t="s">
        <v>558</v>
      </c>
    </row>
    <row r="21" spans="2:2" ht="21" customHeight="1" x14ac:dyDescent="0.2">
      <c r="B21" t="s">
        <v>559</v>
      </c>
    </row>
    <row r="22" spans="2:2" ht="21" customHeight="1" x14ac:dyDescent="0.2">
      <c r="B22" t="s">
        <v>560</v>
      </c>
    </row>
    <row r="23" spans="2:2" ht="21" customHeight="1" x14ac:dyDescent="0.2">
      <c r="B23" t="s">
        <v>561</v>
      </c>
    </row>
    <row r="24" spans="2:2" ht="21" customHeight="1" x14ac:dyDescent="0.2">
      <c r="B24" t="s">
        <v>562</v>
      </c>
    </row>
    <row r="25" spans="2:2" ht="21" customHeight="1" x14ac:dyDescent="0.2">
      <c r="B25" t="s">
        <v>563</v>
      </c>
    </row>
    <row r="26" spans="2:2" ht="21" customHeight="1" x14ac:dyDescent="0.2">
      <c r="B26" t="s">
        <v>564</v>
      </c>
    </row>
    <row r="28" spans="2:2" ht="21" customHeight="1" x14ac:dyDescent="0.2">
      <c r="B28" s="79" t="s">
        <v>565</v>
      </c>
    </row>
    <row r="30" spans="2:2" ht="21" customHeight="1" x14ac:dyDescent="0.2">
      <c r="B30" t="s">
        <v>566</v>
      </c>
    </row>
    <row r="31" spans="2:2" ht="21" customHeight="1" x14ac:dyDescent="0.2">
      <c r="B31" t="s">
        <v>567</v>
      </c>
    </row>
    <row r="32" spans="2:2" ht="21" customHeight="1" x14ac:dyDescent="0.2">
      <c r="B32" t="s">
        <v>568</v>
      </c>
    </row>
    <row r="33" spans="2:3" ht="21" customHeight="1" x14ac:dyDescent="0.2">
      <c r="B33" t="s">
        <v>569</v>
      </c>
    </row>
    <row r="34" spans="2:3" ht="21" customHeight="1" x14ac:dyDescent="0.2">
      <c r="B34" t="s">
        <v>570</v>
      </c>
    </row>
    <row r="35" spans="2:3" ht="21" customHeight="1" x14ac:dyDescent="0.2">
      <c r="B35" t="s">
        <v>571</v>
      </c>
    </row>
    <row r="36" spans="2:3" ht="21" customHeight="1" x14ac:dyDescent="0.2">
      <c r="B36" t="s">
        <v>572</v>
      </c>
    </row>
    <row r="37" spans="2:3" ht="21" customHeight="1" x14ac:dyDescent="0.2">
      <c r="B37" t="s">
        <v>573</v>
      </c>
    </row>
    <row r="38" spans="2:3" ht="21" customHeight="1" x14ac:dyDescent="0.2">
      <c r="B38" t="s">
        <v>574</v>
      </c>
    </row>
    <row r="40" spans="2:3" ht="21" customHeight="1" x14ac:dyDescent="0.3">
      <c r="B40" s="78" t="s">
        <v>575</v>
      </c>
    </row>
    <row r="42" spans="2:3" ht="21" customHeight="1" x14ac:dyDescent="0.2">
      <c r="B42" t="s">
        <v>576</v>
      </c>
    </row>
    <row r="44" spans="2:3" ht="21" customHeight="1" x14ac:dyDescent="0.2">
      <c r="B44" s="80" t="s">
        <v>577</v>
      </c>
      <c r="C44" s="80" t="s">
        <v>578</v>
      </c>
    </row>
    <row r="45" spans="2:3" ht="21" customHeight="1" x14ac:dyDescent="0.2">
      <c r="B45" t="s">
        <v>579</v>
      </c>
      <c r="C45" t="s">
        <v>580</v>
      </c>
    </row>
    <row r="46" spans="2:3" ht="21" customHeight="1" x14ac:dyDescent="0.2">
      <c r="B46" t="s">
        <v>581</v>
      </c>
      <c r="C46" t="s">
        <v>582</v>
      </c>
    </row>
    <row r="47" spans="2:3" ht="21" customHeight="1" x14ac:dyDescent="0.2">
      <c r="B47" t="s">
        <v>583</v>
      </c>
      <c r="C47" t="s">
        <v>584</v>
      </c>
    </row>
    <row r="48" spans="2:3" ht="21" customHeight="1" x14ac:dyDescent="0.2">
      <c r="B48" t="s">
        <v>585</v>
      </c>
      <c r="C48" t="s">
        <v>586</v>
      </c>
    </row>
    <row r="49" spans="2:3" ht="21" customHeight="1" x14ac:dyDescent="0.2">
      <c r="B49" t="s">
        <v>587</v>
      </c>
      <c r="C49" t="s">
        <v>588</v>
      </c>
    </row>
    <row r="51" spans="2:3" ht="21" customHeight="1" x14ac:dyDescent="0.3">
      <c r="B51" s="78" t="s">
        <v>589</v>
      </c>
    </row>
    <row r="53" spans="2:3" ht="21" customHeight="1" x14ac:dyDescent="0.2">
      <c r="B53" t="s">
        <v>590</v>
      </c>
    </row>
    <row r="54" spans="2:3" ht="21" customHeight="1" x14ac:dyDescent="0.2">
      <c r="B54" t="s">
        <v>591</v>
      </c>
    </row>
    <row r="55" spans="2:3" ht="21" customHeight="1" x14ac:dyDescent="0.2">
      <c r="B55" t="s">
        <v>592</v>
      </c>
    </row>
    <row r="57" spans="2:3" ht="21" customHeight="1" x14ac:dyDescent="0.3">
      <c r="B57" s="78" t="s">
        <v>593</v>
      </c>
    </row>
    <row r="59" spans="2:3" ht="21" customHeight="1" x14ac:dyDescent="0.2">
      <c r="B59" t="s">
        <v>594</v>
      </c>
    </row>
    <row r="61" spans="2:3" ht="21" customHeight="1" x14ac:dyDescent="0.2">
      <c r="B61" t="s">
        <v>595</v>
      </c>
    </row>
    <row r="62" spans="2:3" ht="21" customHeight="1" x14ac:dyDescent="0.2">
      <c r="B62" t="s">
        <v>596</v>
      </c>
    </row>
    <row r="63" spans="2:3" ht="21" customHeight="1" x14ac:dyDescent="0.2">
      <c r="B63" t="s">
        <v>597</v>
      </c>
    </row>
    <row r="65" spans="1:6" ht="21" customHeight="1" x14ac:dyDescent="0.2">
      <c r="B65" t="s">
        <v>598</v>
      </c>
    </row>
    <row r="67" spans="1:6" ht="21" customHeight="1" x14ac:dyDescent="0.2">
      <c r="B67" s="81" t="s">
        <v>599</v>
      </c>
      <c r="C67" s="81"/>
      <c r="D67" s="81"/>
      <c r="E67" s="81"/>
      <c r="F67" s="81"/>
    </row>
    <row r="68" spans="1:6" ht="54.75" customHeight="1" x14ac:dyDescent="0.2">
      <c r="B68" s="82" t="s">
        <v>1</v>
      </c>
      <c r="C68" s="82" t="s">
        <v>600</v>
      </c>
      <c r="D68" s="82" t="s">
        <v>601</v>
      </c>
      <c r="E68" s="82" t="s">
        <v>602</v>
      </c>
      <c r="F68" s="82" t="s">
        <v>603</v>
      </c>
    </row>
    <row r="69" spans="1:6" ht="54.75" customHeight="1" x14ac:dyDescent="0.2">
      <c r="B69" s="18" t="s">
        <v>604</v>
      </c>
      <c r="C69" s="18" t="s">
        <v>605</v>
      </c>
      <c r="D69" s="18" t="s">
        <v>606</v>
      </c>
      <c r="E69" s="18" t="s">
        <v>607</v>
      </c>
      <c r="F69" s="18" t="s">
        <v>608</v>
      </c>
    </row>
    <row r="70" spans="1:6" ht="54.75" customHeight="1" x14ac:dyDescent="0.2">
      <c r="B70" s="18" t="s">
        <v>609</v>
      </c>
      <c r="C70" s="18" t="s">
        <v>610</v>
      </c>
      <c r="D70" s="18" t="s">
        <v>611</v>
      </c>
      <c r="E70" s="18" t="s">
        <v>612</v>
      </c>
      <c r="F70" s="18" t="s">
        <v>613</v>
      </c>
    </row>
    <row r="71" spans="1:6" ht="54.75" customHeight="1" x14ac:dyDescent="0.2">
      <c r="B71" s="18" t="s">
        <v>614</v>
      </c>
      <c r="C71" s="18" t="s">
        <v>615</v>
      </c>
      <c r="D71" s="18" t="s">
        <v>616</v>
      </c>
      <c r="E71" s="18" t="s">
        <v>617</v>
      </c>
      <c r="F71" s="18" t="s">
        <v>618</v>
      </c>
    </row>
    <row r="72" spans="1:6" ht="54.75" customHeight="1" x14ac:dyDescent="0.2">
      <c r="B72" s="83" t="s">
        <v>619</v>
      </c>
      <c r="C72" s="83" t="s">
        <v>620</v>
      </c>
      <c r="D72" s="83" t="s">
        <v>621</v>
      </c>
      <c r="E72" s="83" t="s">
        <v>622</v>
      </c>
      <c r="F72" s="83" t="s">
        <v>623</v>
      </c>
    </row>
    <row r="73" spans="1:6" ht="54.75" customHeight="1" x14ac:dyDescent="0.2">
      <c r="B73" s="83" t="s">
        <v>624</v>
      </c>
      <c r="C73" s="83" t="s">
        <v>625</v>
      </c>
      <c r="D73" s="83"/>
      <c r="E73" s="83"/>
      <c r="F73" s="83" t="s">
        <v>626</v>
      </c>
    </row>
    <row r="77" spans="1:6" ht="15" customHeight="1" x14ac:dyDescent="0.2">
      <c r="A77" s="84" t="s">
        <v>543</v>
      </c>
      <c r="B77" s="84" t="s">
        <v>627</v>
      </c>
    </row>
    <row r="78" spans="1:6" ht="15" customHeight="1" x14ac:dyDescent="0.2">
      <c r="A78" s="84" t="s">
        <v>545</v>
      </c>
      <c r="B78" s="84" t="s">
        <v>628</v>
      </c>
    </row>
    <row r="80" spans="1:6" ht="15" customHeight="1" x14ac:dyDescent="0.2">
      <c r="B80" s="80" t="s">
        <v>629</v>
      </c>
    </row>
    <row r="82" spans="2:3" ht="15" customHeight="1" x14ac:dyDescent="0.2">
      <c r="B82" s="80" t="s">
        <v>630</v>
      </c>
      <c r="C82" s="80" t="s">
        <v>25</v>
      </c>
    </row>
    <row r="83" spans="2:3" ht="15" customHeight="1" x14ac:dyDescent="0.2">
      <c r="B83" s="84" t="s">
        <v>631</v>
      </c>
      <c r="C83" s="84" t="s">
        <v>36</v>
      </c>
    </row>
    <row r="84" spans="2:3" ht="15" customHeight="1" x14ac:dyDescent="0.2">
      <c r="B84" s="84" t="s">
        <v>632</v>
      </c>
      <c r="C84" s="84" t="s">
        <v>43</v>
      </c>
    </row>
    <row r="85" spans="2:3" ht="15" customHeight="1" x14ac:dyDescent="0.2">
      <c r="B85" s="84" t="s">
        <v>633</v>
      </c>
      <c r="C85" s="84" t="s">
        <v>50</v>
      </c>
    </row>
    <row r="86" spans="2:3" ht="15" customHeight="1" x14ac:dyDescent="0.2">
      <c r="B86" s="84" t="s">
        <v>634</v>
      </c>
      <c r="C86" s="84" t="s">
        <v>57</v>
      </c>
    </row>
    <row r="87" spans="2:3" ht="15" customHeight="1" x14ac:dyDescent="0.2">
      <c r="B87" s="84" t="s">
        <v>635</v>
      </c>
      <c r="C87" s="84" t="s">
        <v>64</v>
      </c>
    </row>
    <row r="89" spans="2:3" ht="15" customHeight="1" x14ac:dyDescent="0.2">
      <c r="B89" s="80" t="s">
        <v>636</v>
      </c>
    </row>
    <row r="91" spans="2:3" ht="15" customHeight="1" x14ac:dyDescent="0.2">
      <c r="B91" s="84" t="s">
        <v>637</v>
      </c>
    </row>
    <row r="93" spans="2:3" ht="15" customHeight="1" x14ac:dyDescent="0.2">
      <c r="B93" s="80" t="s">
        <v>638</v>
      </c>
    </row>
    <row r="94" spans="2:3" ht="15" customHeight="1" x14ac:dyDescent="0.2">
      <c r="B94" s="80" t="s">
        <v>639</v>
      </c>
    </row>
    <row r="95" spans="2:3" ht="15" customHeight="1" x14ac:dyDescent="0.2">
      <c r="B95" s="80" t="s">
        <v>640</v>
      </c>
    </row>
    <row r="96" spans="2:3" ht="15" customHeight="1" x14ac:dyDescent="0.2">
      <c r="B96" s="80" t="s">
        <v>641</v>
      </c>
    </row>
    <row r="97" spans="2:2" ht="15" customHeight="1" x14ac:dyDescent="0.2">
      <c r="B97" s="80" t="s">
        <v>642</v>
      </c>
    </row>
    <row r="99" spans="2:2" ht="15" customHeight="1" x14ac:dyDescent="0.2">
      <c r="B99" s="80" t="s">
        <v>643</v>
      </c>
    </row>
    <row r="101" spans="2:2" ht="15" customHeight="1" x14ac:dyDescent="0.2">
      <c r="B101" s="84" t="s">
        <v>644</v>
      </c>
    </row>
    <row r="103" spans="2:2" ht="15" customHeight="1" x14ac:dyDescent="0.2">
      <c r="B103" s="80" t="s">
        <v>645</v>
      </c>
    </row>
    <row r="105" spans="2:2" ht="15" customHeight="1" x14ac:dyDescent="0.2">
      <c r="B105" s="84" t="s">
        <v>646</v>
      </c>
    </row>
    <row r="106" spans="2:2" ht="15" customHeight="1" x14ac:dyDescent="0.2">
      <c r="B106" s="84" t="s">
        <v>647</v>
      </c>
    </row>
    <row r="108" spans="2:2" ht="15" customHeight="1" x14ac:dyDescent="0.2">
      <c r="B108" s="80" t="s">
        <v>648</v>
      </c>
    </row>
    <row r="110" spans="2:2" ht="15" customHeight="1" x14ac:dyDescent="0.2">
      <c r="B110" s="84" t="s">
        <v>649</v>
      </c>
    </row>
    <row r="114" spans="2:6" ht="15" customHeight="1" x14ac:dyDescent="0.2">
      <c r="B114" s="80" t="s">
        <v>650</v>
      </c>
    </row>
    <row r="116" spans="2:6" ht="15" customHeight="1" x14ac:dyDescent="0.2">
      <c r="B116" s="80" t="s">
        <v>215</v>
      </c>
      <c r="C116" s="80" t="s">
        <v>651</v>
      </c>
      <c r="D116" s="80" t="s">
        <v>652</v>
      </c>
      <c r="E116" s="80" t="s">
        <v>653</v>
      </c>
      <c r="F116" s="80" t="s">
        <v>654</v>
      </c>
    </row>
    <row r="117" spans="2:6" ht="15" customHeight="1" x14ac:dyDescent="0.2">
      <c r="B117" s="84" t="s">
        <v>655</v>
      </c>
      <c r="C117" s="85" t="s">
        <v>36</v>
      </c>
      <c r="D117" s="85" t="s">
        <v>43</v>
      </c>
      <c r="E117" s="85" t="s">
        <v>36</v>
      </c>
      <c r="F117" s="85" t="s">
        <v>36</v>
      </c>
    </row>
    <row r="118" spans="2:6" ht="15" customHeight="1" x14ac:dyDescent="0.2">
      <c r="B118" s="84" t="s">
        <v>656</v>
      </c>
      <c r="C118" s="86">
        <v>0</v>
      </c>
      <c r="D118" s="86">
        <v>0</v>
      </c>
      <c r="E118" s="86">
        <v>1</v>
      </c>
      <c r="F118" s="86">
        <v>0</v>
      </c>
    </row>
    <row r="119" spans="2:6" ht="15" customHeight="1" x14ac:dyDescent="0.2">
      <c r="B119" s="84" t="s">
        <v>657</v>
      </c>
      <c r="C119" s="86">
        <v>0</v>
      </c>
      <c r="D119" s="86">
        <v>1</v>
      </c>
      <c r="E119" s="86">
        <v>0</v>
      </c>
      <c r="F119" s="86">
        <v>1</v>
      </c>
    </row>
    <row r="120" spans="2:6" ht="15" customHeight="1" x14ac:dyDescent="0.2">
      <c r="B120" s="84" t="s">
        <v>658</v>
      </c>
      <c r="C120" s="86">
        <v>0</v>
      </c>
      <c r="D120" s="86">
        <v>0</v>
      </c>
      <c r="E120" s="86">
        <v>0</v>
      </c>
      <c r="F120" s="86">
        <v>1</v>
      </c>
    </row>
    <row r="121" spans="2:6" ht="15" customHeight="1" x14ac:dyDescent="0.2">
      <c r="B121" s="84" t="s">
        <v>659</v>
      </c>
      <c r="C121" s="86">
        <v>0</v>
      </c>
      <c r="D121" s="86">
        <v>1</v>
      </c>
      <c r="E121" s="86">
        <v>0</v>
      </c>
      <c r="F121" s="86">
        <v>1</v>
      </c>
    </row>
    <row r="122" spans="2:6" ht="15" customHeight="1" x14ac:dyDescent="0.2">
      <c r="B122" s="84" t="s">
        <v>660</v>
      </c>
      <c r="C122" s="86">
        <v>0</v>
      </c>
      <c r="D122" s="86">
        <v>0</v>
      </c>
      <c r="E122" s="86">
        <v>0</v>
      </c>
      <c r="F122" s="86">
        <v>0</v>
      </c>
    </row>
    <row r="123" spans="2:6" ht="15" customHeight="1" x14ac:dyDescent="0.2">
      <c r="B123" s="84" t="s">
        <v>661</v>
      </c>
      <c r="C123" s="85" t="s">
        <v>662</v>
      </c>
      <c r="D123" s="85" t="s">
        <v>663</v>
      </c>
      <c r="E123" s="85" t="s">
        <v>664</v>
      </c>
      <c r="F123" s="85" t="s">
        <v>367</v>
      </c>
    </row>
    <row r="125" spans="2:6" ht="15" customHeight="1" x14ac:dyDescent="0.2">
      <c r="B125" s="84" t="s">
        <v>665</v>
      </c>
    </row>
  </sheetData>
  <pageMargins left="0.7" right="0.7" top="0.75" bottom="0.75" header="0.511811023622047" footer="0.511811023622047"/>
  <pageSetup paperSize="9" orientation="portrait"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G114"/>
  <sheetViews>
    <sheetView topLeftCell="A102" zoomScale="120" zoomScaleNormal="120" workbookViewId="0">
      <selection activeCell="B106" sqref="B106"/>
    </sheetView>
  </sheetViews>
  <sheetFormatPr baseColWidth="10" defaultColWidth="8.83203125" defaultRowHeight="15" x14ac:dyDescent="0.2"/>
  <cols>
    <col min="2" max="2" width="21.83203125" customWidth="1"/>
    <col min="3" max="6" width="34.83203125" customWidth="1"/>
  </cols>
  <sheetData>
    <row r="2" spans="1:2" ht="21" customHeight="1" x14ac:dyDescent="0.2">
      <c r="A2" t="s">
        <v>543</v>
      </c>
      <c r="B2" t="s">
        <v>666</v>
      </c>
    </row>
    <row r="3" spans="1:2" ht="21" customHeight="1" x14ac:dyDescent="0.2">
      <c r="A3" t="s">
        <v>545</v>
      </c>
      <c r="B3" t="s">
        <v>667</v>
      </c>
    </row>
    <row r="5" spans="1:2" ht="21" customHeight="1" x14ac:dyDescent="0.2">
      <c r="B5" s="79" t="s">
        <v>668</v>
      </c>
    </row>
    <row r="7" spans="1:2" ht="21" customHeight="1" x14ac:dyDescent="0.2">
      <c r="B7" t="s">
        <v>669</v>
      </c>
    </row>
    <row r="8" spans="1:2" ht="21" customHeight="1" x14ac:dyDescent="0.2">
      <c r="B8" t="s">
        <v>670</v>
      </c>
    </row>
    <row r="10" spans="1:2" ht="21" customHeight="1" x14ac:dyDescent="0.2">
      <c r="B10" s="80" t="s">
        <v>671</v>
      </c>
    </row>
    <row r="12" spans="1:2" ht="21" customHeight="1" x14ac:dyDescent="0.2">
      <c r="B12" t="s">
        <v>672</v>
      </c>
    </row>
    <row r="13" spans="1:2" ht="21" customHeight="1" x14ac:dyDescent="0.25">
      <c r="B13" s="87" t="s">
        <v>673</v>
      </c>
    </row>
    <row r="14" spans="1:2" ht="21" customHeight="1" x14ac:dyDescent="0.2">
      <c r="B14" t="s">
        <v>674</v>
      </c>
    </row>
    <row r="16" spans="1:2" ht="21" customHeight="1" x14ac:dyDescent="0.2">
      <c r="B16" t="s">
        <v>675</v>
      </c>
    </row>
    <row r="18" spans="2:3" ht="21" customHeight="1" x14ac:dyDescent="0.2">
      <c r="B18" s="80" t="s">
        <v>676</v>
      </c>
      <c r="C18" s="80" t="s">
        <v>677</v>
      </c>
    </row>
    <row r="19" spans="2:3" ht="21" customHeight="1" x14ac:dyDescent="0.2">
      <c r="B19" t="s">
        <v>678</v>
      </c>
      <c r="C19" t="s">
        <v>43</v>
      </c>
    </row>
    <row r="20" spans="2:3" ht="21" customHeight="1" x14ac:dyDescent="0.2">
      <c r="B20" t="s">
        <v>679</v>
      </c>
      <c r="C20" t="s">
        <v>680</v>
      </c>
    </row>
    <row r="21" spans="2:3" ht="21" customHeight="1" x14ac:dyDescent="0.2">
      <c r="B21" t="s">
        <v>681</v>
      </c>
      <c r="C21" t="s">
        <v>50</v>
      </c>
    </row>
    <row r="22" spans="2:3" ht="21" customHeight="1" x14ac:dyDescent="0.2">
      <c r="B22" t="s">
        <v>682</v>
      </c>
      <c r="C22" t="s">
        <v>50</v>
      </c>
    </row>
    <row r="23" spans="2:3" ht="21" customHeight="1" x14ac:dyDescent="0.2">
      <c r="B23" t="s">
        <v>683</v>
      </c>
      <c r="C23" t="s">
        <v>57</v>
      </c>
    </row>
    <row r="24" spans="2:3" ht="21" customHeight="1" x14ac:dyDescent="0.2">
      <c r="B24" t="s">
        <v>684</v>
      </c>
      <c r="C24" t="s">
        <v>64</v>
      </c>
    </row>
    <row r="26" spans="2:3" ht="21" customHeight="1" x14ac:dyDescent="0.2">
      <c r="B26" t="s">
        <v>685</v>
      </c>
    </row>
    <row r="29" spans="2:3" ht="21" customHeight="1" x14ac:dyDescent="0.2">
      <c r="B29" s="79" t="s">
        <v>686</v>
      </c>
    </row>
    <row r="31" spans="2:3" ht="21" customHeight="1" x14ac:dyDescent="0.2">
      <c r="B31" t="s">
        <v>687</v>
      </c>
    </row>
    <row r="33" spans="2:2" s="88" customFormat="1" ht="21" customHeight="1" x14ac:dyDescent="0.2">
      <c r="B33" s="89" t="s">
        <v>62</v>
      </c>
    </row>
    <row r="35" spans="2:2" ht="21" customHeight="1" x14ac:dyDescent="0.2">
      <c r="B35" t="s">
        <v>688</v>
      </c>
    </row>
    <row r="36" spans="2:2" ht="21" customHeight="1" x14ac:dyDescent="0.2">
      <c r="B36" t="s">
        <v>689</v>
      </c>
    </row>
    <row r="37" spans="2:2" ht="21" customHeight="1" x14ac:dyDescent="0.2">
      <c r="B37" t="s">
        <v>690</v>
      </c>
    </row>
    <row r="38" spans="2:2" ht="21" customHeight="1" x14ac:dyDescent="0.2">
      <c r="B38" t="s">
        <v>691</v>
      </c>
    </row>
    <row r="39" spans="2:2" ht="21" customHeight="1" x14ac:dyDescent="0.2">
      <c r="B39" t="s">
        <v>692</v>
      </c>
    </row>
    <row r="40" spans="2:2" ht="21" customHeight="1" x14ac:dyDescent="0.2">
      <c r="B40" t="s">
        <v>693</v>
      </c>
    </row>
    <row r="41" spans="2:2" ht="21" customHeight="1" x14ac:dyDescent="0.2">
      <c r="B41" t="s">
        <v>694</v>
      </c>
    </row>
    <row r="42" spans="2:2" ht="21" customHeight="1" x14ac:dyDescent="0.2">
      <c r="B42" t="s">
        <v>695</v>
      </c>
    </row>
    <row r="43" spans="2:2" ht="21" customHeight="1" x14ac:dyDescent="0.2">
      <c r="B43" t="s">
        <v>696</v>
      </c>
    </row>
    <row r="44" spans="2:2" ht="21" customHeight="1" x14ac:dyDescent="0.2">
      <c r="B44" t="s">
        <v>697</v>
      </c>
    </row>
    <row r="46" spans="2:2" ht="21" customHeight="1" x14ac:dyDescent="0.2">
      <c r="B46" t="s">
        <v>698</v>
      </c>
    </row>
    <row r="47" spans="2:2" ht="21" customHeight="1" x14ac:dyDescent="0.2">
      <c r="B47" t="s">
        <v>699</v>
      </c>
    </row>
    <row r="49" spans="2:7" ht="21" customHeight="1" x14ac:dyDescent="0.2">
      <c r="B49" t="s">
        <v>700</v>
      </c>
    </row>
    <row r="51" spans="2:7" s="88" customFormat="1" ht="21" customHeight="1" x14ac:dyDescent="0.2">
      <c r="B51" s="79" t="s">
        <v>222</v>
      </c>
      <c r="C51" s="79" t="s">
        <v>223</v>
      </c>
    </row>
    <row r="52" spans="2:7" ht="21" customHeight="1" x14ac:dyDescent="0.2">
      <c r="B52" s="90" t="s">
        <v>98</v>
      </c>
      <c r="C52" s="90" t="s">
        <v>228</v>
      </c>
      <c r="F52" s="88"/>
      <c r="G52" s="88"/>
    </row>
    <row r="53" spans="2:7" ht="21" customHeight="1" x14ac:dyDescent="0.2">
      <c r="B53" s="91" t="s">
        <v>109</v>
      </c>
      <c r="C53" s="91" t="s">
        <v>233</v>
      </c>
      <c r="F53" s="88"/>
      <c r="G53" s="88"/>
    </row>
    <row r="54" spans="2:7" ht="21" customHeight="1" x14ac:dyDescent="0.2">
      <c r="B54" s="92" t="s">
        <v>119</v>
      </c>
      <c r="C54" s="92" t="s">
        <v>237</v>
      </c>
      <c r="F54" s="88"/>
      <c r="G54" s="88"/>
    </row>
    <row r="55" spans="2:7" ht="21" customHeight="1" x14ac:dyDescent="0.2">
      <c r="B55" s="93" t="s">
        <v>240</v>
      </c>
      <c r="C55" s="93" t="s">
        <v>241</v>
      </c>
      <c r="F55" s="88"/>
      <c r="G55" s="88"/>
    </row>
    <row r="56" spans="2:7" ht="21" customHeight="1" x14ac:dyDescent="0.2">
      <c r="B56" s="94" t="s">
        <v>151</v>
      </c>
      <c r="C56" s="94" t="s">
        <v>247</v>
      </c>
      <c r="F56" s="88"/>
      <c r="G56" s="88"/>
    </row>
    <row r="57" spans="2:7" ht="16.5" customHeight="1" x14ac:dyDescent="0.2">
      <c r="F57" s="88"/>
      <c r="G57" s="88"/>
    </row>
    <row r="58" spans="2:7" ht="21" customHeight="1" x14ac:dyDescent="0.2">
      <c r="B58" t="s">
        <v>701</v>
      </c>
    </row>
    <row r="61" spans="2:7" ht="21" customHeight="1" x14ac:dyDescent="0.2">
      <c r="B61" s="79" t="s">
        <v>702</v>
      </c>
    </row>
    <row r="63" spans="2:7" ht="21" customHeight="1" x14ac:dyDescent="0.2">
      <c r="B63" t="s">
        <v>703</v>
      </c>
    </row>
    <row r="64" spans="2:7" ht="21" customHeight="1" x14ac:dyDescent="0.2">
      <c r="B64" t="s">
        <v>704</v>
      </c>
    </row>
    <row r="65" spans="2:3" ht="21" customHeight="1" x14ac:dyDescent="0.2">
      <c r="B65" t="s">
        <v>705</v>
      </c>
    </row>
    <row r="66" spans="2:3" ht="21" customHeight="1" x14ac:dyDescent="0.2">
      <c r="B66" t="s">
        <v>706</v>
      </c>
    </row>
    <row r="67" spans="2:3" ht="21" customHeight="1" x14ac:dyDescent="0.2">
      <c r="B67" t="s">
        <v>707</v>
      </c>
    </row>
    <row r="68" spans="2:3" ht="21" customHeight="1" x14ac:dyDescent="0.2">
      <c r="B68" t="s">
        <v>708</v>
      </c>
    </row>
    <row r="69" spans="2:3" ht="21" customHeight="1" x14ac:dyDescent="0.2">
      <c r="B69" t="s">
        <v>709</v>
      </c>
    </row>
    <row r="70" spans="2:3" ht="21" customHeight="1" x14ac:dyDescent="0.2">
      <c r="B70" t="s">
        <v>710</v>
      </c>
    </row>
    <row r="72" spans="2:3" ht="21" customHeight="1" x14ac:dyDescent="0.2">
      <c r="B72" t="s">
        <v>711</v>
      </c>
    </row>
    <row r="73" spans="2:3" ht="21" customHeight="1" x14ac:dyDescent="0.25">
      <c r="B73" s="87" t="s">
        <v>712</v>
      </c>
    </row>
    <row r="74" spans="2:3" ht="21" customHeight="1" x14ac:dyDescent="0.25">
      <c r="B74" s="87" t="s">
        <v>713</v>
      </c>
    </row>
    <row r="75" spans="2:3" ht="21" customHeight="1" x14ac:dyDescent="0.25">
      <c r="B75" s="87" t="s">
        <v>714</v>
      </c>
    </row>
    <row r="76" spans="2:3" ht="21" customHeight="1" x14ac:dyDescent="0.25">
      <c r="B76" s="87" t="s">
        <v>715</v>
      </c>
    </row>
    <row r="78" spans="2:3" ht="21" customHeight="1" x14ac:dyDescent="0.2">
      <c r="B78" t="s">
        <v>716</v>
      </c>
    </row>
    <row r="80" spans="2:3" ht="21" customHeight="1" x14ac:dyDescent="0.2">
      <c r="B80" s="80" t="s">
        <v>717</v>
      </c>
      <c r="C80" s="80" t="s">
        <v>84</v>
      </c>
    </row>
    <row r="81" spans="2:3" ht="21" customHeight="1" x14ac:dyDescent="0.2">
      <c r="B81" t="s">
        <v>718</v>
      </c>
      <c r="C81" t="s">
        <v>719</v>
      </c>
    </row>
    <row r="82" spans="2:3" ht="21" customHeight="1" x14ac:dyDescent="0.2">
      <c r="B82" t="s">
        <v>720</v>
      </c>
      <c r="C82" t="s">
        <v>721</v>
      </c>
    </row>
    <row r="83" spans="2:3" ht="21" customHeight="1" x14ac:dyDescent="0.2">
      <c r="B83" t="s">
        <v>722</v>
      </c>
      <c r="C83" t="s">
        <v>723</v>
      </c>
    </row>
    <row r="84" spans="2:3" ht="21" customHeight="1" x14ac:dyDescent="0.2">
      <c r="B84" t="s">
        <v>724</v>
      </c>
      <c r="C84" t="s">
        <v>725</v>
      </c>
    </row>
    <row r="86" spans="2:3" ht="21" customHeight="1" x14ac:dyDescent="0.2">
      <c r="B86" t="s">
        <v>726</v>
      </c>
    </row>
    <row r="87" spans="2:3" ht="21" customHeight="1" x14ac:dyDescent="0.25">
      <c r="B87" s="87" t="s">
        <v>727</v>
      </c>
    </row>
    <row r="89" spans="2:3" ht="21" customHeight="1" x14ac:dyDescent="0.2">
      <c r="B89" t="s">
        <v>728</v>
      </c>
    </row>
    <row r="90" spans="2:3" ht="21" customHeight="1" x14ac:dyDescent="0.2">
      <c r="B90" t="s">
        <v>729</v>
      </c>
    </row>
    <row r="92" spans="2:3" ht="21" customHeight="1" x14ac:dyDescent="0.2">
      <c r="B92" t="s">
        <v>730</v>
      </c>
    </row>
    <row r="94" spans="2:3" ht="21" customHeight="1" x14ac:dyDescent="0.25">
      <c r="B94" s="87" t="s">
        <v>731</v>
      </c>
    </row>
    <row r="95" spans="2:3" ht="21" customHeight="1" x14ac:dyDescent="0.25">
      <c r="B95" s="87" t="s">
        <v>732</v>
      </c>
    </row>
    <row r="96" spans="2:3" ht="21" customHeight="1" x14ac:dyDescent="0.25">
      <c r="B96" s="87" t="s">
        <v>733</v>
      </c>
    </row>
    <row r="97" spans="2:6" ht="21" customHeight="1" x14ac:dyDescent="0.25">
      <c r="B97" s="87" t="s">
        <v>734</v>
      </c>
    </row>
    <row r="99" spans="2:6" ht="21" customHeight="1" x14ac:dyDescent="0.2">
      <c r="B99" t="s">
        <v>735</v>
      </c>
    </row>
    <row r="101" spans="2:6" ht="21" customHeight="1" x14ac:dyDescent="0.25">
      <c r="B101" s="87" t="s">
        <v>736</v>
      </c>
    </row>
    <row r="102" spans="2:6" ht="21" customHeight="1" x14ac:dyDescent="0.25">
      <c r="B102" s="87" t="s">
        <v>737</v>
      </c>
    </row>
    <row r="103" spans="2:6" ht="21" customHeight="1" x14ac:dyDescent="0.25">
      <c r="B103" s="87" t="s">
        <v>738</v>
      </c>
    </row>
    <row r="105" spans="2:6" ht="21" customHeight="1" x14ac:dyDescent="0.2">
      <c r="B105" s="81" t="s">
        <v>739</v>
      </c>
      <c r="C105" s="81"/>
      <c r="D105" s="81"/>
      <c r="E105" s="81"/>
      <c r="F105" s="81"/>
    </row>
    <row r="106" spans="2:6" ht="54.75" customHeight="1" x14ac:dyDescent="0.2">
      <c r="B106" s="82" t="s">
        <v>740</v>
      </c>
      <c r="C106" s="82" t="s">
        <v>741</v>
      </c>
      <c r="D106" s="82" t="s">
        <v>742</v>
      </c>
      <c r="E106" s="82" t="s">
        <v>458</v>
      </c>
      <c r="F106" s="82" t="s">
        <v>743</v>
      </c>
    </row>
    <row r="107" spans="2:6" ht="54.75" customHeight="1" x14ac:dyDescent="0.2">
      <c r="B107" s="18" t="s">
        <v>744</v>
      </c>
      <c r="C107" s="18" t="s">
        <v>745</v>
      </c>
      <c r="D107" s="18" t="s">
        <v>746</v>
      </c>
      <c r="E107" s="18" t="s">
        <v>747</v>
      </c>
      <c r="F107" s="18" t="s">
        <v>748</v>
      </c>
    </row>
    <row r="108" spans="2:6" ht="54.75" customHeight="1" x14ac:dyDescent="0.2">
      <c r="B108" s="18" t="s">
        <v>749</v>
      </c>
      <c r="C108" s="18" t="s">
        <v>750</v>
      </c>
      <c r="D108" s="18" t="s">
        <v>751</v>
      </c>
      <c r="E108" s="18" t="s">
        <v>752</v>
      </c>
      <c r="F108" s="18" t="s">
        <v>753</v>
      </c>
    </row>
    <row r="109" spans="2:6" ht="54.75" customHeight="1" x14ac:dyDescent="0.2">
      <c r="B109" s="18" t="s">
        <v>754</v>
      </c>
      <c r="C109" s="18" t="s">
        <v>755</v>
      </c>
      <c r="D109" s="18" t="s">
        <v>756</v>
      </c>
      <c r="E109" s="18" t="s">
        <v>757</v>
      </c>
      <c r="F109" s="18" t="s">
        <v>758</v>
      </c>
    </row>
    <row r="110" spans="2:6" ht="54.75" customHeight="1" x14ac:dyDescent="0.2">
      <c r="B110" s="18" t="s">
        <v>759</v>
      </c>
      <c r="C110" s="18" t="s">
        <v>760</v>
      </c>
      <c r="D110" s="18" t="s">
        <v>761</v>
      </c>
      <c r="E110" s="18" t="s">
        <v>762</v>
      </c>
      <c r="F110" s="18" t="s">
        <v>763</v>
      </c>
    </row>
    <row r="111" spans="2:6" ht="54.75" customHeight="1" x14ac:dyDescent="0.2">
      <c r="B111" s="18" t="s">
        <v>764</v>
      </c>
      <c r="C111" s="18" t="s">
        <v>765</v>
      </c>
      <c r="D111" s="18" t="s">
        <v>766</v>
      </c>
      <c r="E111" s="18" t="s">
        <v>767</v>
      </c>
      <c r="F111" s="18" t="s">
        <v>768</v>
      </c>
    </row>
    <row r="112" spans="2:6" ht="54.75" customHeight="1" x14ac:dyDescent="0.2">
      <c r="B112" s="18" t="s">
        <v>769</v>
      </c>
      <c r="C112" s="18" t="s">
        <v>770</v>
      </c>
      <c r="D112" s="18" t="s">
        <v>771</v>
      </c>
      <c r="E112" s="18" t="s">
        <v>772</v>
      </c>
      <c r="F112" s="18" t="s">
        <v>773</v>
      </c>
    </row>
    <row r="113" spans="2:6" ht="54.75" customHeight="1" x14ac:dyDescent="0.2">
      <c r="B113" s="18" t="s">
        <v>774</v>
      </c>
      <c r="C113" s="18" t="s">
        <v>775</v>
      </c>
      <c r="D113" s="18" t="s">
        <v>776</v>
      </c>
      <c r="E113" s="18" t="s">
        <v>777</v>
      </c>
      <c r="F113" s="18" t="s">
        <v>778</v>
      </c>
    </row>
    <row r="114" spans="2:6" ht="54.75" customHeight="1" x14ac:dyDescent="0.2">
      <c r="B114" s="83" t="s">
        <v>779</v>
      </c>
      <c r="C114" s="83" t="s">
        <v>780</v>
      </c>
      <c r="D114" s="83" t="s">
        <v>781</v>
      </c>
      <c r="E114" s="83" t="s">
        <v>782</v>
      </c>
      <c r="F114" s="83" t="s">
        <v>783</v>
      </c>
    </row>
  </sheetData>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80"/>
  <sheetViews>
    <sheetView zoomScale="120" zoomScaleNormal="120" workbookViewId="0">
      <selection activeCell="A2" sqref="A2"/>
    </sheetView>
  </sheetViews>
  <sheetFormatPr baseColWidth="10" defaultColWidth="8.83203125" defaultRowHeight="15" x14ac:dyDescent="0.2"/>
  <cols>
    <col min="1" max="2" width="21.83203125" customWidth="1"/>
    <col min="3" max="5" width="34.83203125" customWidth="1"/>
    <col min="6" max="6" width="21.83203125" customWidth="1"/>
  </cols>
  <sheetData>
    <row r="1" spans="1:6" ht="33.75" customHeight="1" x14ac:dyDescent="0.2">
      <c r="A1" s="2" t="s">
        <v>784</v>
      </c>
      <c r="B1" s="2"/>
      <c r="C1" s="2"/>
      <c r="D1" s="2"/>
      <c r="E1" s="2"/>
      <c r="F1" s="2"/>
    </row>
    <row r="2" spans="1:6" ht="21" customHeight="1" x14ac:dyDescent="0.2">
      <c r="A2" s="95" t="s">
        <v>785</v>
      </c>
      <c r="B2" s="95" t="s">
        <v>786</v>
      </c>
      <c r="C2" s="96"/>
      <c r="D2" s="96"/>
      <c r="E2" s="96"/>
      <c r="F2" s="96"/>
    </row>
    <row r="3" spans="1:6" ht="21" customHeight="1" x14ac:dyDescent="0.2">
      <c r="A3" s="95" t="s">
        <v>787</v>
      </c>
      <c r="B3" s="95" t="s">
        <v>788</v>
      </c>
      <c r="C3" s="96"/>
      <c r="D3" s="96"/>
      <c r="E3" s="96"/>
      <c r="F3" s="96"/>
    </row>
    <row r="4" spans="1:6" ht="21" customHeight="1" x14ac:dyDescent="0.2">
      <c r="A4" s="96"/>
      <c r="B4" s="96"/>
      <c r="C4" s="96"/>
      <c r="D4" s="96"/>
      <c r="E4" s="96"/>
      <c r="F4" s="96"/>
    </row>
    <row r="5" spans="1:6" ht="33.75" customHeight="1" x14ac:dyDescent="0.2">
      <c r="A5" s="97" t="s">
        <v>789</v>
      </c>
      <c r="B5" s="97" t="s">
        <v>336</v>
      </c>
      <c r="C5" s="97" t="s">
        <v>337</v>
      </c>
      <c r="D5" s="97" t="s">
        <v>790</v>
      </c>
      <c r="E5" s="97" t="s">
        <v>791</v>
      </c>
      <c r="F5" s="97" t="s">
        <v>792</v>
      </c>
    </row>
    <row r="6" spans="1:6" ht="54.75" customHeight="1" x14ac:dyDescent="0.2">
      <c r="A6" s="96" t="s">
        <v>793</v>
      </c>
      <c r="B6" s="96" t="s">
        <v>794</v>
      </c>
      <c r="C6" s="96" t="s">
        <v>795</v>
      </c>
      <c r="D6" s="96" t="s">
        <v>796</v>
      </c>
      <c r="E6" s="96" t="s">
        <v>797</v>
      </c>
      <c r="F6" s="96" t="s">
        <v>488</v>
      </c>
    </row>
    <row r="7" spans="1:6" ht="54.75" customHeight="1" x14ac:dyDescent="0.2">
      <c r="A7" s="96" t="s">
        <v>798</v>
      </c>
      <c r="B7" s="96" t="s">
        <v>799</v>
      </c>
      <c r="C7" s="96" t="s">
        <v>800</v>
      </c>
      <c r="D7" s="96" t="s">
        <v>801</v>
      </c>
      <c r="E7" s="96" t="s">
        <v>802</v>
      </c>
      <c r="F7" s="96" t="s">
        <v>488</v>
      </c>
    </row>
    <row r="8" spans="1:6" ht="54.75" customHeight="1" x14ac:dyDescent="0.2">
      <c r="A8" s="96" t="s">
        <v>71</v>
      </c>
      <c r="B8" s="96" t="s">
        <v>803</v>
      </c>
      <c r="C8" s="96" t="s">
        <v>804</v>
      </c>
      <c r="D8" s="96" t="s">
        <v>805</v>
      </c>
      <c r="E8" s="96" t="s">
        <v>806</v>
      </c>
      <c r="F8" s="96" t="s">
        <v>508</v>
      </c>
    </row>
    <row r="9" spans="1:6" ht="54.75" customHeight="1" x14ac:dyDescent="0.2">
      <c r="A9" s="96" t="s">
        <v>807</v>
      </c>
      <c r="B9" s="96" t="s">
        <v>808</v>
      </c>
      <c r="C9" s="96" t="s">
        <v>809</v>
      </c>
      <c r="D9" s="96" t="s">
        <v>810</v>
      </c>
      <c r="E9" s="96" t="s">
        <v>811</v>
      </c>
      <c r="F9" s="96" t="s">
        <v>508</v>
      </c>
    </row>
    <row r="10" spans="1:6" ht="54.75" customHeight="1" x14ac:dyDescent="0.2">
      <c r="A10" s="96" t="s">
        <v>812</v>
      </c>
      <c r="B10" s="96" t="s">
        <v>808</v>
      </c>
      <c r="C10" s="96" t="s">
        <v>813</v>
      </c>
      <c r="D10" s="96" t="s">
        <v>814</v>
      </c>
      <c r="E10" s="96" t="s">
        <v>815</v>
      </c>
      <c r="F10" s="96" t="s">
        <v>508</v>
      </c>
    </row>
    <row r="11" spans="1:6" ht="54.75" customHeight="1" x14ac:dyDescent="0.2">
      <c r="A11" s="96" t="s">
        <v>816</v>
      </c>
      <c r="B11" s="96" t="s">
        <v>808</v>
      </c>
      <c r="C11" s="96" t="s">
        <v>817</v>
      </c>
      <c r="D11" s="96" t="s">
        <v>818</v>
      </c>
      <c r="E11" s="96" t="s">
        <v>819</v>
      </c>
      <c r="F11" s="96" t="s">
        <v>488</v>
      </c>
    </row>
    <row r="12" spans="1:6" ht="54.75" customHeight="1" x14ac:dyDescent="0.2">
      <c r="A12" s="96" t="s">
        <v>820</v>
      </c>
      <c r="B12" s="96" t="s">
        <v>808</v>
      </c>
      <c r="C12" s="96" t="s">
        <v>821</v>
      </c>
      <c r="D12" s="96" t="s">
        <v>822</v>
      </c>
      <c r="E12" s="96" t="s">
        <v>823</v>
      </c>
      <c r="F12" s="96" t="s">
        <v>508</v>
      </c>
    </row>
    <row r="13" spans="1:6" ht="54.75" customHeight="1" x14ac:dyDescent="0.2">
      <c r="A13" s="96" t="s">
        <v>824</v>
      </c>
      <c r="B13" s="96" t="s">
        <v>825</v>
      </c>
      <c r="C13" s="96" t="s">
        <v>826</v>
      </c>
      <c r="D13" s="96" t="s">
        <v>827</v>
      </c>
      <c r="E13" s="96" t="s">
        <v>828</v>
      </c>
      <c r="F13" s="96" t="s">
        <v>469</v>
      </c>
    </row>
    <row r="14" spans="1:6" ht="54.75" customHeight="1" x14ac:dyDescent="0.2">
      <c r="A14" s="96" t="s">
        <v>829</v>
      </c>
      <c r="B14" s="96" t="s">
        <v>825</v>
      </c>
      <c r="C14" s="96" t="s">
        <v>830</v>
      </c>
      <c r="D14" s="96" t="s">
        <v>831</v>
      </c>
      <c r="E14" s="96" t="s">
        <v>832</v>
      </c>
      <c r="F14" s="96" t="s">
        <v>469</v>
      </c>
    </row>
    <row r="15" spans="1:6" ht="54.75" customHeight="1" x14ac:dyDescent="0.2">
      <c r="A15" s="96" t="s">
        <v>833</v>
      </c>
      <c r="B15" s="96" t="s">
        <v>825</v>
      </c>
      <c r="C15" s="96" t="s">
        <v>834</v>
      </c>
      <c r="D15" s="96" t="s">
        <v>835</v>
      </c>
      <c r="E15" s="96" t="s">
        <v>836</v>
      </c>
      <c r="F15" s="96" t="s">
        <v>488</v>
      </c>
    </row>
    <row r="16" spans="1:6" ht="21" customHeight="1" x14ac:dyDescent="0.2">
      <c r="A16" s="96"/>
      <c r="B16" s="96"/>
      <c r="C16" s="96"/>
      <c r="D16" s="96"/>
      <c r="E16" s="96"/>
      <c r="F16" s="96"/>
    </row>
    <row r="17" spans="1:6" ht="21" customHeight="1" x14ac:dyDescent="0.2">
      <c r="A17" s="98" t="s">
        <v>837</v>
      </c>
      <c r="B17" s="99" t="s">
        <v>216</v>
      </c>
      <c r="C17" s="99"/>
      <c r="D17" s="99"/>
      <c r="E17" s="99"/>
      <c r="F17" s="98"/>
    </row>
    <row r="18" spans="1:6" ht="21" customHeight="1" x14ac:dyDescent="0.2">
      <c r="A18" s="96" t="s">
        <v>838</v>
      </c>
      <c r="B18" s="96" t="s">
        <v>43</v>
      </c>
      <c r="C18" s="96"/>
      <c r="D18" s="96"/>
      <c r="E18" s="96"/>
      <c r="F18" s="96"/>
    </row>
    <row r="19" spans="1:6" ht="21" customHeight="1" x14ac:dyDescent="0.2">
      <c r="A19" s="96" t="s">
        <v>839</v>
      </c>
      <c r="B19" s="96" t="s">
        <v>119</v>
      </c>
      <c r="C19" s="96"/>
      <c r="D19" s="96"/>
      <c r="E19" s="96"/>
      <c r="F19" s="96"/>
    </row>
    <row r="20" spans="1:6" ht="21" customHeight="1" x14ac:dyDescent="0.2">
      <c r="A20" s="96" t="s">
        <v>840</v>
      </c>
      <c r="B20" s="96">
        <v>0</v>
      </c>
      <c r="C20" s="96"/>
      <c r="D20" s="96"/>
      <c r="E20" s="96"/>
      <c r="F20" s="96"/>
    </row>
    <row r="21" spans="1:6" ht="21" customHeight="1" x14ac:dyDescent="0.2">
      <c r="A21" s="96" t="s">
        <v>841</v>
      </c>
      <c r="B21" s="96">
        <v>1</v>
      </c>
      <c r="C21" s="96"/>
      <c r="D21" s="96"/>
      <c r="E21" s="96"/>
      <c r="F21" s="96"/>
    </row>
    <row r="22" spans="1:6" ht="21" customHeight="1" x14ac:dyDescent="0.2">
      <c r="A22" s="96" t="s">
        <v>842</v>
      </c>
      <c r="B22" s="96">
        <v>1</v>
      </c>
      <c r="C22" s="96"/>
      <c r="D22" s="96"/>
      <c r="E22" s="96"/>
      <c r="F22" s="96"/>
    </row>
    <row r="23" spans="1:6" ht="21" customHeight="1" x14ac:dyDescent="0.2">
      <c r="A23" s="96" t="s">
        <v>843</v>
      </c>
      <c r="B23" s="96">
        <v>1</v>
      </c>
      <c r="C23" s="96"/>
      <c r="D23" s="96"/>
      <c r="E23" s="96"/>
      <c r="F23" s="96"/>
    </row>
    <row r="24" spans="1:6" ht="21" customHeight="1" x14ac:dyDescent="0.2">
      <c r="A24" s="96" t="s">
        <v>844</v>
      </c>
      <c r="B24" s="96">
        <v>0</v>
      </c>
      <c r="C24" s="96"/>
      <c r="D24" s="96"/>
      <c r="E24" s="96"/>
      <c r="F24" s="96"/>
    </row>
    <row r="25" spans="1:6" ht="21" customHeight="1" x14ac:dyDescent="0.2">
      <c r="A25" s="96" t="s">
        <v>845</v>
      </c>
      <c r="B25" s="96">
        <v>1</v>
      </c>
      <c r="C25" s="96"/>
      <c r="D25" s="96"/>
      <c r="E25" s="96"/>
      <c r="F25" s="96"/>
    </row>
    <row r="26" spans="1:6" ht="21" customHeight="1" x14ac:dyDescent="0.2">
      <c r="A26" s="96" t="s">
        <v>846</v>
      </c>
      <c r="B26" s="96">
        <v>1</v>
      </c>
      <c r="C26" s="96"/>
      <c r="D26" s="96"/>
      <c r="E26" s="96"/>
      <c r="F26" s="96"/>
    </row>
    <row r="27" spans="1:6" ht="21" customHeight="1" x14ac:dyDescent="0.2">
      <c r="A27" s="96"/>
      <c r="B27" s="100"/>
      <c r="C27" s="100"/>
      <c r="D27" s="100"/>
      <c r="E27" s="100"/>
      <c r="F27" s="96"/>
    </row>
    <row r="28" spans="1:6" ht="21" customHeight="1" x14ac:dyDescent="0.2">
      <c r="A28" s="98" t="s">
        <v>847</v>
      </c>
      <c r="B28" s="99" t="s">
        <v>848</v>
      </c>
      <c r="C28" s="99" t="s">
        <v>849</v>
      </c>
      <c r="D28" s="99" t="s">
        <v>850</v>
      </c>
      <c r="E28" s="99" t="s">
        <v>851</v>
      </c>
      <c r="F28" s="98" t="s">
        <v>852</v>
      </c>
    </row>
    <row r="29" spans="1:6" ht="21" customHeight="1" x14ac:dyDescent="0.2">
      <c r="A29" s="96" t="s">
        <v>853</v>
      </c>
      <c r="B29" s="100">
        <v>3500</v>
      </c>
      <c r="C29" s="100">
        <v>10000</v>
      </c>
      <c r="D29" s="100">
        <v>800</v>
      </c>
      <c r="E29" s="100">
        <v>2350</v>
      </c>
      <c r="F29" s="96" t="s">
        <v>854</v>
      </c>
    </row>
    <row r="30" spans="1:6" ht="21" customHeight="1" x14ac:dyDescent="0.2">
      <c r="A30" s="96"/>
      <c r="B30" s="96"/>
      <c r="C30" s="96"/>
      <c r="D30" s="96"/>
      <c r="E30" s="96"/>
      <c r="F30" s="96"/>
    </row>
    <row r="31" spans="1:6" ht="21" customHeight="1" x14ac:dyDescent="0.2">
      <c r="A31" s="98" t="s">
        <v>855</v>
      </c>
      <c r="B31" s="99" t="s">
        <v>848</v>
      </c>
      <c r="C31" s="99" t="s">
        <v>849</v>
      </c>
      <c r="D31" s="99" t="s">
        <v>850</v>
      </c>
      <c r="E31" s="99" t="s">
        <v>851</v>
      </c>
      <c r="F31" s="98" t="s">
        <v>852</v>
      </c>
    </row>
    <row r="32" spans="1:6" ht="21" customHeight="1" x14ac:dyDescent="0.2">
      <c r="A32" s="96" t="s">
        <v>98</v>
      </c>
      <c r="B32" s="100">
        <v>3000</v>
      </c>
      <c r="C32" s="100">
        <v>9750</v>
      </c>
      <c r="D32" s="100">
        <v>0</v>
      </c>
      <c r="E32" s="100">
        <v>0</v>
      </c>
      <c r="F32" s="96" t="s">
        <v>856</v>
      </c>
    </row>
    <row r="33" spans="1:6" ht="21" customHeight="1" x14ac:dyDescent="0.2">
      <c r="A33" s="96" t="s">
        <v>109</v>
      </c>
      <c r="B33" s="100">
        <v>3000</v>
      </c>
      <c r="C33" s="100">
        <v>9750</v>
      </c>
      <c r="D33" s="100">
        <v>250</v>
      </c>
      <c r="E33" s="100">
        <v>800</v>
      </c>
      <c r="F33" s="96" t="s">
        <v>857</v>
      </c>
    </row>
    <row r="34" spans="1:6" ht="21" customHeight="1" x14ac:dyDescent="0.2">
      <c r="A34" s="96" t="s">
        <v>119</v>
      </c>
      <c r="B34" s="100">
        <v>2000</v>
      </c>
      <c r="C34" s="100">
        <v>6500</v>
      </c>
      <c r="D34" s="100">
        <v>500</v>
      </c>
      <c r="E34" s="100">
        <v>1600</v>
      </c>
      <c r="F34" s="96" t="s">
        <v>858</v>
      </c>
    </row>
    <row r="35" spans="1:6" ht="21" customHeight="1" x14ac:dyDescent="0.2">
      <c r="A35" s="96" t="s">
        <v>130</v>
      </c>
      <c r="B35" s="100">
        <v>3000</v>
      </c>
      <c r="C35" s="100">
        <v>9750</v>
      </c>
      <c r="D35" s="100">
        <v>750</v>
      </c>
      <c r="E35" s="100">
        <v>2400</v>
      </c>
      <c r="F35" s="96" t="s">
        <v>859</v>
      </c>
    </row>
    <row r="36" spans="1:6" ht="21" customHeight="1" x14ac:dyDescent="0.2">
      <c r="A36" s="96" t="s">
        <v>141</v>
      </c>
      <c r="B36" s="100">
        <v>4000</v>
      </c>
      <c r="C36" s="100">
        <v>13000</v>
      </c>
      <c r="D36" s="100">
        <v>1000</v>
      </c>
      <c r="E36" s="100">
        <v>3200</v>
      </c>
      <c r="F36" s="96" t="s">
        <v>860</v>
      </c>
    </row>
    <row r="37" spans="1:6" ht="21" customHeight="1" x14ac:dyDescent="0.2">
      <c r="A37" s="96" t="s">
        <v>151</v>
      </c>
      <c r="B37" s="100">
        <v>6000</v>
      </c>
      <c r="C37" s="100">
        <v>19500</v>
      </c>
      <c r="D37" s="100">
        <v>1500</v>
      </c>
      <c r="E37" s="100">
        <v>4800</v>
      </c>
      <c r="F37" s="96" t="s">
        <v>861</v>
      </c>
    </row>
    <row r="38" spans="1:6" ht="21" customHeight="1" x14ac:dyDescent="0.2">
      <c r="A38" s="96"/>
      <c r="B38" s="100"/>
      <c r="C38" s="100"/>
      <c r="D38" s="100"/>
      <c r="E38" s="100"/>
      <c r="F38" s="96"/>
    </row>
    <row r="39" spans="1:6" ht="21" customHeight="1" x14ac:dyDescent="0.2">
      <c r="A39" s="98" t="s">
        <v>862</v>
      </c>
      <c r="B39" s="98" t="s">
        <v>848</v>
      </c>
      <c r="C39" s="98" t="s">
        <v>849</v>
      </c>
      <c r="D39" s="98" t="s">
        <v>850</v>
      </c>
      <c r="E39" s="98" t="s">
        <v>851</v>
      </c>
      <c r="F39" s="98" t="s">
        <v>852</v>
      </c>
    </row>
    <row r="40" spans="1:6" ht="21" customHeight="1" x14ac:dyDescent="0.2">
      <c r="A40" s="96" t="s">
        <v>98</v>
      </c>
      <c r="B40" s="100">
        <v>0</v>
      </c>
      <c r="C40" s="100">
        <v>0</v>
      </c>
      <c r="D40" s="100">
        <v>0</v>
      </c>
      <c r="E40" s="100">
        <v>0</v>
      </c>
      <c r="F40" s="96" t="s">
        <v>863</v>
      </c>
    </row>
    <row r="41" spans="1:6" ht="21" customHeight="1" x14ac:dyDescent="0.2">
      <c r="A41" s="96" t="s">
        <v>109</v>
      </c>
      <c r="B41" s="100">
        <v>0</v>
      </c>
      <c r="C41" s="100">
        <v>0</v>
      </c>
      <c r="D41" s="100">
        <v>0</v>
      </c>
      <c r="E41" s="100">
        <v>0</v>
      </c>
      <c r="F41" s="96" t="s">
        <v>863</v>
      </c>
    </row>
    <row r="42" spans="1:6" ht="21" customHeight="1" x14ac:dyDescent="0.2">
      <c r="A42" s="96" t="s">
        <v>119</v>
      </c>
      <c r="B42" s="100">
        <v>0</v>
      </c>
      <c r="C42" s="100">
        <v>0</v>
      </c>
      <c r="D42" s="100">
        <v>0</v>
      </c>
      <c r="E42" s="100">
        <v>0</v>
      </c>
      <c r="F42" s="96" t="s">
        <v>863</v>
      </c>
    </row>
    <row r="43" spans="1:6" ht="21" customHeight="1" x14ac:dyDescent="0.2">
      <c r="A43" s="96" t="s">
        <v>130</v>
      </c>
      <c r="B43" s="100">
        <v>0</v>
      </c>
      <c r="C43" s="100">
        <v>0</v>
      </c>
      <c r="D43" s="100">
        <v>0</v>
      </c>
      <c r="E43" s="100">
        <v>0</v>
      </c>
      <c r="F43" s="96" t="s">
        <v>863</v>
      </c>
    </row>
    <row r="44" spans="1:6" ht="21" customHeight="1" x14ac:dyDescent="0.2">
      <c r="A44" s="96" t="s">
        <v>141</v>
      </c>
      <c r="B44" s="100">
        <v>0</v>
      </c>
      <c r="C44" s="100">
        <v>0</v>
      </c>
      <c r="D44" s="100">
        <v>0</v>
      </c>
      <c r="E44" s="100">
        <v>0</v>
      </c>
      <c r="F44" s="96" t="s">
        <v>863</v>
      </c>
    </row>
    <row r="45" spans="1:6" ht="21" customHeight="1" x14ac:dyDescent="0.2">
      <c r="A45" s="96" t="s">
        <v>151</v>
      </c>
      <c r="B45" s="100">
        <v>0</v>
      </c>
      <c r="C45" s="100">
        <v>0</v>
      </c>
      <c r="D45" s="100">
        <v>0</v>
      </c>
      <c r="E45" s="100">
        <v>0</v>
      </c>
      <c r="F45" s="96" t="s">
        <v>863</v>
      </c>
    </row>
    <row r="46" spans="1:6" ht="21" customHeight="1" x14ac:dyDescent="0.2">
      <c r="A46" s="96"/>
      <c r="B46" s="100"/>
      <c r="C46" s="100"/>
      <c r="D46" s="100"/>
      <c r="E46" s="100"/>
      <c r="F46" s="96"/>
    </row>
    <row r="47" spans="1:6" ht="21" customHeight="1" x14ac:dyDescent="0.2">
      <c r="A47" s="101" t="s">
        <v>864</v>
      </c>
      <c r="B47" s="101"/>
      <c r="C47" s="101"/>
      <c r="D47" s="101"/>
      <c r="E47" s="101"/>
      <c r="F47" s="101"/>
    </row>
    <row r="48" spans="1:6" ht="21" customHeight="1" x14ac:dyDescent="0.2">
      <c r="A48" s="95" t="s">
        <v>865</v>
      </c>
      <c r="B48" s="102" t="s">
        <v>866</v>
      </c>
      <c r="C48" s="102"/>
      <c r="D48" s="102"/>
      <c r="E48" s="102"/>
      <c r="F48" s="95"/>
    </row>
    <row r="49" spans="1:6" ht="21" customHeight="1" x14ac:dyDescent="0.2">
      <c r="A49" s="95" t="s">
        <v>867</v>
      </c>
      <c r="B49" s="102" t="s">
        <v>868</v>
      </c>
      <c r="C49" s="102"/>
      <c r="D49" s="102"/>
      <c r="E49" s="102"/>
      <c r="F49" s="95"/>
    </row>
    <row r="50" spans="1:6" ht="21" customHeight="1" x14ac:dyDescent="0.2">
      <c r="A50" s="95" t="s">
        <v>869</v>
      </c>
      <c r="B50" s="102" t="s">
        <v>870</v>
      </c>
      <c r="C50" s="102"/>
      <c r="D50" s="102"/>
      <c r="E50" s="102"/>
      <c r="F50" s="95"/>
    </row>
    <row r="51" spans="1:6" ht="21" customHeight="1" x14ac:dyDescent="0.2">
      <c r="A51" s="96"/>
      <c r="B51" s="96"/>
      <c r="C51" s="96"/>
      <c r="D51" s="96"/>
      <c r="E51" s="96"/>
      <c r="F51" s="96"/>
    </row>
    <row r="52" spans="1:6" ht="21" customHeight="1" x14ac:dyDescent="0.2">
      <c r="A52" s="96"/>
      <c r="B52" s="96"/>
      <c r="C52" s="96"/>
      <c r="D52" s="96"/>
      <c r="E52" s="96"/>
      <c r="F52" s="96"/>
    </row>
    <row r="53" spans="1:6" ht="21" customHeight="1" x14ac:dyDescent="0.2">
      <c r="A53" s="96"/>
      <c r="B53" s="96"/>
      <c r="C53" s="96"/>
      <c r="D53" s="96"/>
      <c r="E53" s="96"/>
      <c r="F53" s="96"/>
    </row>
    <row r="54" spans="1:6" ht="21" customHeight="1" x14ac:dyDescent="0.2">
      <c r="A54" s="96"/>
      <c r="B54" s="96"/>
      <c r="C54" s="96"/>
      <c r="D54" s="96"/>
      <c r="E54" s="96"/>
      <c r="F54" s="96"/>
    </row>
    <row r="55" spans="1:6" ht="21" customHeight="1" x14ac:dyDescent="0.2">
      <c r="A55" s="96"/>
      <c r="B55" s="96"/>
      <c r="C55" s="96"/>
      <c r="D55" s="96"/>
      <c r="E55" s="96"/>
      <c r="F55" s="96"/>
    </row>
    <row r="56" spans="1:6" ht="21" customHeight="1" x14ac:dyDescent="0.2">
      <c r="A56" s="96"/>
      <c r="B56" s="96"/>
      <c r="C56" s="96"/>
      <c r="D56" s="96"/>
      <c r="E56" s="96"/>
      <c r="F56" s="96"/>
    </row>
    <row r="57" spans="1:6" ht="21" customHeight="1" x14ac:dyDescent="0.2">
      <c r="A57" s="96"/>
      <c r="B57" s="96"/>
      <c r="C57" s="96"/>
      <c r="D57" s="96"/>
      <c r="E57" s="96"/>
      <c r="F57" s="96"/>
    </row>
    <row r="58" spans="1:6" ht="21" customHeight="1" x14ac:dyDescent="0.2">
      <c r="A58" s="96"/>
      <c r="B58" s="96"/>
      <c r="C58" s="96"/>
      <c r="D58" s="96"/>
      <c r="E58" s="96"/>
      <c r="F58" s="96"/>
    </row>
    <row r="59" spans="1:6" ht="21" customHeight="1" x14ac:dyDescent="0.2">
      <c r="A59" s="96"/>
      <c r="B59" s="96"/>
      <c r="C59" s="96"/>
      <c r="D59" s="96"/>
      <c r="E59" s="96"/>
      <c r="F59" s="96"/>
    </row>
    <row r="60" spans="1:6" ht="21" customHeight="1" x14ac:dyDescent="0.2">
      <c r="A60" s="96"/>
      <c r="B60" s="96"/>
      <c r="C60" s="96"/>
      <c r="D60" s="96"/>
      <c r="E60" s="96"/>
      <c r="F60" s="96"/>
    </row>
    <row r="61" spans="1:6" ht="21" customHeight="1" x14ac:dyDescent="0.2">
      <c r="A61" s="96"/>
      <c r="B61" s="96"/>
      <c r="C61" s="96"/>
      <c r="D61" s="96"/>
      <c r="E61" s="96"/>
      <c r="F61" s="96"/>
    </row>
    <row r="62" spans="1:6" ht="21" customHeight="1" x14ac:dyDescent="0.2">
      <c r="A62" s="96"/>
      <c r="B62" s="96"/>
      <c r="C62" s="96"/>
      <c r="D62" s="96"/>
      <c r="E62" s="96"/>
      <c r="F62" s="96"/>
    </row>
    <row r="63" spans="1:6" ht="21" customHeight="1" x14ac:dyDescent="0.2">
      <c r="A63" s="96"/>
      <c r="B63" s="96"/>
      <c r="C63" s="96"/>
      <c r="D63" s="96"/>
      <c r="E63" s="96"/>
      <c r="F63" s="96"/>
    </row>
    <row r="64" spans="1:6" ht="21" customHeight="1" x14ac:dyDescent="0.2">
      <c r="A64" s="96"/>
      <c r="B64" s="96"/>
      <c r="C64" s="96"/>
      <c r="D64" s="96"/>
      <c r="E64" s="96"/>
      <c r="F64" s="96"/>
    </row>
    <row r="65" spans="1:6" ht="21" customHeight="1" x14ac:dyDescent="0.2">
      <c r="A65" s="96"/>
      <c r="B65" s="96"/>
      <c r="C65" s="96"/>
      <c r="D65" s="96"/>
      <c r="E65" s="96"/>
      <c r="F65" s="96"/>
    </row>
    <row r="66" spans="1:6" ht="21" customHeight="1" x14ac:dyDescent="0.2">
      <c r="A66" s="96"/>
      <c r="B66" s="96"/>
      <c r="C66" s="96"/>
      <c r="D66" s="96"/>
      <c r="E66" s="96"/>
      <c r="F66" s="96"/>
    </row>
    <row r="67" spans="1:6" ht="21" customHeight="1" x14ac:dyDescent="0.2">
      <c r="A67" s="96"/>
      <c r="B67" s="96"/>
      <c r="C67" s="96"/>
      <c r="D67" s="96"/>
      <c r="E67" s="96"/>
      <c r="F67" s="96"/>
    </row>
    <row r="68" spans="1:6" ht="21" customHeight="1" x14ac:dyDescent="0.2">
      <c r="A68" s="96"/>
      <c r="B68" s="96"/>
      <c r="C68" s="96"/>
      <c r="D68" s="96"/>
      <c r="E68" s="96"/>
      <c r="F68" s="96"/>
    </row>
    <row r="69" spans="1:6" ht="21" customHeight="1" x14ac:dyDescent="0.2">
      <c r="A69" s="96"/>
      <c r="B69" s="96"/>
      <c r="C69" s="96"/>
      <c r="D69" s="96"/>
      <c r="E69" s="96"/>
      <c r="F69" s="96"/>
    </row>
    <row r="70" spans="1:6" ht="21" customHeight="1" x14ac:dyDescent="0.2">
      <c r="A70" s="96"/>
      <c r="B70" s="96"/>
      <c r="C70" s="96"/>
      <c r="D70" s="96"/>
      <c r="E70" s="96"/>
      <c r="F70" s="96"/>
    </row>
    <row r="71" spans="1:6" ht="21" customHeight="1" x14ac:dyDescent="0.2">
      <c r="A71" s="96"/>
      <c r="B71" s="96"/>
      <c r="C71" s="96"/>
      <c r="D71" s="96"/>
      <c r="E71" s="96"/>
      <c r="F71" s="96"/>
    </row>
    <row r="72" spans="1:6" ht="21" customHeight="1" x14ac:dyDescent="0.2">
      <c r="A72" s="96"/>
      <c r="B72" s="96"/>
      <c r="C72" s="96"/>
      <c r="D72" s="96"/>
      <c r="E72" s="96"/>
      <c r="F72" s="96"/>
    </row>
    <row r="73" spans="1:6" ht="21" customHeight="1" x14ac:dyDescent="0.2">
      <c r="A73" s="96"/>
      <c r="B73" s="96"/>
      <c r="C73" s="96"/>
      <c r="D73" s="96"/>
      <c r="E73" s="96"/>
      <c r="F73" s="96"/>
    </row>
    <row r="74" spans="1:6" ht="21" customHeight="1" x14ac:dyDescent="0.2">
      <c r="A74" s="96"/>
      <c r="B74" s="96"/>
      <c r="C74" s="96"/>
      <c r="D74" s="96"/>
      <c r="E74" s="96"/>
      <c r="F74" s="96"/>
    </row>
    <row r="75" spans="1:6" ht="21" customHeight="1" x14ac:dyDescent="0.2">
      <c r="A75" s="96"/>
      <c r="B75" s="96"/>
      <c r="C75" s="96"/>
      <c r="D75" s="96"/>
      <c r="E75" s="96"/>
      <c r="F75" s="96"/>
    </row>
    <row r="76" spans="1:6" ht="21" customHeight="1" x14ac:dyDescent="0.2">
      <c r="A76" s="96"/>
      <c r="B76" s="96"/>
      <c r="C76" s="96"/>
      <c r="D76" s="96"/>
      <c r="E76" s="96"/>
      <c r="F76" s="96"/>
    </row>
    <row r="77" spans="1:6" ht="21" customHeight="1" x14ac:dyDescent="0.2">
      <c r="A77" s="96"/>
      <c r="B77" s="96"/>
      <c r="C77" s="96"/>
      <c r="D77" s="96"/>
      <c r="E77" s="96"/>
      <c r="F77" s="96"/>
    </row>
    <row r="78" spans="1:6" ht="21" customHeight="1" x14ac:dyDescent="0.2">
      <c r="A78" s="96"/>
      <c r="B78" s="96"/>
      <c r="C78" s="96"/>
      <c r="D78" s="96"/>
      <c r="E78" s="96"/>
      <c r="F78" s="96"/>
    </row>
    <row r="79" spans="1:6" ht="21" customHeight="1" x14ac:dyDescent="0.2">
      <c r="A79" s="96"/>
      <c r="B79" s="96"/>
      <c r="C79" s="96"/>
      <c r="D79" s="96"/>
      <c r="E79" s="96"/>
      <c r="F79" s="96"/>
    </row>
    <row r="80" spans="1:6" ht="21" customHeight="1" x14ac:dyDescent="0.2">
      <c r="A80" s="96"/>
      <c r="B80" s="96"/>
      <c r="C80" s="96"/>
      <c r="D80" s="96"/>
      <c r="E80" s="96"/>
      <c r="F80" s="96"/>
    </row>
  </sheetData>
  <mergeCells count="1">
    <mergeCell ref="A1:F1"/>
  </mergeCells>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2"/>
  <sheetViews>
    <sheetView zoomScale="120" zoomScaleNormal="120" workbookViewId="0">
      <selection activeCell="A3" sqref="A3"/>
    </sheetView>
  </sheetViews>
  <sheetFormatPr baseColWidth="10" defaultColWidth="8.83203125" defaultRowHeight="15" x14ac:dyDescent="0.2"/>
  <cols>
    <col min="1" max="1" width="30" customWidth="1"/>
    <col min="2" max="3" width="28" customWidth="1"/>
    <col min="4" max="4" width="24" customWidth="1"/>
    <col min="5" max="6" width="28" customWidth="1"/>
  </cols>
  <sheetData>
    <row r="1" spans="1:6" ht="33.75" customHeight="1" x14ac:dyDescent="0.2">
      <c r="A1" s="1" t="s">
        <v>871</v>
      </c>
      <c r="B1" s="1"/>
      <c r="C1" s="1"/>
      <c r="D1" s="1"/>
      <c r="E1" s="1"/>
      <c r="F1" s="1"/>
    </row>
    <row r="2" spans="1:6" ht="21" customHeight="1" x14ac:dyDescent="0.2">
      <c r="A2" t="s">
        <v>872</v>
      </c>
      <c r="B2" s="103"/>
      <c r="C2" s="103"/>
      <c r="D2" s="103"/>
      <c r="E2" s="103"/>
      <c r="F2" s="103"/>
    </row>
    <row r="3" spans="1:6" ht="33.75" customHeight="1" x14ac:dyDescent="0.2">
      <c r="A3" s="104" t="s">
        <v>222</v>
      </c>
      <c r="B3" s="104" t="s">
        <v>873</v>
      </c>
      <c r="C3" s="104" t="s">
        <v>874</v>
      </c>
      <c r="D3" s="104" t="s">
        <v>875</v>
      </c>
      <c r="E3" s="104" t="s">
        <v>876</v>
      </c>
      <c r="F3" s="104" t="s">
        <v>877</v>
      </c>
    </row>
    <row r="4" spans="1:6" ht="21" customHeight="1" x14ac:dyDescent="0.2">
      <c r="A4" s="103" t="s">
        <v>98</v>
      </c>
      <c r="B4" s="103" t="s">
        <v>878</v>
      </c>
      <c r="C4" s="103" t="s">
        <v>879</v>
      </c>
      <c r="D4" s="103" t="s">
        <v>880</v>
      </c>
      <c r="E4" s="103" t="s">
        <v>879</v>
      </c>
      <c r="F4" s="103" t="s">
        <v>879</v>
      </c>
    </row>
    <row r="5" spans="1:6" ht="21" customHeight="1" x14ac:dyDescent="0.2">
      <c r="A5" s="103" t="s">
        <v>109</v>
      </c>
      <c r="B5" s="103" t="s">
        <v>878</v>
      </c>
      <c r="C5" s="103" t="s">
        <v>881</v>
      </c>
      <c r="D5" s="103" t="s">
        <v>882</v>
      </c>
      <c r="E5" s="103" t="s">
        <v>879</v>
      </c>
      <c r="F5" s="103" t="s">
        <v>879</v>
      </c>
    </row>
    <row r="6" spans="1:6" ht="21" customHeight="1" x14ac:dyDescent="0.2">
      <c r="A6" s="103" t="s">
        <v>119</v>
      </c>
      <c r="B6" s="103" t="s">
        <v>883</v>
      </c>
      <c r="C6" s="103" t="s">
        <v>884</v>
      </c>
      <c r="D6" s="103" t="s">
        <v>885</v>
      </c>
      <c r="E6" s="103" t="s">
        <v>879</v>
      </c>
      <c r="F6" s="103" t="s">
        <v>879</v>
      </c>
    </row>
    <row r="7" spans="1:6" ht="21" customHeight="1" x14ac:dyDescent="0.2">
      <c r="A7" s="103" t="s">
        <v>130</v>
      </c>
      <c r="B7" s="103" t="s">
        <v>878</v>
      </c>
      <c r="C7" s="103" t="s">
        <v>886</v>
      </c>
      <c r="D7" s="103" t="s">
        <v>887</v>
      </c>
      <c r="E7" s="103" t="s">
        <v>879</v>
      </c>
      <c r="F7" s="103" t="s">
        <v>879</v>
      </c>
    </row>
    <row r="8" spans="1:6" ht="21" customHeight="1" x14ac:dyDescent="0.2">
      <c r="A8" s="103" t="s">
        <v>141</v>
      </c>
      <c r="B8" s="103" t="s">
        <v>888</v>
      </c>
      <c r="C8" s="103" t="s">
        <v>889</v>
      </c>
      <c r="D8" s="103" t="s">
        <v>890</v>
      </c>
      <c r="E8" s="103" t="s">
        <v>879</v>
      </c>
      <c r="F8" s="103" t="s">
        <v>879</v>
      </c>
    </row>
    <row r="9" spans="1:6" ht="21" customHeight="1" x14ac:dyDescent="0.2">
      <c r="A9" s="103" t="s">
        <v>151</v>
      </c>
      <c r="B9" s="103" t="s">
        <v>891</v>
      </c>
      <c r="C9" s="103" t="s">
        <v>892</v>
      </c>
      <c r="D9" s="103" t="s">
        <v>893</v>
      </c>
      <c r="E9" s="103" t="s">
        <v>879</v>
      </c>
      <c r="F9" s="103" t="s">
        <v>879</v>
      </c>
    </row>
    <row r="10" spans="1:6" ht="21" customHeight="1" x14ac:dyDescent="0.2">
      <c r="A10" s="103"/>
      <c r="B10" s="103"/>
      <c r="C10" s="103"/>
      <c r="D10" s="103"/>
      <c r="E10" s="103"/>
      <c r="F10" s="103"/>
    </row>
    <row r="11" spans="1:6" ht="21" customHeight="1" x14ac:dyDescent="0.2">
      <c r="A11" t="s">
        <v>894</v>
      </c>
      <c r="B11" t="s">
        <v>895</v>
      </c>
      <c r="C11" s="103"/>
      <c r="D11" s="103"/>
      <c r="E11" s="103"/>
      <c r="F11" s="103"/>
    </row>
    <row r="12" spans="1:6" ht="21" customHeight="1" x14ac:dyDescent="0.2">
      <c r="A12" t="s">
        <v>894</v>
      </c>
      <c r="B12" t="s">
        <v>896</v>
      </c>
      <c r="C12" s="103"/>
      <c r="D12" s="103"/>
      <c r="E12" s="103"/>
      <c r="F12" s="103"/>
    </row>
  </sheetData>
  <mergeCells count="1">
    <mergeCell ref="A1:F1"/>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START HERE</vt:lpstr>
      <vt:lpstr>Package Reference</vt:lpstr>
      <vt:lpstr>Complexity Reference</vt:lpstr>
      <vt:lpstr>Quote Calculator</vt:lpstr>
      <vt:lpstr>ROI App</vt:lpstr>
      <vt:lpstr>Example Quotes</vt:lpstr>
      <vt:lpstr>Access Models</vt:lpstr>
      <vt:lpstr>Client Quote Summary</vt:lpstr>
      <vt:lpstr>Pricing Logic</vt:lpstr>
      <vt:lpstr>AI Aut Logic</vt:lpstr>
      <vt:lpstr>AUDIT Pricing</vt:lpstr>
      <vt:lpstr>B&amp;T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maciek szczech</cp:lastModifiedBy>
  <cp:revision>0</cp:revision>
  <dcterms:created xsi:type="dcterms:W3CDTF">2026-07-04T13:49:19Z</dcterms:created>
  <dcterms:modified xsi:type="dcterms:W3CDTF">2026-07-16T15:29:18Z</dcterms:modified>
  <dc:language>en-US</dc:language>
</cp:coreProperties>
</file>