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560" windowHeight="20040" tabRatio="500" firstSheet="0" activeTab="0" autoFilterDateGrouping="1"/>
  </bookViews>
  <sheets>
    <sheet xmlns:r="http://schemas.openxmlformats.org/officeDocument/2006/relationships" name="START HERE" sheetId="1" state="visible" r:id="rId1"/>
    <sheet xmlns:r="http://schemas.openxmlformats.org/officeDocument/2006/relationships" name="Package Reference" sheetId="2" state="visible" r:id="rId2"/>
    <sheet xmlns:r="http://schemas.openxmlformats.org/officeDocument/2006/relationships" name="Complexity Reference" sheetId="3" state="visible" r:id="rId3"/>
    <sheet xmlns:r="http://schemas.openxmlformats.org/officeDocument/2006/relationships" name="Quote Calculator" sheetId="4" state="visible" r:id="rId4"/>
    <sheet xmlns:r="http://schemas.openxmlformats.org/officeDocument/2006/relationships" name="ROI App" sheetId="5" state="visible" r:id="rId5"/>
    <sheet xmlns:r="http://schemas.openxmlformats.org/officeDocument/2006/relationships" name="Example Quotes" sheetId="6" state="visible" r:id="rId6"/>
    <sheet xmlns:r="http://schemas.openxmlformats.org/officeDocument/2006/relationships" name="Access Models" sheetId="7" state="visible" r:id="rId7"/>
    <sheet xmlns:r="http://schemas.openxmlformats.org/officeDocument/2006/relationships" name="Client Quote Summary" sheetId="8" state="visible" r:id="rId8"/>
    <sheet xmlns:r="http://schemas.openxmlformats.org/officeDocument/2006/relationships" name="Pricing Logic" sheetId="9" state="visible" r:id="rId9"/>
    <sheet xmlns:r="http://schemas.openxmlformats.org/officeDocument/2006/relationships" name="AI Aut Logic" sheetId="10" state="visible" r:id="rId10"/>
    <sheet xmlns:r="http://schemas.openxmlformats.org/officeDocument/2006/relationships" name="AUDIT Pricing" sheetId="11" state="visible" r:id="rId11"/>
    <sheet xmlns:r="http://schemas.openxmlformats.org/officeDocument/2006/relationships" name="B&amp;T Matrix" sheetId="12" state="visible" r:id="rId12"/>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39">
    <font>
      <name val="Calibri"/>
      <charset val="1"/>
      <sz val="11"/>
    </font>
    <font>
      <name val="Calibri"/>
      <charset val="1"/>
      <family val="2"/>
      <b val="1"/>
      <color rgb="FFFFFFFF"/>
      <sz val="11"/>
    </font>
    <font>
      <name val="Calibri"/>
      <charset val="1"/>
      <family val="2"/>
      <b val="1"/>
      <sz val="11"/>
    </font>
    <font>
      <name val="Calibri"/>
      <family val="2"/>
      <b val="1"/>
      <color rgb="FFFFFFFF"/>
      <sz val="12"/>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s>
  <fills count="27">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rgb="FF000000"/>
        <bgColor rgb="FF111827"/>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s>
  <borders count="1">
    <border>
      <left/>
      <right/>
      <top/>
      <bottom/>
      <diagonal/>
    </border>
  </borders>
  <cellStyleXfs count="1">
    <xf numFmtId="0" fontId="0" fillId="0" borderId="0"/>
  </cellStyleXfs>
  <cellXfs count="99">
    <xf numFmtId="0" fontId="0" fillId="0" borderId="0" pivotButton="0" quotePrefix="0" xfId="0"/>
    <xf numFmtId="0" fontId="1" fillId="25" borderId="0" applyAlignment="1" pivotButton="0" quotePrefix="0" xfId="0">
      <alignment horizontal="center" wrapText="1"/>
    </xf>
    <xf numFmtId="0" fontId="1" fillId="25" borderId="0" applyAlignment="1" pivotButton="0" quotePrefix="0" xfId="0">
      <alignment horizontal="center" vertical="top" wrapText="1"/>
    </xf>
    <xf numFmtId="0" fontId="25" fillId="20" borderId="0" applyAlignment="1" pivotButton="0" quotePrefix="0" xfId="0">
      <alignment horizontal="left" vertical="center" wrapText="1"/>
    </xf>
    <xf numFmtId="0" fontId="16" fillId="20" borderId="0" applyAlignment="1" pivotButton="0" quotePrefix="0" xfId="0">
      <alignment horizontal="left" vertical="center"/>
    </xf>
    <xf numFmtId="0" fontId="14" fillId="19" borderId="0" applyAlignment="1" pivotButton="0" quotePrefix="0" xfId="0">
      <alignment vertical="center"/>
    </xf>
    <xf numFmtId="0" fontId="1" fillId="2" borderId="0" applyAlignment="1" pivotButton="0" quotePrefix="0" xfId="0">
      <alignment horizontal="left" vertical="center" wrapText="1"/>
    </xf>
    <xf numFmtId="0" fontId="3" fillId="2" borderId="0" applyAlignment="1" pivotButton="0" quotePrefix="0" xfId="0">
      <alignment horizontal="left" vertical="center" wrapText="1"/>
    </xf>
    <xf numFmtId="0" fontId="1" fillId="2" borderId="0" applyAlignment="1" pivotButton="0" quotePrefix="0" xfId="0">
      <alignment horizontal="left" vertical="center"/>
    </xf>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4"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5" fillId="6" borderId="0" applyAlignment="1" pivotButton="0" quotePrefix="0" xfId="0">
      <alignment horizontal="left" vertical="top" wrapText="1"/>
    </xf>
    <xf numFmtId="0" fontId="6"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7" fillId="0" borderId="0" pivotButton="0" quotePrefix="0" xfId="0"/>
    <xf numFmtId="0" fontId="8" fillId="2" borderId="0" applyAlignment="1" pivotButton="0" quotePrefix="0" xfId="0">
      <alignment horizontal="left" vertical="center"/>
    </xf>
    <xf numFmtId="0" fontId="8" fillId="5" borderId="0" applyAlignment="1" pivotButton="0" quotePrefix="0" xfId="0">
      <alignment horizontal="center" vertical="center"/>
    </xf>
    <xf numFmtId="0" fontId="7" fillId="0"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left" vertical="center"/>
    </xf>
    <xf numFmtId="0" fontId="9" fillId="0" borderId="0" pivotButton="0" quotePrefix="0" xfId="0"/>
    <xf numFmtId="0" fontId="7" fillId="4" borderId="0" pivotButton="0" quotePrefix="0" xfId="0"/>
    <xf numFmtId="0" fontId="9" fillId="3" borderId="0" pivotButton="0" quotePrefix="0" xfId="0"/>
    <xf numFmtId="0" fontId="7" fillId="3" borderId="0" pivotButton="0" quotePrefix="0" xfId="0"/>
    <xf numFmtId="0" fontId="7" fillId="7" borderId="0" pivotButton="0" quotePrefix="0" xfId="0"/>
    <xf numFmtId="0" fontId="7" fillId="8" borderId="0" pivotButton="0" quotePrefix="0" xfId="0"/>
    <xf numFmtId="0" fontId="7" fillId="9" borderId="0" pivotButton="0" quotePrefix="0" xfId="0"/>
    <xf numFmtId="0" fontId="7" fillId="10" borderId="0" pivotButton="0" quotePrefix="0" xfId="0"/>
    <xf numFmtId="0" fontId="10" fillId="11" borderId="0" pivotButton="0" quotePrefix="0" xfId="0"/>
    <xf numFmtId="0" fontId="7" fillId="12" borderId="0" pivotButton="0" quotePrefix="0" xfId="0"/>
    <xf numFmtId="0" fontId="10" fillId="13" borderId="0" pivotButton="0" quotePrefix="0" xfId="0"/>
    <xf numFmtId="0" fontId="7" fillId="0" borderId="0" applyAlignment="1" pivotButton="0" quotePrefix="0" xfId="0">
      <alignment horizontal="left"/>
    </xf>
    <xf numFmtId="0" fontId="9" fillId="4" borderId="0" pivotButton="0" quotePrefix="0" xfId="0"/>
    <xf numFmtId="0" fontId="9" fillId="0" borderId="0" applyAlignment="1" pivotButton="0" quotePrefix="0" xfId="0">
      <alignment horizontal="left"/>
    </xf>
    <xf numFmtId="0" fontId="9" fillId="14" borderId="0" pivotButton="0" quotePrefix="0" xfId="0"/>
    <xf numFmtId="0" fontId="9" fillId="15" borderId="0" pivotButton="0" quotePrefix="0" xfId="0"/>
    <xf numFmtId="0" fontId="9" fillId="16" borderId="0" pivotButton="0" quotePrefix="0" xfId="0"/>
    <xf numFmtId="0" fontId="7" fillId="16" borderId="0" pivotButton="0" quotePrefix="0" xfId="0"/>
    <xf numFmtId="0" fontId="9" fillId="17" borderId="0" applyAlignment="1" pivotButton="0" quotePrefix="0" xfId="0">
      <alignment horizontal="right"/>
    </xf>
    <xf numFmtId="0" fontId="11" fillId="0" borderId="0" pivotButton="0" quotePrefix="0" xfId="0"/>
    <xf numFmtId="0" fontId="12" fillId="3" borderId="0" pivotButton="0" quotePrefix="0" xfId="0"/>
    <xf numFmtId="0" fontId="12" fillId="0" borderId="0" pivotButton="0" quotePrefix="0" xfId="0"/>
    <xf numFmtId="0" fontId="13" fillId="0" borderId="0" pivotButton="0" quotePrefix="0" xfId="0"/>
    <xf numFmtId="0" fontId="13" fillId="18" borderId="0" pivotButton="0" quotePrefix="0" xfId="0"/>
    <xf numFmtId="0" fontId="15" fillId="5" borderId="0" applyAlignment="1" pivotButton="0" quotePrefix="0" xfId="0">
      <alignment horizontal="left" vertical="center"/>
    </xf>
    <xf numFmtId="0" fontId="17" fillId="21" borderId="0" pivotButton="0" quotePrefix="0" xfId="0"/>
    <xf numFmtId="0" fontId="13" fillId="21" borderId="0" pivotButton="0" quotePrefix="0" xfId="0"/>
    <xf numFmtId="0" fontId="18" fillId="22" borderId="0" applyAlignment="1" pivotButton="0" quotePrefix="0" xfId="0">
      <alignment horizontal="left" vertical="center"/>
    </xf>
    <xf numFmtId="0" fontId="13" fillId="22" borderId="0" pivotButton="0" quotePrefix="0" xfId="0"/>
    <xf numFmtId="0" fontId="19" fillId="22" borderId="0" applyAlignment="1" pivotButton="0" quotePrefix="0" xfId="0">
      <alignment horizontal="left" vertical="center"/>
    </xf>
    <xf numFmtId="3" fontId="19" fillId="4" borderId="0" applyAlignment="1" pivotButton="0" quotePrefix="0" xfId="0">
      <alignment horizontal="right" vertical="center"/>
    </xf>
    <xf numFmtId="0" fontId="20" fillId="22" borderId="0" applyAlignment="1" pivotButton="0" quotePrefix="0" xfId="0">
      <alignment horizontal="left" vertical="center"/>
    </xf>
    <xf numFmtId="3" fontId="19" fillId="12" borderId="0" applyAlignment="1" pivotButton="0" quotePrefix="0" xfId="0">
      <alignment horizontal="right" vertical="center"/>
    </xf>
    <xf numFmtId="3" fontId="21" fillId="14" borderId="0" applyAlignment="1" pivotButton="0" quotePrefix="0" xfId="0">
      <alignment horizontal="right" vertical="center"/>
    </xf>
    <xf numFmtId="3" fontId="22" fillId="12" borderId="0" applyAlignment="1" pivotButton="0" quotePrefix="0" xfId="0">
      <alignment horizontal="right" vertical="center"/>
    </xf>
    <xf numFmtId="3" fontId="23" fillId="14" borderId="0" applyAlignment="1" pivotButton="0" quotePrefix="0" xfId="0">
      <alignment horizontal="right" vertical="center"/>
    </xf>
    <xf numFmtId="3" fontId="24" fillId="23" borderId="0" applyAlignment="1" pivotButton="0" quotePrefix="0" xfId="0">
      <alignment horizontal="right" vertical="center"/>
    </xf>
    <xf numFmtId="164" fontId="24" fillId="23" borderId="0" applyAlignment="1" pivotButton="0" quotePrefix="0" xfId="0">
      <alignment horizontal="right" vertical="center"/>
    </xf>
    <xf numFmtId="165" fontId="23" fillId="14" borderId="0" applyAlignment="1" pivotButton="0" quotePrefix="0" xfId="0">
      <alignment horizontal="right" vertical="center"/>
    </xf>
    <xf numFmtId="0" fontId="2" fillId="3" borderId="0" pivotButton="0" quotePrefix="0" xfId="0"/>
    <xf numFmtId="0" fontId="26" fillId="0" borderId="0" pivotButton="0" quotePrefix="0" xfId="0"/>
    <xf numFmtId="0" fontId="27" fillId="0" borderId="0" pivotButton="0" quotePrefix="0" xfId="0"/>
    <xf numFmtId="0" fontId="2" fillId="0" borderId="0" pivotButton="0" quotePrefix="0" xfId="0"/>
    <xf numFmtId="0" fontId="28" fillId="24" borderId="0" applyAlignment="1" pivotButton="0" quotePrefix="0" xfId="0">
      <alignment horizontal="left" vertical="center"/>
    </xf>
    <xf numFmtId="0" fontId="29" fillId="17" borderId="0" applyAlignment="1" pivotButton="0" quotePrefix="0" xfId="0">
      <alignment horizontal="center" vertical="center" wrapText="1"/>
    </xf>
    <xf numFmtId="0" fontId="30" fillId="15" borderId="0" applyAlignment="1" pivotButton="0" quotePrefix="0" xfId="0">
      <alignment horizontal="left" vertical="top" wrapText="1"/>
    </xf>
    <xf numFmtId="0" fontId="31" fillId="0" borderId="0" pivotButton="0" quotePrefix="0" xfId="0"/>
    <xf numFmtId="0" fontId="32" fillId="0" borderId="0" pivotButton="0" quotePrefix="0" xfId="0"/>
    <xf numFmtId="0" fontId="32" fillId="0" borderId="0" applyAlignment="1" pivotButton="0" quotePrefix="0" xfId="0">
      <alignment horizontal="left"/>
    </xf>
    <xf numFmtId="0" fontId="33" fillId="0" borderId="0" pivotButton="0" quotePrefix="0" xfId="0"/>
    <xf numFmtId="0" fontId="34" fillId="0" borderId="0" pivotButton="0" quotePrefix="0" xfId="0"/>
    <xf numFmtId="0" fontId="35" fillId="0" borderId="0" pivotButton="0" quotePrefix="0" xfId="0"/>
    <xf numFmtId="0" fontId="0" fillId="7" borderId="0" pivotButton="0" quotePrefix="0" xfId="0"/>
    <xf numFmtId="0" fontId="0" fillId="9" borderId="0" pivotButton="0" quotePrefix="0" xfId="0"/>
    <xf numFmtId="0" fontId="0" fillId="8" borderId="0" pivotButton="0" quotePrefix="0" xfId="0"/>
    <xf numFmtId="0" fontId="0" fillId="10" borderId="0" pivotButton="0" quotePrefix="0" xfId="0"/>
    <xf numFmtId="0" fontId="36" fillId="11"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6" borderId="0" applyAlignment="1" pivotButton="0" quotePrefix="0" xfId="0">
      <alignment vertical="top" wrapText="1"/>
    </xf>
    <xf numFmtId="0" fontId="2" fillId="20" borderId="0" applyAlignment="1" pivotButton="0" quotePrefix="0" xfId="0">
      <alignment vertical="top" wrapText="1"/>
    </xf>
    <xf numFmtId="3" fontId="2" fillId="20" borderId="0" applyAlignment="1" pivotButton="0" quotePrefix="0" xfId="0">
      <alignment vertical="top" wrapText="1"/>
    </xf>
    <xf numFmtId="3" fontId="0" fillId="0" borderId="0" applyAlignment="1" pivotButton="0" quotePrefix="0" xfId="0">
      <alignment vertical="top" wrapText="1"/>
    </xf>
    <xf numFmtId="0" fontId="2" fillId="20" borderId="0" applyAlignment="1" pivotButton="0" quotePrefix="0" xfId="0">
      <alignment vertical="top"/>
    </xf>
    <xf numFmtId="3" fontId="0" fillId="0" borderId="0" applyAlignment="1" pivotButton="0" quotePrefix="0" xfId="0">
      <alignment vertical="top"/>
    </xf>
    <xf numFmtId="0" fontId="0" fillId="0" borderId="0" applyAlignment="1" pivotButton="0" quotePrefix="0" xfId="0">
      <alignment wrapText="1"/>
    </xf>
    <xf numFmtId="0" fontId="1" fillId="26" borderId="0" applyAlignment="1" pivotButton="0" quotePrefix="0" xfId="0">
      <alignment wrapText="1"/>
    </xf>
    <xf numFmtId="0" fontId="37" fillId="0" borderId="0" applyAlignment="1" pivotButton="0" quotePrefix="0" xfId="0">
      <alignment vertical="top"/>
    </xf>
    <xf numFmtId="0" fontId="37" fillId="0" borderId="0" pivotButton="0" quotePrefix="0" xfId="0"/>
    <xf numFmtId="0" fontId="7" fillId="3" borderId="0" pivotButton="0" quotePrefix="0" xfId="0"/>
    <xf numFmtId="0" fontId="38" fillId="3"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3"/>
  <sheetViews>
    <sheetView tabSelected="1" zoomScale="120" zoomScaleNormal="120" workbookViewId="0">
      <selection activeCell="A3" sqref="A3"/>
    </sheetView>
  </sheetViews>
  <sheetFormatPr baseColWidth="10" defaultColWidth="8.83203125" defaultRowHeight="15"/>
  <cols>
    <col width="24" customWidth="1" min="1" max="1"/>
    <col width="22" customWidth="1" min="2" max="8"/>
  </cols>
  <sheetData>
    <row r="1" ht="60.75" customHeight="1">
      <c r="A1" s="8" t="inlineStr">
        <is>
          <t>AI Automation Pricing Calculator - SAFE VERSION</t>
        </is>
      </c>
    </row>
    <row r="3" ht="21" customHeight="1">
      <c r="A3" s="9" t="inlineStr">
        <is>
          <t>Purpose</t>
        </is>
      </c>
      <c r="B3" s="10" t="inlineStr">
        <is>
          <t>Clean, Excel-safe pricing workbook. It avoids advanced lookup formulas, tables, and data-validation objects that can sometimes trigger Excel repair messages.</t>
        </is>
      </c>
    </row>
    <row r="4" ht="21" customHeight="1">
      <c r="A4" s="9" t="inlineStr">
        <is>
          <t>How to use</t>
        </is>
      </c>
      <c r="B4" s="10" t="inlineStr">
        <is>
          <t>Use Package Reference to select the package. Then manually copy the base low/high values into Quote Calculator yellow cells.</t>
        </is>
      </c>
    </row>
    <row r="5" ht="21" customHeight="1">
      <c r="A5" s="9" t="inlineStr">
        <is>
          <t>Yellow cells</t>
        </is>
      </c>
      <c r="B5" s="10" t="inlineStr">
        <is>
          <t>Editable input cells.</t>
        </is>
      </c>
    </row>
    <row r="6" ht="21" customHeight="1">
      <c r="A6" s="9" t="inlineStr">
        <is>
          <t>Blue cells</t>
        </is>
      </c>
      <c r="B6" s="10" t="inlineStr">
        <is>
          <t>Calculated output cells.</t>
        </is>
      </c>
    </row>
    <row r="7" ht="21" customHeight="1">
      <c r="A7" s="9" t="inlineStr">
        <is>
          <t>Grey/reference sheets</t>
        </is>
      </c>
      <c r="B7" s="10" t="inlineStr">
        <is>
          <t>Internal reference and examples.</t>
        </is>
      </c>
    </row>
    <row r="8" ht="21" customHeight="1">
      <c r="A8" s="9" t="inlineStr">
        <is>
          <t>Why this safe version</t>
        </is>
      </c>
      <c r="B8" s="10" t="inlineStr">
        <is>
          <t>Previous workbook likely had a compatibility/repair issue caused by advanced formulas or workbook metadata. This version uses simple formulas only.</t>
        </is>
      </c>
    </row>
    <row r="9" ht="21" customHeight="1">
      <c r="A9" s="9" t="inlineStr">
        <is>
          <t>Client sharing</t>
        </is>
      </c>
      <c r="B9" s="10" t="inlineStr">
        <is>
          <t>Do not send internal pricing logic to client. Use Client Quote Summary as a clean external view.</t>
        </is>
      </c>
    </row>
    <row r="10" ht="21" customHeight="1">
      <c r="A10" s="9" t="inlineStr">
        <is>
          <t>Version</t>
        </is>
      </c>
      <c r="B10" s="10" t="inlineStr">
        <is>
          <t>safe v4 - editable reference lists + auto lookup</t>
        </is>
      </c>
    </row>
    <row r="11" ht="21" customHeight="1">
      <c r="A11" s="9" t="inlineStr">
        <is>
          <t>Created</t>
        </is>
      </c>
      <c r="B11" s="10" t="inlineStr">
        <is>
          <t>2026-06-23</t>
        </is>
      </c>
    </row>
    <row r="12" ht="21" customHeight="1">
      <c r="A12" s="9" t="inlineStr">
        <is>
          <t>Recommended workflow</t>
        </is>
      </c>
      <c r="B12" s="10" t="inlineStr">
        <is>
          <t>1) pick package → 2) copy base ranges → 3) enter complexity → 4) review calculated quote → 5) copy client summary.</t>
        </is>
      </c>
    </row>
    <row r="13" ht="21" customHeight="1">
      <c r="A13" s="10" t="inlineStr">
        <is>
          <t>Audit note</t>
        </is>
      </c>
      <c r="B13" s="10" t="inlineStr">
        <is>
          <t>Use 'Quote Calculator FIXED' for commercial quotes. Original calculator is retained as legacy/comparison.</t>
        </is>
      </c>
    </row>
  </sheetData>
  <mergeCells count="1">
    <mergeCell ref="A1:H1"/>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9"/>
  <sheetViews>
    <sheetView zoomScale="120" zoomScaleNormal="120" workbookViewId="0">
      <selection activeCell="A3" sqref="A3"/>
    </sheetView>
  </sheetViews>
  <sheetFormatPr baseColWidth="10" defaultColWidth="8.83203125" defaultRowHeight="15"/>
  <cols>
    <col width="21.83203125" customWidth="1" min="1" max="1"/>
    <col width="11.83203125" customWidth="1" min="2" max="5"/>
    <col width="42" customWidth="1" min="6" max="6"/>
    <col width="32" customWidth="1" min="7" max="8"/>
    <col width="34" customWidth="1" min="9" max="9"/>
    <col width="24" customWidth="1" min="10" max="10"/>
    <col width="52" customWidth="1" min="11" max="11"/>
  </cols>
  <sheetData>
    <row r="1" ht="60.75" customHeight="1">
      <c r="A1" s="7" t="inlineStr">
        <is>
          <t>Package Pricing Reference</t>
        </is>
      </c>
    </row>
    <row r="2" ht="21" customHeight="1">
      <c r="A2" s="11" t="inlineStr">
        <is>
          <t>EDITABLE RANGE: update package names, price ranges, scope notes and access model here. Quote Calculator reads columns A:E by package name.</t>
        </is>
      </c>
      <c r="B2" s="12" t="n"/>
      <c r="C2" s="12" t="n"/>
      <c r="D2" s="12" t="n"/>
      <c r="E2" s="12" t="n"/>
      <c r="F2" s="12" t="n"/>
      <c r="G2" s="12" t="n"/>
      <c r="H2" s="12" t="n"/>
      <c r="I2" s="12" t="n"/>
      <c r="J2" s="12" t="n"/>
    </row>
    <row r="3" ht="21" customHeight="1">
      <c r="A3" s="13" t="inlineStr">
        <is>
          <t>Package</t>
        </is>
      </c>
      <c r="B3" s="13" t="inlineStr">
        <is>
          <t>Setup Low</t>
        </is>
      </c>
      <c r="C3" s="13" t="inlineStr">
        <is>
          <t>Setup High</t>
        </is>
      </c>
      <c r="D3" s="13" t="inlineStr">
        <is>
          <t>Monthly Low</t>
        </is>
      </c>
      <c r="E3" s="13" t="inlineStr">
        <is>
          <t>Monthly High</t>
        </is>
      </c>
      <c r="F3" s="13" t="inlineStr">
        <is>
          <t>Typical scope</t>
        </is>
      </c>
      <c r="G3" s="13" t="inlineStr">
        <is>
          <t>Best for</t>
        </is>
      </c>
      <c r="H3" s="13" t="inlineStr">
        <is>
          <t>Access model</t>
        </is>
      </c>
      <c r="I3" s="13" t="inlineStr">
        <is>
          <t>Internal note</t>
        </is>
      </c>
      <c r="J3" s="13" t="inlineStr">
        <is>
          <t>Commercial label</t>
        </is>
      </c>
      <c r="K3" s="14" t="inlineStr">
        <is>
          <t>Typical use by automation type</t>
        </is>
      </c>
    </row>
    <row r="4" ht="33.75" customHeight="1">
      <c r="A4" s="15" t="inlineStr">
        <is>
          <t>Basic Intake</t>
        </is>
      </c>
      <c r="B4" s="15" t="n">
        <v>750</v>
      </c>
      <c r="C4" s="15" t="n">
        <v>1800</v>
      </c>
      <c r="D4" s="15" t="n">
        <v>150</v>
      </c>
      <c r="E4" s="15" t="n">
        <v>450</v>
      </c>
      <c r="F4" s="16" t="inlineStr">
        <is>
          <t>Email/forms intake, rule-based routing, booking link, simple folders/labels</t>
        </is>
      </c>
      <c r="G4" s="16" t="inlineStr">
        <is>
          <t>Simple intake, low complexity</t>
        </is>
      </c>
      <c r="H4" s="16" t="inlineStr">
        <is>
          <t>Results/dashboard only</t>
        </is>
      </c>
      <c r="I4" s="16" t="inlineStr">
        <is>
          <t>Keep scope tight</t>
        </is>
      </c>
      <c r="J4" s="16" t="inlineStr">
        <is>
          <t>AI Intake Basic</t>
        </is>
      </c>
      <c r="K4" s="17" t="inlineStr">
        <is>
          <t>Communication &amp; Intake; Document routing (no AI extraction); E-commerce order notifications; Finance reminders. Rule-based only — no AI required.</t>
        </is>
      </c>
    </row>
    <row r="5" ht="33.75" customHeight="1">
      <c r="A5" s="15" t="inlineStr">
        <is>
          <t>Basic+ AI Triage</t>
        </is>
      </c>
      <c r="B5" s="15" t="n">
        <v>1500</v>
      </c>
      <c r="C5" s="15" t="n">
        <v>3500</v>
      </c>
      <c r="D5" s="15" t="n">
        <v>300</v>
      </c>
      <c r="E5" s="15" t="n">
        <v>750</v>
      </c>
      <c r="F5" s="16" t="inlineStr">
        <is>
          <t>AI classification, CRM/Notion log, folder routing, draft support</t>
        </is>
      </c>
      <c r="G5" s="16" t="inlineStr">
        <is>
          <t>MG Red Shift-style workflow</t>
        </is>
      </c>
      <c r="H5" s="16" t="inlineStr">
        <is>
          <t>Results/dashboard + workflow summary</t>
        </is>
      </c>
      <c r="I5" s="16" t="inlineStr">
        <is>
          <t>Good first AI package</t>
        </is>
      </c>
      <c r="J5" s="16" t="inlineStr">
        <is>
          <t>AI Intake Triage Basic+</t>
        </is>
      </c>
      <c r="K5" s="17" t="inlineStr">
        <is>
          <t>Communication &amp; Intake (AI classify); Lead &amp; Sales Pipeline (CRM log); Document Processing (AI field extraction); Customer Support (ticket triage); E-commerce (AI categorisation).</t>
        </is>
      </c>
    </row>
    <row r="6" ht="33.75" customHeight="1">
      <c r="A6" s="15" t="inlineStr">
        <is>
          <t>Pro Multi-Channel</t>
        </is>
      </c>
      <c r="B6" s="15" t="n">
        <v>3500</v>
      </c>
      <c r="C6" s="15" t="n">
        <v>7500</v>
      </c>
      <c r="D6" s="15" t="n">
        <v>750</v>
      </c>
      <c r="E6" s="15" t="n">
        <v>1500</v>
      </c>
      <c r="F6" s="16" t="inlineStr">
        <is>
          <t>Email + social media, AI classification, drafts, approval workflow</t>
        </is>
      </c>
      <c r="G6" s="16" t="inlineStr">
        <is>
          <t>Multiple channels, repeated questions</t>
        </is>
      </c>
      <c r="H6" s="16" t="inlineStr">
        <is>
          <t>Dashboard + workflow chart</t>
        </is>
      </c>
      <c r="I6" s="16" t="inlineStr">
        <is>
          <t>Needs fallback and approval gates</t>
        </is>
      </c>
      <c r="J6" s="16" t="inlineStr">
        <is>
          <t>AI Workflow Pro</t>
        </is>
      </c>
      <c r="K6" s="17" t="inlineStr">
        <is>
          <t>Communication &amp; Intake (multi-source); Content &amp; Marketing (AI draft + publish review); Lead &amp; Sales Pipeline (multi-source pipeline); Document Processing (multi-source); Customer Support (multi-channel triage).</t>
        </is>
      </c>
    </row>
    <row r="7" ht="33.75" customHeight="1">
      <c r="A7" s="15" t="inlineStr">
        <is>
          <t>Managed Operations</t>
        </is>
      </c>
      <c r="B7" s="15" t="n">
        <v>7500</v>
      </c>
      <c r="C7" s="15" t="n">
        <v>15000</v>
      </c>
      <c r="D7" s="15" t="n">
        <v>1500</v>
      </c>
      <c r="E7" s="15" t="n">
        <v>3500</v>
      </c>
      <c r="F7" s="16" t="inlineStr">
        <is>
          <t>CRM, monitoring, reports, monthly improvements, support</t>
        </is>
      </c>
      <c r="G7" s="16" t="inlineStr">
        <is>
          <t>Ongoing operational support</t>
        </is>
      </c>
      <c r="H7" s="16" t="inlineStr">
        <is>
          <t>Dashboard, reports, limited logic visibility</t>
        </is>
      </c>
      <c r="I7" s="16" t="inlineStr">
        <is>
          <t>Define support limits</t>
        </is>
      </c>
      <c r="J7" s="16" t="inlineStr">
        <is>
          <t>Managed AI Operations</t>
        </is>
      </c>
      <c r="K7" s="17" t="inlineStr">
        <is>
          <t>Reporting &amp; Analytics (KPI digests, management reports); Finance &amp; Admin (reconciliation, overdue reminders); Internal Ops &amp; Approvals (ongoing routing); Scheduling &amp; Booking (managed flows). Any category requiring ongoing monitoring and improvement.</t>
        </is>
      </c>
    </row>
    <row r="8" ht="33.75" customHeight="1">
      <c r="A8" s="15" t="inlineStr">
        <is>
          <t>Agentic Automation</t>
        </is>
      </c>
      <c r="B8" s="15" t="n">
        <v>12000</v>
      </c>
      <c r="C8" s="15" t="n">
        <v>30000</v>
      </c>
      <c r="D8" s="15" t="n">
        <v>2500</v>
      </c>
      <c r="E8" s="15" t="n">
        <v>6000</v>
      </c>
      <c r="F8" s="16" t="inlineStr">
        <is>
          <t>Calendar/CRM actions, multi-step decisions, audit and governance</t>
        </is>
      </c>
      <c r="G8" s="16" t="inlineStr">
        <is>
          <t>Complex controlled actions</t>
        </is>
      </c>
      <c r="H8" s="16" t="inlineStr">
        <is>
          <t>Approval console + blueprint summary</t>
        </is>
      </c>
      <c r="I8" s="16" t="inlineStr">
        <is>
          <t>Quote individually</t>
        </is>
      </c>
      <c r="J8" s="16" t="inlineStr">
        <is>
          <t>Agentic AI Operations</t>
        </is>
      </c>
      <c r="K8" s="17"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9" ht="33.75" customHeight="1">
      <c r="A9" s="18" t="inlineStr">
        <is>
          <t>Build-and-Transfer</t>
        </is>
      </c>
      <c r="B9" s="15" t="n">
        <v>4500</v>
      </c>
      <c r="C9" s="15" t="n">
        <v>15000</v>
      </c>
      <c r="D9" s="15" t="n">
        <v>0</v>
      </c>
      <c r="E9" s="15" t="n">
        <v>1000</v>
      </c>
      <c r="F9" s="16" t="inlineStr">
        <is>
          <t>Automation built in client workspace and handed over</t>
        </is>
      </c>
      <c r="G9" s="16" t="inlineStr">
        <is>
          <t>Client wants ownership</t>
        </is>
      </c>
      <c r="H9" s="16" t="inlineStr">
        <is>
          <t>Full access/export/documentation</t>
        </is>
      </c>
      <c r="I9" s="16" t="inlineStr">
        <is>
          <t>LEGACY — do not select as package. Use a scope package in C5 and set Access model = Build-and-transfer in C6.</t>
        </is>
      </c>
      <c r="J9" s="16" t="inlineStr">
        <is>
          <t>Build &amp; Transfer</t>
        </is>
      </c>
      <c r="K9" s="17" t="inlineStr">
        <is>
          <t>All automation categories — applies when client requires full IP and operational ownership post-handover, regardless of automation type.</t>
        </is>
      </c>
    </row>
  </sheetData>
  <mergeCells count="1">
    <mergeCell ref="A1:K1"/>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R19"/>
  <sheetViews>
    <sheetView zoomScale="120" zoomScaleNormal="120" workbookViewId="0">
      <selection activeCell="A3" sqref="A3"/>
    </sheetView>
  </sheetViews>
  <sheetFormatPr baseColWidth="10" defaultColWidth="8.83203125" defaultRowHeight="15"/>
  <cols>
    <col width="24" customWidth="1" min="1" max="1"/>
    <col width="14" customWidth="1" min="2" max="5"/>
    <col width="18" customWidth="1" min="6" max="6"/>
    <col width="34" customWidth="1" min="7" max="8"/>
    <col width="28" customWidth="1" min="9" max="9"/>
    <col width="28" customWidth="1" min="11" max="11"/>
    <col width="18" customWidth="1" min="12" max="12"/>
    <col width="22" customWidth="1" min="13" max="13"/>
    <col width="34" customWidth="1" min="14" max="14"/>
    <col width="24" customWidth="1" min="15" max="15"/>
    <col width="32" customWidth="1" min="16" max="16"/>
    <col width="24" customWidth="1" min="17" max="17"/>
    <col width="32" customWidth="1" min="18" max="18"/>
  </cols>
  <sheetData>
    <row r="1" ht="60.75" customHeight="1">
      <c r="A1" s="6" t="inlineStr">
        <is>
          <t>Complexity Adders &amp; Multipliers</t>
        </is>
      </c>
      <c r="K1" s="6" t="inlineStr">
        <is>
          <t>Support Model Lookup - Editable</t>
        </is>
      </c>
    </row>
    <row r="3" ht="33.75" customHeight="1">
      <c r="A3" s="13" t="inlineStr">
        <is>
          <t>Factor</t>
        </is>
      </c>
      <c r="B3" s="13" t="inlineStr">
        <is>
          <t>Setup Low</t>
        </is>
      </c>
      <c r="C3" s="13" t="inlineStr">
        <is>
          <t>Setup High</t>
        </is>
      </c>
      <c r="D3" s="13" t="inlineStr">
        <is>
          <t>Monthly Low</t>
        </is>
      </c>
      <c r="E3" s="13" t="inlineStr">
        <is>
          <t>Monthly High</t>
        </is>
      </c>
      <c r="F3" s="13" t="inlineStr">
        <is>
          <t>Rule</t>
        </is>
      </c>
      <c r="G3" s="13" t="inlineStr">
        <is>
          <t>When to apply</t>
        </is>
      </c>
      <c r="H3" s="13" t="inlineStr">
        <is>
          <t>Notes</t>
        </is>
      </c>
      <c r="I3" s="13" t="inlineStr">
        <is>
          <t>Example</t>
        </is>
      </c>
      <c r="K3" s="13" t="inlineStr">
        <is>
          <t>Support Model</t>
        </is>
      </c>
      <c r="L3" s="13" t="inlineStr">
        <is>
          <t>Monthly Multiplier</t>
        </is>
      </c>
      <c r="M3" s="13" t="inlineStr">
        <is>
          <t>Setup Handover Multiplier</t>
        </is>
      </c>
      <c r="N3" s="13" t="inlineStr">
        <is>
          <t>Typical Use</t>
        </is>
      </c>
      <c r="O3" s="13" t="inlineStr">
        <is>
          <t>Client Access</t>
        </is>
      </c>
      <c r="P3" s="13" t="inlineStr">
        <is>
          <t>Support Responsibility</t>
        </is>
      </c>
      <c r="Q3" s="13" t="inlineStr">
        <is>
          <t>Pricing Note</t>
        </is>
      </c>
      <c r="R3" s="13" t="inlineStr">
        <is>
          <t>Internal Note</t>
        </is>
      </c>
    </row>
    <row r="4" ht="21" customHeight="1">
      <c r="A4" t="inlineStr">
        <is>
          <t>Extra data sources / triggers</t>
        </is>
      </c>
      <c r="B4" t="n">
        <v>500</v>
      </c>
      <c r="C4" t="n">
        <v>1500</v>
      </c>
      <c r="D4" t="n">
        <v>100</v>
      </c>
      <c r="E4" t="n">
        <v>300</v>
      </c>
      <c r="F4" t="inlineStr">
        <is>
          <t>per source / trigger</t>
        </is>
      </c>
      <c r="G4" t="inlineStr">
        <is>
          <t>Additional data source, trigger, or inbound channel beyond the scope included in the package</t>
        </is>
      </c>
      <c r="H4" t="inlineStr">
        <is>
          <t>Email inbox, social DM, document upload trigger, API feed, scheduled database poll</t>
        </is>
      </c>
      <c r="I4" t="inlineStr">
        <is>
          <t>invoice email trigger + webhook + Instagram DM = 3 sources</t>
        </is>
      </c>
      <c r="K4" s="19" t="inlineStr">
        <is>
          <t>No support</t>
        </is>
      </c>
      <c r="L4" s="20" t="n">
        <v>0</v>
      </c>
      <c r="M4" s="20" t="n">
        <v>1</v>
      </c>
      <c r="N4" t="inlineStr">
        <is>
          <t>Build-and-transfer with no monthly support</t>
        </is>
      </c>
      <c r="O4" t="inlineStr">
        <is>
          <t>Full handover</t>
        </is>
      </c>
      <c r="P4" t="inlineStr">
        <is>
          <t>None after handover</t>
        </is>
      </c>
      <c r="Q4" t="inlineStr">
        <is>
          <t>0x monthly</t>
        </is>
      </c>
      <c r="R4" t="inlineStr">
        <is>
          <t>Legacy setup multiplier normalized to 1. Setup premium now belongs to Access Models / fixed calculator.</t>
        </is>
      </c>
    </row>
    <row r="5" ht="21" customHeight="1">
      <c r="A5" t="inlineStr">
        <is>
          <t>AI generation steps</t>
        </is>
      </c>
      <c r="B5" t="n">
        <v>500</v>
      </c>
      <c r="C5" t="n">
        <v>2000</v>
      </c>
      <c r="D5" t="n">
        <v>150</v>
      </c>
      <c r="E5" t="n">
        <v>500</v>
      </c>
      <c r="F5" t="inlineStr">
        <is>
          <t>per workflow type</t>
        </is>
      </c>
      <c r="G5" t="inlineStr">
        <is>
          <t>AI generates any output: reply drafts, extracted document fields, summarised text, repurposed content</t>
        </is>
      </c>
      <c r="H5" t="inlineStr">
        <is>
          <t>Each distinct AI generation type adds complexity — count per type, not per execution</t>
        </is>
      </c>
      <c r="I5" t="inlineStr">
        <is>
          <t>invoice field extraction + booking reply draft = 2 generation steps</t>
        </is>
      </c>
      <c r="K5" s="19" t="inlineStr">
        <is>
          <t>Light support</t>
        </is>
      </c>
      <c r="L5" s="20" t="n">
        <v>0.5</v>
      </c>
      <c r="M5" s="20" t="n">
        <v>1</v>
      </c>
      <c r="N5" t="inlineStr">
        <is>
          <t>Client owns automation, occasional help</t>
        </is>
      </c>
      <c r="O5" t="inlineStr">
        <is>
          <t>Full/limited</t>
        </is>
      </c>
      <c r="P5" t="inlineStr">
        <is>
          <t>Limited fixes</t>
        </is>
      </c>
      <c r="Q5" t="inlineStr">
        <is>
          <t>0.5x monthly</t>
        </is>
      </c>
      <c r="R5" t="inlineStr">
        <is>
          <t>Legacy setup multiplier normalized to 1. Setup premium now belongs to Access Models / fixed calculator.</t>
        </is>
      </c>
    </row>
    <row r="6" ht="21" customHeight="1">
      <c r="A6" t="inlineStr">
        <is>
          <t>CRM integration</t>
        </is>
      </c>
      <c r="B6" t="n">
        <v>750</v>
      </c>
      <c r="C6" t="n">
        <v>2500</v>
      </c>
      <c r="D6" t="n">
        <v>200</v>
      </c>
      <c r="E6" t="n">
        <v>600</v>
      </c>
      <c r="F6" t="inlineStr">
        <is>
          <t>per CRM</t>
        </is>
      </c>
      <c r="G6" t="inlineStr">
        <is>
          <t>Notion/Airtable/HubSpot records</t>
        </is>
      </c>
      <c r="H6" t="inlineStr">
        <is>
          <t>Status and field mapping</t>
        </is>
      </c>
      <c r="I6" t="inlineStr">
        <is>
          <t>Notion DB</t>
        </is>
      </c>
      <c r="K6" s="19" t="inlineStr">
        <is>
          <t>Normal managed support</t>
        </is>
      </c>
      <c r="L6" s="20" t="n">
        <v>1</v>
      </c>
      <c r="M6" s="20" t="n">
        <v>1</v>
      </c>
      <c r="N6" t="inlineStr">
        <is>
          <t>Default managed service</t>
        </is>
      </c>
      <c r="O6" t="inlineStr">
        <is>
          <t>Dashboard/results</t>
        </is>
      </c>
      <c r="P6" t="inlineStr">
        <is>
          <t>Normal monitoring/support</t>
        </is>
      </c>
      <c r="Q6" t="inlineStr">
        <is>
          <t>1.0x monthly</t>
        </is>
      </c>
      <c r="R6" t="inlineStr">
        <is>
          <t>Default.</t>
        </is>
      </c>
    </row>
    <row r="7" ht="21" customHeight="1">
      <c r="A7" t="inlineStr">
        <is>
          <t>Approval workflow</t>
        </is>
      </c>
      <c r="B7" t="n">
        <v>750</v>
      </c>
      <c r="C7" t="n">
        <v>2000</v>
      </c>
      <c r="D7" t="n">
        <v>150</v>
      </c>
      <c r="E7" t="n">
        <v>500</v>
      </c>
      <c r="F7" t="inlineStr">
        <is>
          <t>per approval path</t>
        </is>
      </c>
      <c r="G7" t="inlineStr">
        <is>
          <t>Human review needed</t>
        </is>
      </c>
      <c r="H7" t="inlineStr">
        <is>
          <t>Important for sensitive sectors</t>
        </is>
      </c>
      <c r="I7" t="inlineStr">
        <is>
          <t>approve before send</t>
        </is>
      </c>
      <c r="K7" s="19" t="inlineStr">
        <is>
          <t>High-responsibility maintenance</t>
        </is>
      </c>
      <c r="L7" s="20" t="n">
        <v>1.5</v>
      </c>
      <c r="M7" s="20" t="n">
        <v>1</v>
      </c>
      <c r="N7" t="inlineStr">
        <is>
          <t>Important business workflow</t>
        </is>
      </c>
      <c r="O7" t="inlineStr">
        <is>
          <t>Dashboard/results + stronger control</t>
        </is>
      </c>
      <c r="P7" t="inlineStr">
        <is>
          <t>Higher reliability support</t>
        </is>
      </c>
      <c r="Q7" t="inlineStr">
        <is>
          <t>1.5x monthly</t>
        </is>
      </c>
      <c r="R7" t="inlineStr">
        <is>
          <t>Setup premium should be explicit via access model/manual add, not hidden in support model.</t>
        </is>
      </c>
    </row>
    <row r="8" ht="21" customHeight="1">
      <c r="A8" t="inlineStr">
        <is>
          <t>Reporting layer</t>
        </is>
      </c>
      <c r="B8" t="n">
        <v>500</v>
      </c>
      <c r="C8" t="n">
        <v>2000</v>
      </c>
      <c r="D8" t="n">
        <v>250</v>
      </c>
      <c r="E8" t="n">
        <v>900</v>
      </c>
      <c r="F8" t="inlineStr">
        <is>
          <t>yes/no</t>
        </is>
      </c>
      <c r="G8" t="inlineStr">
        <is>
          <t>Dashboards, summaries, KPI reports</t>
        </is>
      </c>
      <c r="H8" t="inlineStr">
        <is>
          <t>Managed service</t>
        </is>
      </c>
      <c r="I8" t="inlineStr">
        <is>
          <t>monthly report</t>
        </is>
      </c>
      <c r="K8" s="19" t="inlineStr">
        <is>
          <t>Premium transfer support</t>
        </is>
      </c>
      <c r="L8" s="20" t="n">
        <v>2</v>
      </c>
      <c r="M8" s="20" t="n">
        <v>1</v>
      </c>
      <c r="N8" t="inlineStr">
        <is>
          <t>Transferred asset but you still maintain</t>
        </is>
      </c>
      <c r="O8" t="inlineStr">
        <is>
          <t>Full handover</t>
        </is>
      </c>
      <c r="P8" t="inlineStr">
        <is>
          <t>Ongoing maintenance</t>
        </is>
      </c>
      <c r="Q8" t="inlineStr">
        <is>
          <t>2.0x monthly</t>
        </is>
      </c>
      <c r="R8" t="inlineStr">
        <is>
          <t>Use Access Models / fixed calculator for transfer setup premium.</t>
        </is>
      </c>
    </row>
    <row r="9" ht="21" customHeight="1">
      <c r="A9" t="inlineStr">
        <is>
          <t>Sensitive data</t>
        </is>
      </c>
      <c r="B9" t="n">
        <v>0</v>
      </c>
      <c r="C9" t="n">
        <v>0</v>
      </c>
      <c r="D9" t="n">
        <v>0</v>
      </c>
      <c r="E9" t="n">
        <v>0</v>
      </c>
      <c r="F9" t="inlineStr">
        <is>
          <t>x1.3 to x1.7</t>
        </is>
      </c>
      <c r="G9" t="inlineStr">
        <is>
          <t>Health/legal/finance/high privacy</t>
        </is>
      </c>
      <c r="H9" t="inlineStr">
        <is>
          <t>Apply mainly to setup and monthly</t>
        </is>
      </c>
      <c r="I9" t="inlineStr">
        <is>
          <t>therapist</t>
        </is>
      </c>
      <c r="K9" s="19" t="inlineStr">
        <is>
          <t>Critical support</t>
        </is>
      </c>
      <c r="L9" s="20" t="n">
        <v>3</v>
      </c>
      <c r="M9" s="20" t="n">
        <v>1</v>
      </c>
      <c r="N9" t="inlineStr">
        <is>
          <t>Complex/agentic/high-risk system</t>
        </is>
      </c>
      <c r="O9" t="inlineStr">
        <is>
          <t>Full/controlled</t>
        </is>
      </c>
      <c r="P9" t="inlineStr">
        <is>
          <t>High responsibility</t>
        </is>
      </c>
      <c r="Q9" t="inlineStr">
        <is>
          <t>Up to 3.0x monthly</t>
        </is>
      </c>
      <c r="R9" t="inlineStr">
        <is>
          <t>Use manual setup add/urgency multiplier for critical setup impact.</t>
        </is>
      </c>
    </row>
    <row r="10" ht="21" customHeight="1">
      <c r="A10" t="inlineStr">
        <is>
          <t>Urgency</t>
        </is>
      </c>
      <c r="B10" t="n">
        <v>0</v>
      </c>
      <c r="C10" t="n">
        <v>0</v>
      </c>
      <c r="D10" t="n">
        <v>0</v>
      </c>
      <c r="E10" t="n">
        <v>0</v>
      </c>
      <c r="F10" t="inlineStr">
        <is>
          <t>x1.2 to x1.5</t>
        </is>
      </c>
      <c r="G10" t="inlineStr">
        <is>
          <t>Fast delivery required</t>
        </is>
      </c>
      <c r="H10" t="inlineStr">
        <is>
          <t>Apply to setup</t>
        </is>
      </c>
      <c r="I10" t="inlineStr">
        <is>
          <t>launch this week</t>
        </is>
      </c>
    </row>
    <row r="11" ht="21" customHeight="1">
      <c r="A11" t="inlineStr">
        <is>
          <t>Full handover</t>
        </is>
      </c>
      <c r="B11" t="n">
        <v>0</v>
      </c>
      <c r="C11" t="n">
        <v>0</v>
      </c>
      <c r="D11" t="n">
        <v>0</v>
      </c>
      <c r="E11" t="n">
        <v>0</v>
      </c>
      <c r="F11" t="inlineStr">
        <is>
          <t>x1.5 to x3.0</t>
        </is>
      </c>
      <c r="G11" t="inlineStr">
        <is>
          <t>Client receives scenario/blueprint</t>
        </is>
      </c>
      <c r="H11" t="inlineStr">
        <is>
          <t>Build-and-transfer</t>
        </is>
      </c>
      <c r="I11" t="inlineStr">
        <is>
          <t>own Make workspace</t>
        </is>
      </c>
    </row>
    <row r="13" ht="33.75" customHeight="1">
      <c r="A13" s="13" t="inlineStr">
        <is>
          <t>Monthly support model</t>
        </is>
      </c>
      <c r="B13" s="13" t="inlineStr">
        <is>
          <t>Monthly multiplier</t>
        </is>
      </c>
      <c r="C13" s="13" t="inlineStr">
        <is>
          <t>Typical monthly logic</t>
        </is>
      </c>
      <c r="D13" s="13" t="inlineStr">
        <is>
          <t>Use when</t>
        </is>
      </c>
      <c r="E13" s="13" t="inlineStr">
        <is>
          <t>Client receives</t>
        </is>
      </c>
      <c r="F13" s="13" t="inlineStr">
        <is>
          <t>You remain responsible for</t>
        </is>
      </c>
      <c r="G13" s="13" t="inlineStr">
        <is>
          <t>Example</t>
        </is>
      </c>
      <c r="H13" s="13" t="inlineStr">
        <is>
          <t>Pricing note</t>
        </is>
      </c>
      <c r="I13" s="13" t="inlineStr">
        <is>
          <t>Internal decision</t>
        </is>
      </c>
    </row>
    <row r="14" ht="21" customHeight="1">
      <c r="A14" t="inlineStr">
        <is>
          <t>No support</t>
        </is>
      </c>
      <c r="B14" s="21" t="n">
        <v>0</v>
      </c>
      <c r="C14" t="inlineStr">
        <is>
          <t>No recurring fee</t>
        </is>
      </c>
      <c r="D14" t="inlineStr">
        <is>
          <t>Build-and-transfer with no support</t>
        </is>
      </c>
      <c r="E14" t="inlineStr">
        <is>
          <t>Delivered automation only</t>
        </is>
      </c>
      <c r="F14" t="inlineStr">
        <is>
          <t>Nothing after handover</t>
        </is>
      </c>
      <c r="G14" t="inlineStr">
        <is>
          <t>client self-maintains</t>
        </is>
      </c>
      <c r="H14" t="inlineStr">
        <is>
          <t>0x monthly</t>
        </is>
      </c>
      <c r="I14" t="inlineStr">
        <is>
          <t>Use rarely</t>
        </is>
      </c>
    </row>
    <row r="15" ht="21" customHeight="1">
      <c r="A15" t="inlineStr">
        <is>
          <t>Light support</t>
        </is>
      </c>
      <c r="B15" s="21" t="n">
        <v>0.5</v>
      </c>
      <c r="C15" t="inlineStr">
        <is>
          <t>Ad-hoc checks / small fixes</t>
        </is>
      </c>
      <c r="D15" t="inlineStr">
        <is>
          <t>Client owns automation but may need help</t>
        </is>
      </c>
      <c r="E15" t="inlineStr">
        <is>
          <t>Occasional support</t>
        </is>
      </c>
      <c r="F15" t="inlineStr">
        <is>
          <t>Limited support only</t>
        </is>
      </c>
      <c r="G15" t="inlineStr">
        <is>
          <t>quarterly help</t>
        </is>
      </c>
      <c r="H15" t="inlineStr">
        <is>
          <t>0.5x to 1.0x monthly</t>
        </is>
      </c>
      <c r="I15" t="inlineStr">
        <is>
          <t>Define hours</t>
        </is>
      </c>
    </row>
    <row r="16" ht="21" customHeight="1">
      <c r="A16" t="inlineStr">
        <is>
          <t>Normal managed support</t>
        </is>
      </c>
      <c r="B16" s="21" t="n">
        <v>1</v>
      </c>
      <c r="C16" t="inlineStr">
        <is>
          <t>Standard monitoring and minor improvements</t>
        </is>
      </c>
      <c r="D16" t="inlineStr">
        <is>
          <t>Managed service default</t>
        </is>
      </c>
      <c r="E16" t="inlineStr">
        <is>
          <t>Reports/support</t>
        </is>
      </c>
      <c r="F16" t="inlineStr">
        <is>
          <t>Normal reliability support</t>
        </is>
      </c>
      <c r="G16" t="inlineStr">
        <is>
          <t>Basic+/Pro managed</t>
        </is>
      </c>
      <c r="H16" t="inlineStr">
        <is>
          <t>1.0x monthly</t>
        </is>
      </c>
      <c r="I16" t="inlineStr">
        <is>
          <t>Default</t>
        </is>
      </c>
    </row>
    <row r="17" ht="21" customHeight="1">
      <c r="A17" t="inlineStr">
        <is>
          <t>High-responsibility maintenance</t>
        </is>
      </c>
      <c r="B17" s="21" t="n">
        <v>1.5</v>
      </c>
      <c r="C17" t="inlineStr">
        <is>
          <t>Strong monitoring, quick fixes, change support</t>
        </is>
      </c>
      <c r="D17" t="inlineStr">
        <is>
          <t>Client owns or depends heavily on system</t>
        </is>
      </c>
      <c r="E17" t="inlineStr">
        <is>
          <t>Higher support availability</t>
        </is>
      </c>
      <c r="F17" t="inlineStr">
        <is>
          <t>Higher operational responsibility</t>
        </is>
      </c>
      <c r="G17" t="inlineStr">
        <is>
          <t>mission-critical workflow</t>
        </is>
      </c>
      <c r="H17" t="inlineStr">
        <is>
          <t>1.5x to 3.0x monthly</t>
        </is>
      </c>
      <c r="I17" t="inlineStr">
        <is>
          <t>Premium</t>
        </is>
      </c>
    </row>
    <row r="18" ht="21" customHeight="1">
      <c r="A18" t="inlineStr">
        <is>
          <t>Premium transfer support</t>
        </is>
      </c>
      <c r="B18" s="21" t="n">
        <v>2</v>
      </c>
      <c r="C18" t="inlineStr">
        <is>
          <t>Transferred asset + ongoing maintenance</t>
        </is>
      </c>
      <c r="D18" t="inlineStr">
        <is>
          <t>Build-and-transfer but you still maintain it</t>
        </is>
      </c>
      <c r="E18" t="inlineStr">
        <is>
          <t>Full asset + managed care</t>
        </is>
      </c>
      <c r="F18" t="inlineStr">
        <is>
          <t>Ongoing maintenance despite transfer</t>
        </is>
      </c>
      <c r="G18" t="inlineStr">
        <is>
          <t>client owns Make, you maintain</t>
        </is>
      </c>
      <c r="H18" t="inlineStr">
        <is>
          <t>2.0x typical</t>
        </is>
      </c>
      <c r="I18" t="inlineStr">
        <is>
          <t>Charge clearly</t>
        </is>
      </c>
    </row>
    <row r="19" ht="21" customHeight="1">
      <c r="A19" t="inlineStr">
        <is>
          <t>Critical support</t>
        </is>
      </c>
      <c r="B19" s="21" t="n">
        <v>3</v>
      </c>
      <c r="C19" t="inlineStr">
        <is>
          <t>High urgency / high responsibility</t>
        </is>
      </c>
      <c r="D19" t="inlineStr">
        <is>
          <t>Complex agentic systems</t>
        </is>
      </c>
      <c r="E19" t="inlineStr">
        <is>
          <t>Priority support</t>
        </is>
      </c>
      <c r="F19" t="inlineStr">
        <is>
          <t>Major ongoing responsibility</t>
        </is>
      </c>
      <c r="G19" t="inlineStr">
        <is>
          <t>Calendar/CRM agent with SLA-like expectation</t>
        </is>
      </c>
      <c r="H19" t="inlineStr">
        <is>
          <t>Up to 3.0x monthly</t>
        </is>
      </c>
      <c r="I19" t="inlineStr">
        <is>
          <t>Custom quote</t>
        </is>
      </c>
    </row>
  </sheetData>
  <mergeCells count="2">
    <mergeCell ref="A1:I1"/>
    <mergeCell ref="K1:R1"/>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070C0"/>
    <outlinePr summaryBelow="1" summaryRight="1"/>
    <pageSetUpPr/>
  </sheetPr>
  <dimension ref="A1:V63"/>
  <sheetViews>
    <sheetView zoomScale="120" zoomScaleNormal="120" workbookViewId="0">
      <selection activeCell="A3" sqref="A3"/>
    </sheetView>
  </sheetViews>
  <sheetFormatPr baseColWidth="10" defaultColWidth="8.6640625" defaultRowHeight="21" customHeight="1"/>
  <cols>
    <col width="5.83203125" customWidth="1" style="22" min="1" max="1"/>
    <col width="34.83203125" customWidth="1" style="22" min="2" max="2"/>
    <col width="13.83203125" customWidth="1" style="22" min="3" max="3"/>
    <col width="55.83203125" customWidth="1" style="22" min="4" max="4"/>
    <col width="3.83203125" customWidth="1" style="22" min="5" max="5"/>
    <col width="21.83203125" customWidth="1" style="22" min="6" max="7"/>
    <col width="3.83203125" customWidth="1" style="22" min="8" max="9"/>
    <col width="21.83203125" customWidth="1" style="22" min="10" max="10"/>
    <col width="3.83203125" customWidth="1" style="22" min="11" max="11"/>
    <col width="21.83203125" customWidth="1" style="22" min="12" max="12"/>
    <col width="3.83203125" customWidth="1" style="22" min="13" max="13"/>
    <col width="21.83203125" customWidth="1" style="22" min="14" max="14"/>
    <col width="3.83203125" customWidth="1" style="22" min="15" max="15"/>
    <col width="8.6640625" customWidth="1" style="22" min="16" max="16384"/>
  </cols>
  <sheetData>
    <row r="1" ht="60.75" customHeight="1">
      <c r="A1" s="23" t="inlineStr">
        <is>
          <t>Quote Calculator — Package / Access Model / Support Model (v8)</t>
        </is>
      </c>
      <c r="B1" s="23" t="n"/>
      <c r="C1" s="23" t="n"/>
      <c r="D1" s="23" t="n"/>
    </row>
    <row r="2" ht="13.5" customHeight="1"/>
    <row r="3" ht="33.75" customFormat="1" customHeight="1" s="25">
      <c r="A3" s="24" t="inlineStr">
        <is>
          <t>Step</t>
        </is>
      </c>
      <c r="B3" s="24" t="inlineStr">
        <is>
          <t>Field</t>
        </is>
      </c>
      <c r="C3" s="24" t="inlineStr">
        <is>
          <t>Value</t>
        </is>
      </c>
      <c r="D3" s="24" t="inlineStr">
        <is>
          <t>Explanation</t>
        </is>
      </c>
      <c r="F3" s="24" t="inlineStr">
        <is>
          <t>Client-facing summary</t>
        </is>
      </c>
      <c r="G3" s="26" t="n"/>
      <c r="H3" s="26" t="n"/>
      <c r="I3" s="26" t="n"/>
      <c r="J3" s="24" t="inlineStr">
        <is>
          <t>Available Packages</t>
        </is>
      </c>
      <c r="K3" s="26" t="n"/>
      <c r="L3" s="24" t="inlineStr">
        <is>
          <t>Available Access Models</t>
        </is>
      </c>
      <c r="M3" s="26" t="n"/>
      <c r="N3" s="24" t="inlineStr">
        <is>
          <t>Available Support Models</t>
        </is>
      </c>
      <c r="O3" s="26" t="n"/>
      <c r="Q3" s="27" t="inlineStr">
        <is>
          <t>Support model</t>
        </is>
      </c>
      <c r="R3" s="24" t="n"/>
      <c r="T3" s="27" t="inlineStr">
        <is>
          <t>Meaning</t>
        </is>
      </c>
      <c r="U3" s="24" t="n"/>
      <c r="V3" s="24" t="n"/>
    </row>
    <row r="4" ht="21" customHeight="1">
      <c r="A4" s="28" t="inlineStr">
        <is>
          <t>1</t>
        </is>
      </c>
      <c r="B4" s="22" t="inlineStr">
        <is>
          <t>Client / project name</t>
        </is>
      </c>
      <c r="C4" s="29" t="n"/>
      <c r="D4" s="22" t="inlineStr">
        <is>
          <t>EDIT</t>
        </is>
      </c>
      <c r="F4" s="30" t="inlineStr">
        <is>
          <t>Project</t>
        </is>
      </c>
      <c r="G4" s="97">
        <f>C4</f>
        <v/>
      </c>
      <c r="J4" s="22">
        <f>'Package Reference'!A4</f>
        <v/>
      </c>
      <c r="L4" s="22">
        <f>'Access Models'!A5</f>
        <v/>
      </c>
      <c r="N4" s="22">
        <f>'Complexity Reference'!K4</f>
        <v/>
      </c>
      <c r="Q4" s="32" t="inlineStr">
        <is>
          <t>No support</t>
        </is>
      </c>
      <c r="R4" s="32" t="n"/>
      <c r="T4" s="32" t="inlineStr">
        <is>
          <t>build-and-transfer, client owns risk</t>
        </is>
      </c>
      <c r="U4" s="32" t="n"/>
      <c r="V4" s="32" t="n"/>
    </row>
    <row r="5" ht="21" customHeight="1">
      <c r="A5" s="28" t="inlineStr">
        <is>
          <t>2</t>
        </is>
      </c>
      <c r="B5" s="22" t="inlineStr">
        <is>
          <t>Selected package</t>
        </is>
      </c>
      <c r="C5" s="33" t="inlineStr">
        <is>
          <t>Basic Intake</t>
        </is>
      </c>
      <c r="D5" s="22" t="inlineStr">
        <is>
          <t>EDIT: scope package only — excludes Build-and-Transfer (use Access model C6 = Build-and-transfer for handover projects)</t>
        </is>
      </c>
      <c r="E5" s="22" t="inlineStr">
        <is>
          <t xml:space="preserve"> </t>
        </is>
      </c>
      <c r="F5" s="30" t="inlineStr">
        <is>
          <t>Package</t>
        </is>
      </c>
      <c r="G5" s="97">
        <f>C5</f>
        <v/>
      </c>
      <c r="J5" s="22">
        <f>'Package Reference'!A5</f>
        <v/>
      </c>
      <c r="L5" s="22">
        <f>'Access Models'!A6</f>
        <v/>
      </c>
      <c r="N5" s="22">
        <f>'Complexity Reference'!K5</f>
        <v/>
      </c>
      <c r="Q5" s="34" t="inlineStr">
        <is>
          <t>Light support</t>
        </is>
      </c>
      <c r="R5" s="34" t="n"/>
      <c r="T5" s="34" t="inlineStr">
        <is>
          <t>occasional checks/fixes</t>
        </is>
      </c>
      <c r="U5" s="34" t="n"/>
      <c r="V5" s="34" t="n"/>
    </row>
    <row r="6" ht="21" customHeight="1">
      <c r="A6" s="28" t="inlineStr">
        <is>
          <t>3</t>
        </is>
      </c>
      <c r="B6" s="22" t="inlineStr">
        <is>
          <t>Access / ownership model</t>
        </is>
      </c>
      <c r="C6" s="33" t="inlineStr">
        <is>
          <t>Managed service</t>
        </is>
      </c>
      <c r="D6" s="22" t="inlineStr">
        <is>
          <t>EDIT: controls setup/handover premium only (not monthly)</t>
        </is>
      </c>
      <c r="F6" s="30" t="inlineStr">
        <is>
          <t>Access model</t>
        </is>
      </c>
      <c r="G6" s="97">
        <f>C6</f>
        <v/>
      </c>
      <c r="J6" s="22">
        <f>'Package Reference'!A6</f>
        <v/>
      </c>
      <c r="L6" s="22">
        <f>'Access Models'!A7</f>
        <v/>
      </c>
      <c r="N6" s="22">
        <f>'Complexity Reference'!K6</f>
        <v/>
      </c>
      <c r="Q6" s="33" t="inlineStr">
        <is>
          <t>Normal managed support</t>
        </is>
      </c>
      <c r="R6" s="33" t="n"/>
      <c r="T6" s="33" t="inlineStr">
        <is>
          <t>default for business workflow</t>
        </is>
      </c>
      <c r="U6" s="33" t="n"/>
      <c r="V6" s="33" t="n"/>
    </row>
    <row r="7" ht="21" customHeight="1">
      <c r="A7" s="28" t="inlineStr">
        <is>
          <t>4</t>
        </is>
      </c>
      <c r="B7" s="22" t="inlineStr">
        <is>
          <t>Support model</t>
        </is>
      </c>
      <c r="C7" s="33" t="inlineStr">
        <is>
          <t>Normal managed support</t>
        </is>
      </c>
      <c r="D7" s="22" t="inlineStr">
        <is>
          <t>EDIT: controls monthly maintenance cost only (not setup)</t>
        </is>
      </c>
      <c r="F7" s="30" t="inlineStr">
        <is>
          <t>Support model</t>
        </is>
      </c>
      <c r="G7" s="97">
        <f>C7</f>
        <v/>
      </c>
      <c r="J7" s="22">
        <f>'Package Reference'!A7</f>
        <v/>
      </c>
      <c r="L7" s="22">
        <f>'Access Models'!A8</f>
        <v/>
      </c>
      <c r="N7" s="22">
        <f>'Complexity Reference'!K7</f>
        <v/>
      </c>
      <c r="Q7" s="35" t="inlineStr">
        <is>
          <t>High-responsibility support</t>
        </is>
      </c>
      <c r="R7" s="35" t="n"/>
      <c r="T7" s="35" t="inlineStr">
        <is>
          <t>stronger monitoring, faster response</t>
        </is>
      </c>
      <c r="U7" s="35" t="n"/>
      <c r="V7" s="35" t="n"/>
    </row>
    <row r="8" ht="21" customHeight="1">
      <c r="F8" s="30" t="inlineStr">
        <is>
          <t>Setup range</t>
        </is>
      </c>
      <c r="G8" s="97">
        <f>"CHF "&amp;ROUND(C34,0)&amp;" - CHF "&amp;ROUND(C35,0)</f>
        <v/>
      </c>
      <c r="J8" s="22">
        <f>'Package Reference'!A8</f>
        <v/>
      </c>
      <c r="L8" s="22">
        <f>'Access Models'!A9</f>
        <v/>
      </c>
      <c r="N8" s="22">
        <f>'Complexity Reference'!K8</f>
        <v/>
      </c>
      <c r="Q8" s="36" t="inlineStr">
        <is>
          <t>Agentic Automation</t>
        </is>
      </c>
      <c r="R8" s="36" t="n"/>
      <c r="T8" s="36" t="inlineStr">
        <is>
          <t>Premium transfer support</t>
        </is>
      </c>
      <c r="U8" s="36" t="n"/>
      <c r="V8" s="36" t="n"/>
    </row>
    <row r="9" ht="21" customHeight="1">
      <c r="A9" s="28" t="inlineStr">
        <is>
          <t>5</t>
        </is>
      </c>
      <c r="B9" s="22" t="inlineStr">
        <is>
          <t>Base setup low</t>
        </is>
      </c>
      <c r="C9" s="37">
        <f>IFERROR(VLOOKUP(C5,'Package Reference'!$A$4:$E$8,2,FALSE()),0)</f>
        <v/>
      </c>
      <c r="D9" s="22" t="inlineStr">
        <is>
          <t>CALC from Package Reference</t>
        </is>
      </c>
      <c r="F9" s="30" t="inlineStr">
        <is>
          <t>Monthly range</t>
        </is>
      </c>
      <c r="G9" s="97">
        <f>"CHF "&amp;ROUND(C36,0)&amp;" - CHF "&amp;ROUND(C37,0)</f>
        <v/>
      </c>
      <c r="N9" s="22">
        <f>'Complexity Reference'!K9</f>
        <v/>
      </c>
      <c r="Q9" s="38" t="inlineStr">
        <is>
          <t>Critical support</t>
        </is>
      </c>
      <c r="R9" s="38" t="n"/>
      <c r="T9" s="38" t="inlineStr">
        <is>
          <t>for operationally sensitive workflows</t>
        </is>
      </c>
      <c r="U9" s="38" t="n"/>
      <c r="V9" s="38" t="n"/>
    </row>
    <row r="10" ht="21" customHeight="1">
      <c r="A10" s="28" t="inlineStr">
        <is>
          <t>6</t>
        </is>
      </c>
      <c r="B10" s="22" t="inlineStr">
        <is>
          <t>Base setup high</t>
        </is>
      </c>
      <c r="C10" s="37">
        <f>IFERROR(VLOOKUP(C5,'Package Reference'!$A$4:$E$8,3,FALSE()),0)</f>
        <v/>
      </c>
      <c r="D10" s="22" t="inlineStr">
        <is>
          <t>CALC from Package Reference</t>
        </is>
      </c>
      <c r="F10" s="30" t="inlineStr">
        <is>
          <t>Recommended setup</t>
        </is>
      </c>
      <c r="G10" s="97">
        <f>"CHF "&amp;ROUND(C38,0)</f>
        <v/>
      </c>
    </row>
    <row r="11" ht="21" customHeight="1">
      <c r="A11" s="28" t="inlineStr">
        <is>
          <t>7</t>
        </is>
      </c>
      <c r="B11" s="22" t="inlineStr">
        <is>
          <t>Base monthly low</t>
        </is>
      </c>
      <c r="C11" s="37">
        <f>IFERROR(VLOOKUP(C5,'Package Reference'!$A$4:$E$8,4,FALSE()),0)</f>
        <v/>
      </c>
      <c r="D11" s="22" t="inlineStr">
        <is>
          <t>CALC from Package Reference</t>
        </is>
      </c>
      <c r="F11" s="30" t="inlineStr">
        <is>
          <t>Recommended monthly</t>
        </is>
      </c>
      <c r="G11" s="97">
        <f>"CHF "&amp;ROUND(C39,0)</f>
        <v/>
      </c>
    </row>
    <row r="12" ht="21" customHeight="1">
      <c r="A12" s="28" t="inlineStr">
        <is>
          <t>8</t>
        </is>
      </c>
      <c r="B12" s="22" t="inlineStr">
        <is>
          <t>Base monthly high</t>
        </is>
      </c>
      <c r="C12" s="37">
        <f>IFERROR(VLOOKUP(C5,'Package Reference'!$A$4:$E$8,5,FALSE()),0)</f>
        <v/>
      </c>
      <c r="D12" s="22" t="inlineStr">
        <is>
          <t>CALC from Package Reference</t>
        </is>
      </c>
      <c r="F12" s="30" t="inlineStr">
        <is>
          <t>Notes</t>
        </is>
      </c>
      <c r="G12" s="97" t="inlineStr">
        <is>
          <t>Prices exclude third-party tool/API usage unless agreed.</t>
        </is>
      </c>
    </row>
    <row r="13" ht="21" customHeight="1">
      <c r="A13" s="28" t="inlineStr">
        <is>
          <t>9</t>
        </is>
      </c>
      <c r="B13" s="22" t="inlineStr">
        <is>
          <t>Auto access setup multiplier</t>
        </is>
      </c>
      <c r="C13" s="37">
        <f>IFERROR(VLOOKUP(C6,'Access Models'!$A$5:$K$9,10,FALSE()),1)</f>
        <v/>
      </c>
      <c r="D13" s="22" t="inlineStr">
        <is>
          <t>CALC from Access Models col J — access model controls setup premium, not support model</t>
        </is>
      </c>
      <c r="E13" s="22" t="inlineStr">
        <is>
          <t xml:space="preserve"> </t>
        </is>
      </c>
      <c r="F13" s="30" t="inlineStr">
        <is>
          <t>List sources</t>
        </is>
      </c>
      <c r="G13" s="97" t="inlineStr">
        <is>
          <t>Package Ref A4:A9 | Access Models A4:A8 | Complexity Ref K4:K9</t>
        </is>
      </c>
    </row>
    <row r="14" ht="21" customHeight="1">
      <c r="A14" s="28" t="inlineStr">
        <is>
          <t>10</t>
        </is>
      </c>
      <c r="B14" s="22" t="inlineStr">
        <is>
          <t>Auto monthly support multiplier</t>
        </is>
      </c>
      <c r="C14" s="37">
        <f>IFERROR(VLOOKUP(C7,'Complexity Reference'!$K$4:$M$9,2,FALSE()),1)</f>
        <v/>
      </c>
      <c r="D14" s="22" t="inlineStr">
        <is>
          <t>CALC from support model (monthly multiplier only)</t>
        </is>
      </c>
    </row>
    <row r="16" ht="21" customHeight="1">
      <c r="A16" s="28" t="inlineStr">
        <is>
          <t>11</t>
        </is>
      </c>
      <c r="B16" s="22" t="inlineStr">
        <is>
          <t>Extra data sources / triggers count</t>
        </is>
      </c>
      <c r="C16" s="29" t="n">
        <v>0</v>
      </c>
      <c r="D16" s="22"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E16" s="22" t="inlineStr">
        <is>
          <t xml:space="preserve"> </t>
        </is>
      </c>
      <c r="F16" s="98" t="inlineStr">
        <is>
          <t>Extra data sources / triggers — examples</t>
        </is>
      </c>
      <c r="G16" s="97" t="inlineStr">
        <is>
          <t>Each distinct inbound source beyond the base package (separate webhook endpoint, app trigger or API feed).</t>
        </is>
      </c>
    </row>
    <row r="17" ht="21" customHeight="1">
      <c r="A17" s="28" t="inlineStr">
        <is>
          <t>12</t>
        </is>
      </c>
      <c r="B17" s="22" t="inlineStr">
        <is>
          <t>AI generation steps count</t>
        </is>
      </c>
      <c r="C17" s="29" t="n">
        <v>1</v>
      </c>
      <c r="D17" s="22" t="inlineStr">
        <is>
          <t>EDIT: count each distinct AI generation step — any HTTP module calling OpenAI or Claude for any purpose. Count per generation TYPE, not per execution. E.g. booking reply draft = 1. Invoice field extraction + booking reply draft = 2. Content repurposing call = 1.</t>
        </is>
      </c>
      <c r="E17" s="22" t="inlineStr">
        <is>
          <t xml:space="preserve"> </t>
        </is>
      </c>
      <c r="F17" s="97" t="inlineStr">
        <is>
          <t>Example values:</t>
        </is>
      </c>
    </row>
    <row r="18" ht="21" customHeight="1">
      <c r="A18" s="28" t="inlineStr">
        <is>
          <t>13</t>
        </is>
      </c>
      <c r="B18" s="22" t="inlineStr">
        <is>
          <t>CRM integrations count</t>
        </is>
      </c>
      <c r="C18" s="29" t="n">
        <v>1</v>
      </c>
      <c r="D18" s="39" t="inlineStr">
        <is>
          <t>EDIT: count each external CRM or database system connected via Make.com (Notion, HubSpot, Airtable, Google Sheets used as a CRM, etc.). Count per SYSTEM, not per module. Notion with 3 Notion modules = still 1. Notion + HubSpot = 2.</t>
        </is>
      </c>
      <c r="E18" s="22" t="inlineStr">
        <is>
          <t xml:space="preserve"> </t>
        </is>
      </c>
      <c r="F18" s="97" t="inlineStr">
        <is>
          <t>Primary source included in package = 0</t>
        </is>
      </c>
    </row>
    <row r="19" ht="21" customHeight="1">
      <c r="A19" s="28" t="inlineStr">
        <is>
          <t>14</t>
        </is>
      </c>
      <c r="B19" s="22" t="inlineStr">
        <is>
          <t>Approval workflows count</t>
        </is>
      </c>
      <c r="C19" s="29" t="n">
        <v>1</v>
      </c>
      <c r="D19" s="39" t="inlineStr">
        <is>
          <t>EDIT: count each route where Make.com pauses and a human must review and approve before the automation sends or acts. SEEKER draft reviewed by human before reply = 1. Auto folder-move with no human gate = 0. Multiple gated routes = count each gate separately.</t>
        </is>
      </c>
      <c r="E19" s="22" t="inlineStr">
        <is>
          <t xml:space="preserve"> </t>
        </is>
      </c>
      <c r="F19" s="97" t="inlineStr">
        <is>
          <t>Website form on a separate webhook = 1</t>
        </is>
      </c>
    </row>
    <row r="20" ht="21" customHeight="1">
      <c r="A20" s="28" t="inlineStr">
        <is>
          <t>15</t>
        </is>
      </c>
      <c r="B20" s="22" t="inlineStr">
        <is>
          <t>Reporting layer count</t>
        </is>
      </c>
      <c r="C20" s="29" t="n">
        <v>0</v>
      </c>
      <c r="D20" s="39" t="inlineStr">
        <is>
          <t>EDIT: 0 or 1. Use 1 only if the automation writes structured output to a reporting layer: Google Sheets analytics view, Notion summary dashboard, or similar. Test-folder logging does NOT count. Standard Notion CRM entries do NOT count as reporting.</t>
        </is>
      </c>
      <c r="E20" s="22" t="inlineStr">
        <is>
          <t xml:space="preserve"> </t>
        </is>
      </c>
      <c r="F20" s="97" t="inlineStr">
        <is>
          <t>Website form + Instagram DM = 2;  or  invoice email + webhook = 2</t>
        </is>
      </c>
    </row>
    <row r="21" ht="21" customHeight="1">
      <c r="A21" s="28" t="inlineStr">
        <is>
          <t>16</t>
        </is>
      </c>
      <c r="B21" s="22" t="inlineStr">
        <is>
          <t>Sensitive data multiplier</t>
        </is>
      </c>
      <c r="C21" s="29" t="n">
        <v>1</v>
      </c>
      <c r="D21" s="39"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E21" s="22" t="inlineStr">
        <is>
          <t xml:space="preserve"> </t>
        </is>
      </c>
      <c r="F21" s="97" t="inlineStr">
        <is>
          <t>Website + Instagram + invoice email = 3;  or  3 distinct API sources = 3</t>
        </is>
      </c>
    </row>
    <row r="22" ht="21" customHeight="1">
      <c r="A22" s="28" t="inlineStr">
        <is>
          <t>17</t>
        </is>
      </c>
      <c r="B22" s="22" t="inlineStr">
        <is>
          <t>Urgency multiplier</t>
        </is>
      </c>
      <c r="C22" s="29" t="n">
        <v>1</v>
      </c>
      <c r="D22" s="39" t="inlineStr">
        <is>
          <t>EDIT: normal = 1.0. Use 1.2 for 2–3 week delivery. Use 1.3–1.5 for hard deadlines within days (compressed build, testing and handover). Never exceed 1.5.</t>
        </is>
      </c>
      <c r="E22" s="22" t="inlineStr">
        <is>
          <t xml:space="preserve"> </t>
        </is>
      </c>
      <c r="F22" s="22" t="inlineStr">
        <is>
          <t xml:space="preserve"> </t>
        </is>
      </c>
    </row>
    <row r="23" ht="21" customHeight="1">
      <c r="A23" s="28" t="inlineStr">
        <is>
          <t>18</t>
        </is>
      </c>
      <c r="B23" s="22" t="inlineStr">
        <is>
          <t>Manual setup multiplier override</t>
        </is>
      </c>
      <c r="C23" s="40" t="n"/>
      <c r="D23" s="41" t="inlineStr">
        <is>
          <t>OPTIONAL EDIT: leave blank to use the access model auto-value (from the col L lookup). Override only when the auto value does not fit — e.g. Managed service selected but this project has unusually complex API credential setup or multi-environment staging.</t>
        </is>
      </c>
      <c r="E23" s="22" t="inlineStr">
        <is>
          <t xml:space="preserve"> </t>
        </is>
      </c>
      <c r="F23" s="98" t="inlineStr">
        <is>
          <t>AI generation steps — examples</t>
        </is>
      </c>
      <c r="G23" s="97" t="inlineStr">
        <is>
          <t>Each distinct HTTP module calling OpenAI / Claude (count per draft type, any email volume).</t>
        </is>
      </c>
    </row>
    <row r="24" ht="21" customHeight="1">
      <c r="A24" s="28" t="inlineStr">
        <is>
          <t>19</t>
        </is>
      </c>
      <c r="B24" s="22" t="inlineStr">
        <is>
          <t>Manual monthly support multiplier override</t>
        </is>
      </c>
      <c r="C24" s="40" t="n"/>
      <c r="D24" s="41" t="inlineStr">
        <is>
          <t>OPTIONAL EDIT: leave blank to use the support model auto-value. Override only when the auto value does not reflect the agreed SLA — e.g. Normal support selected but client has a faster-response agreement that is not yet in the reference table.</t>
        </is>
      </c>
      <c r="E24" s="22" t="inlineStr">
        <is>
          <t xml:space="preserve"> </t>
        </is>
      </c>
      <c r="F24" s="97" t="inlineStr">
        <is>
          <t>Example values:</t>
        </is>
      </c>
    </row>
    <row r="25" ht="21" customHeight="1">
      <c r="A25" s="28" t="inlineStr">
        <is>
          <t>20</t>
        </is>
      </c>
      <c r="B25" s="22" t="inlineStr">
        <is>
          <t>Manual custom setup add</t>
        </is>
      </c>
      <c r="C25" s="40" t="n">
        <v>0</v>
      </c>
      <c r="D25" s="41"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E25" s="22" t="inlineStr">
        <is>
          <t xml:space="preserve"> </t>
        </is>
      </c>
      <c r="F25" s="97" t="inlineStr">
        <is>
          <t>Classify or route only, no AI generation call = 0</t>
        </is>
      </c>
    </row>
    <row r="26" ht="21" customHeight="1">
      <c r="A26" s="28" t="inlineStr">
        <is>
          <t>21</t>
        </is>
      </c>
      <c r="B26" s="22" t="inlineStr">
        <is>
          <t>Manual custom monthly add</t>
        </is>
      </c>
      <c r="C26" s="40" t="n">
        <v>0</v>
      </c>
      <c r="D26" s="41"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E26" s="22" t="inlineStr">
        <is>
          <t xml:space="preserve"> </t>
        </is>
      </c>
      <c r="F26" s="97" t="inlineStr">
        <is>
          <t>One AI generation type (reply draft, field extraction, or content call) = 1</t>
        </is>
      </c>
    </row>
    <row r="27" ht="21" customHeight="1">
      <c r="F27" s="97" t="inlineStr">
        <is>
          <t>Booking reply draft + invoice field extraction = 2;  or  repurposing + reply = 2</t>
        </is>
      </c>
    </row>
    <row r="28" ht="21" customHeight="1">
      <c r="B28" s="42" t="inlineStr">
        <is>
          <t>Effective setup/access multiplier</t>
        </is>
      </c>
      <c r="C28" s="42">
        <f>IF(C23="",C13,C23)</f>
        <v/>
      </c>
      <c r="D28" s="42" t="inlineStr">
        <is>
          <t>CALC</t>
        </is>
      </c>
    </row>
    <row r="29" ht="21" customHeight="1">
      <c r="B29" s="42" t="inlineStr">
        <is>
          <t>Effective monthly support multiplier</t>
        </is>
      </c>
      <c r="C29" s="42">
        <f>IF(C24="",C14,C24)</f>
        <v/>
      </c>
      <c r="D29" s="42" t="inlineStr">
        <is>
          <t>CALC</t>
        </is>
      </c>
      <c r="F29" s="30" t="inlineStr">
        <is>
          <t>CRM integrations — Make.com context</t>
        </is>
      </c>
      <c r="G29" s="97" t="inlineStr">
        <is>
          <t>Each external database / CRM connected (Notion, HubSpot, Airtable, Google Sheets as CRM). Count per system, not per module.</t>
        </is>
      </c>
    </row>
    <row r="30" ht="21" customHeight="1">
      <c r="B30" s="42" t="inlineStr">
        <is>
          <t>Setup subtotal low (before multipliers)</t>
        </is>
      </c>
      <c r="C30" s="42">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
      </c>
      <c r="D30" s="42" t="inlineStr">
        <is>
          <t>CALC</t>
        </is>
      </c>
      <c r="F30" s="97" t="inlineStr">
        <is>
          <t>Example values:</t>
        </is>
      </c>
    </row>
    <row r="31" ht="21" customHeight="1">
      <c r="B31" s="42" t="inlineStr">
        <is>
          <t>Setup subtotal high (before multipliers)</t>
        </is>
      </c>
      <c r="C31" s="42">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
      </c>
      <c r="D31" s="42" t="inlineStr">
        <is>
          <t>CALC</t>
        </is>
      </c>
      <c r="F31" s="97" t="inlineStr">
        <is>
          <t>Folder routing only, no CRM = 0</t>
        </is>
      </c>
    </row>
    <row r="32" ht="21" customHeight="1">
      <c r="B32" s="42" t="inlineStr">
        <is>
          <t>Monthly subtotal low (before support multiplier)</t>
        </is>
      </c>
      <c r="C32" s="42">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
      </c>
      <c r="D32" s="42" t="inlineStr">
        <is>
          <t>CALC</t>
        </is>
      </c>
      <c r="F32" s="97" t="inlineStr">
        <is>
          <t>Notion only (any number of Notion modules) = 1</t>
        </is>
      </c>
    </row>
    <row r="33" ht="21" customHeight="1">
      <c r="B33" s="42" t="inlineStr">
        <is>
          <t>Monthly subtotal high (before support multiplier)</t>
        </is>
      </c>
      <c r="C33" s="42">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
      </c>
      <c r="D33" s="42" t="inlineStr">
        <is>
          <t>CALC</t>
        </is>
      </c>
      <c r="F33" s="97" t="inlineStr">
        <is>
          <t>Notion + HubSpot = 2</t>
        </is>
      </c>
    </row>
    <row r="34" ht="21" customHeight="1">
      <c r="B34" s="42" t="inlineStr">
        <is>
          <t>Calculated setup low</t>
        </is>
      </c>
      <c r="C34" s="42">
        <f>ROUND(C30*C21*C22*C28,0)</f>
        <v/>
      </c>
      <c r="D34" s="42" t="inlineStr">
        <is>
          <t>CALC</t>
        </is>
      </c>
    </row>
    <row r="35" ht="21" customHeight="1">
      <c r="B35" s="42" t="inlineStr">
        <is>
          <t>Calculated setup high</t>
        </is>
      </c>
      <c r="C35" s="42">
        <f>ROUND(C31*C21*C22*C28,0)</f>
        <v/>
      </c>
      <c r="D35" s="42" t="inlineStr">
        <is>
          <t>CALC</t>
        </is>
      </c>
      <c r="F35" s="30" t="inlineStr">
        <is>
          <t>Approval workflows — Make.com context</t>
        </is>
      </c>
      <c r="G35" s="97" t="inlineStr">
        <is>
          <t>Each route where Make.com pauses and a human must review / approve before it sends or acts.</t>
        </is>
      </c>
    </row>
    <row r="36" ht="21" customHeight="1">
      <c r="B36" s="42" t="inlineStr">
        <is>
          <t>Calculated monthly low</t>
        </is>
      </c>
      <c r="C36" s="42">
        <f>ROUND(C32*C21*C29,0)</f>
        <v/>
      </c>
      <c r="D36" s="42" t="inlineStr">
        <is>
          <t>CALC</t>
        </is>
      </c>
      <c r="F36" s="97" t="inlineStr">
        <is>
          <t>Example values:</t>
        </is>
      </c>
    </row>
    <row r="37" ht="21" customHeight="1">
      <c r="B37" s="42" t="inlineStr">
        <is>
          <t>Calculated monthly high</t>
        </is>
      </c>
      <c r="C37" s="42">
        <f>ROUND(C33*C21*C29,0)</f>
        <v/>
      </c>
      <c r="D37" s="42" t="inlineStr">
        <is>
          <t>CALC</t>
        </is>
      </c>
      <c r="F37" s="97" t="inlineStr">
        <is>
          <t>Auto folder-move only, no human gate = 0</t>
        </is>
      </c>
    </row>
    <row r="38" ht="21" customHeight="1">
      <c r="B38" s="42" t="inlineStr">
        <is>
          <t>Recommended setup quote</t>
        </is>
      </c>
      <c r="C38" s="42">
        <f>ROUND((C34+C35)/2,-2)</f>
        <v/>
      </c>
      <c r="D38" s="42" t="inlineStr">
        <is>
          <t>CALC</t>
        </is>
      </c>
      <c r="F38" s="97" t="inlineStr">
        <is>
          <t>SEEKER draft reviewed by human before reply = 1</t>
        </is>
      </c>
    </row>
    <row r="39" ht="21" customHeight="1">
      <c r="B39" s="42" t="inlineStr">
        <is>
          <t>Recommended monthly quote</t>
        </is>
      </c>
      <c r="C39" s="42">
        <f>ROUND((C36+C37)/2,-2)</f>
        <v/>
      </c>
      <c r="D39" s="42" t="inlineStr">
        <is>
          <t>CALC</t>
        </is>
      </c>
      <c r="F39" s="97" t="inlineStr">
        <is>
          <t>SEEKER gated + LEAD CRM entry requires approval = 2</t>
        </is>
      </c>
    </row>
    <row r="41" ht="21" customHeight="1">
      <c r="B41" s="43" t="inlineStr">
        <is>
          <t>Quote Sanity Check (auto)</t>
        </is>
      </c>
      <c r="C41" s="43" t="n"/>
      <c r="D41" s="43" t="n"/>
      <c r="F41" s="30" t="inlineStr">
        <is>
          <t>Reporting layer — Make.com context</t>
        </is>
      </c>
    </row>
    <row r="42" ht="21" customHeight="1">
      <c r="B42" s="44" t="inlineStr">
        <is>
          <t>Check</t>
        </is>
      </c>
      <c r="C42" s="44" t="inlineStr">
        <is>
          <t>Status</t>
        </is>
      </c>
      <c r="D42" s="44" t="inlineStr">
        <is>
          <t>Detail</t>
        </is>
      </c>
      <c r="F42" s="97" t="inlineStr">
        <is>
          <t>Example values:</t>
        </is>
      </c>
    </row>
    <row r="43" ht="21" customHeight="1">
      <c r="B43" s="45" t="inlineStr">
        <is>
          <t>Package name matches Reference</t>
        </is>
      </c>
      <c r="C43" s="46">
        <f>IF(C5="","empty",IF(C9=0,"FAIL","OK"))</f>
        <v/>
      </c>
      <c r="D43" s="45">
        <f>IF(C5="","Pick a package from column J (5 scope packages only).",IF(C9=0,IF(LOWER(C5)="build-and-transfer","Build-and-Transfer is an access model — select scope package in C5 and set C6 = Build-and-transfer.","Package name doesn't match Package Reference — use column J list."),"Package found in Reference."))</f>
        <v/>
      </c>
      <c r="F43" s="97" t="inlineStr">
        <is>
          <t>Test-folder log only = 0</t>
        </is>
      </c>
    </row>
    <row r="44" ht="21" customHeight="1">
      <c r="B44" s="45" t="inlineStr">
        <is>
          <t>Access model matches Reference</t>
        </is>
      </c>
      <c r="C44" s="46">
        <f>IF(C6="","empty",IF(IFERROR(MATCH(C6,'Access Models'!$A$5:$A$9,0),0)=0,"FAIL","OK"))</f>
        <v/>
      </c>
      <c r="D44" s="45">
        <f>IF(C6="","Pick an access model from column L.",IF(IFERROR(MATCH(C6,'Access Models'!$A$5:$A$9,0),0)=0,"Access model doesn't match Access Models — use column L list.","Access model found."))</f>
        <v/>
      </c>
      <c r="F44" s="97" t="inlineStr">
        <is>
          <t>Notion analytics view or Google Sheets report = 1</t>
        </is>
      </c>
    </row>
    <row r="45" ht="21" customHeight="1">
      <c r="B45" s="45" t="inlineStr">
        <is>
          <t>Support model matches Reference</t>
        </is>
      </c>
      <c r="C45" s="46">
        <f>IF(C7="","empty",IF(AND(C14=0,C7&lt;&gt;"No support"),"FAIL","OK"))</f>
        <v/>
      </c>
      <c r="D45" s="45">
        <f>IF(C7="","Pick a support model from column N.",IF(AND(C14=0,C7&lt;&gt;"No support"),"Support model doesn't match Complexity Reference — use column N list.","Support model found."))</f>
        <v/>
      </c>
      <c r="F45" s="97" t="inlineStr">
        <is>
          <t>Multiple separate reporting dashboards = 2 (rare)</t>
        </is>
      </c>
    </row>
    <row r="46" ht="21" customHeight="1">
      <c r="B46" s="45" t="inlineStr">
        <is>
          <t>Sensitive data has approval workflow</t>
        </is>
      </c>
      <c r="C46" s="46">
        <f>IF(C21&lt;=1,"n/a",IF(OR(C19="",C19=0),"WARN","OK"))</f>
        <v/>
      </c>
      <c r="D46" s="45">
        <f>IF(C21&lt;=1,"Sensitive multiplier not applied.",IF(OR(C19="",C19=0),"Sensitive data multiplier applied but Approval workflows count is 0 — sensitive content should always have at least 1 approval workflow.","Sensitive + approval workflow OK."))</f>
        <v/>
      </c>
      <c r="F46" s="30" t="inlineStr">
        <is>
          <t>C25 one-time add — typical operational uses:</t>
        </is>
      </c>
    </row>
    <row r="47" ht="21" customHeight="1">
      <c r="B47" s="45" t="inlineStr">
        <is>
          <t>Urgency multiplier reasonable</t>
        </is>
      </c>
      <c r="C47" s="46">
        <f>IF(OR(C22="",C22&lt;=1),"OK",IF(C22&gt;1.3,"WARN","OK"))</f>
        <v/>
      </c>
      <c r="D47" s="45">
        <f>IF(OR(C22="",C22&lt;=1),"No urgency premium.",IF(C22&gt;1.3,"Urgency multiplier above 1.3 — confirm client accepts premium delivery cost.","Urgency premium within normal range."))</f>
        <v/>
      </c>
      <c r="F47" s="97" t="inlineStr">
        <is>
          <t>Make.com plan upgrade (if client needs higher ops tier)</t>
        </is>
      </c>
    </row>
    <row r="48" ht="21" customHeight="1">
      <c r="B48" s="45" t="inlineStr">
        <is>
          <t>Handover risk acknowledged</t>
        </is>
      </c>
      <c r="C48" s="46">
        <f>IF(AND(C6="Build-and-transfer",C7="No support"),"NOTE","n/a")</f>
        <v/>
      </c>
      <c r="D48" s="45">
        <f>IF(AND(C6="Build-and-transfer",C7="No support"),"Build-and-transfer + No support: client takes full operational risk after handover. Document this clearly.","")</f>
        <v/>
      </c>
      <c r="F48" s="97" t="inlineStr">
        <is>
          <t>Third-party API onboarding or account setup fee</t>
        </is>
      </c>
    </row>
    <row r="49" ht="21" customHeight="1">
      <c r="B49" s="45" t="inlineStr">
        <is>
          <t>Reporting fits package</t>
        </is>
      </c>
      <c r="C49" s="46">
        <f>IF(AND(C5="Basic Intake",OR(C20="",C20=0)=FALSE()),"WARN","OK")</f>
        <v/>
      </c>
      <c r="D49" s="45">
        <f>IF(AND(C5="Basic Intake",OR(C20="",C20=0)=FALSE()),"Reporting layer on Basic Intake — consider upgrading to Managed Operations or higher.","Reporting layer fits selected package.")</f>
        <v/>
      </c>
      <c r="F49" s="97" t="inlineStr">
        <is>
          <t>First-month OpenAI / Claude credit (pre-funded budget)</t>
        </is>
      </c>
    </row>
    <row r="50" ht="21" customHeight="1">
      <c r="B50" s="47" t="n"/>
      <c r="F50" s="30" t="inlineStr">
        <is>
          <t>C26 monthly add — operational pass-through costs:</t>
        </is>
      </c>
    </row>
    <row r="51" ht="21" customHeight="1">
      <c r="B51" s="47" t="inlineStr">
        <is>
          <t>Tip: Status meanings:</t>
        </is>
      </c>
      <c r="C51" s="47" t="inlineStr">
        <is>
          <t>OK = no concern;</t>
        </is>
      </c>
      <c r="F51" s="97" t="inlineStr">
        <is>
          <t>Make.com ops: CHF 15–30 simple · 30–60 moderate · 60–120 complex /month</t>
        </is>
      </c>
    </row>
    <row r="52" ht="21" customHeight="1">
      <c r="B52" s="47" t="n"/>
      <c r="C52" s="47" t="inlineStr">
        <is>
          <t>WARN = check before sending quote;</t>
        </is>
      </c>
      <c r="F52" s="97" t="inlineStr">
        <is>
          <t>OpenAI / Claude tokens: CHF 10–20 / 200–500 drafts · 20–40 / 500–2000 drafts /month</t>
        </is>
      </c>
    </row>
    <row r="53" ht="21" customHeight="1">
      <c r="B53" s="47" t="n"/>
      <c r="C53" s="47" t="inlineStr">
        <is>
          <t>FAIL = formulas returning 0 because name doesn't match;</t>
        </is>
      </c>
    </row>
    <row r="54" ht="21" customHeight="1">
      <c r="B54" s="47" t="n"/>
      <c r="C54" s="47" t="inlineStr">
        <is>
          <t>NOTE = situation worth documenting in the client quote.</t>
        </is>
      </c>
      <c r="F54" s="48" t="inlineStr">
        <is>
          <t>MG Red Shift (14-module SEEKER CRM) — example inputs:</t>
        </is>
      </c>
      <c r="G54" s="48" t="n"/>
    </row>
    <row r="55" ht="21" customHeight="1">
      <c r="B55" s="47" t="n"/>
      <c r="F55" s="30" t="inlineStr">
        <is>
          <t>Field</t>
        </is>
      </c>
      <c r="G55" s="30" t="inlineStr">
        <is>
          <t>Value</t>
        </is>
      </c>
    </row>
    <row r="56" ht="21" customHeight="1">
      <c r="F56" s="28" t="inlineStr">
        <is>
          <t>Extra channels (C16)</t>
        </is>
      </c>
      <c r="G56" s="49" t="n">
        <v>0</v>
      </c>
    </row>
    <row r="57" ht="21" customHeight="1">
      <c r="F57" s="28" t="inlineStr">
        <is>
          <t>AI draft workflows (C17)</t>
        </is>
      </c>
      <c r="G57" s="49" t="n">
        <v>1</v>
      </c>
    </row>
    <row r="58" ht="21" customHeight="1">
      <c r="F58" s="28" t="inlineStr">
        <is>
          <t>CRM integrations (C18)</t>
        </is>
      </c>
      <c r="G58" s="49" t="n">
        <v>1</v>
      </c>
    </row>
    <row r="59" ht="21" customHeight="1">
      <c r="F59" s="28" t="inlineStr">
        <is>
          <t>Approval workflows (C19)</t>
        </is>
      </c>
      <c r="G59" s="49" t="n">
        <v>1</v>
      </c>
    </row>
    <row r="60" ht="21" customHeight="1">
      <c r="F60" s="28" t="inlineStr">
        <is>
          <t>Reporting layer (C20)</t>
        </is>
      </c>
      <c r="G60" s="49" t="n">
        <v>0</v>
      </c>
    </row>
    <row r="61" ht="21" customHeight="1">
      <c r="F61" s="22" t="inlineStr">
        <is>
          <t>Custom monthly add C26 (ops est.)</t>
        </is>
      </c>
      <c r="G61" s="22" t="inlineStr">
        <is>
          <t>CHF 30–60</t>
        </is>
      </c>
    </row>
    <row r="62" ht="21" customHeight="1">
      <c r="F62" s="22" t="inlineStr">
        <is>
          <t xml:space="preserve">  → Make.com ops estimate</t>
        </is>
      </c>
      <c r="G62" s="22" t="inlineStr">
        <is>
          <t>CHF 20–40 / month</t>
        </is>
      </c>
    </row>
    <row r="63" ht="21" customHeight="1">
      <c r="F63" s="22" t="inlineStr">
        <is>
          <t xml:space="preserve">  → OpenAI tokens estimate (SEEKER drafts)</t>
        </is>
      </c>
      <c r="G63" s="22" t="inlineStr">
        <is>
          <t>CHF 10–20 / month</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4E95D9"/>
    <outlinePr summaryBelow="1" summaryRight="1"/>
    <pageSetUpPr/>
  </sheetPr>
  <dimension ref="A1:H34"/>
  <sheetViews>
    <sheetView zoomScale="120" zoomScaleNormal="120" workbookViewId="0">
      <selection activeCell="A1" sqref="A1"/>
    </sheetView>
  </sheetViews>
  <sheetFormatPr baseColWidth="10" defaultColWidth="8.83203125" defaultRowHeight="16"/>
  <cols>
    <col width="5" customWidth="1" style="50" min="1" max="1"/>
    <col width="25.83203125" customWidth="1" style="50" min="2" max="2"/>
    <col width="8.83203125" customWidth="1" style="50" min="3" max="3"/>
    <col width="21.83203125" customWidth="1" style="50" min="4" max="4"/>
    <col width="5" customWidth="1" style="50" min="5" max="5"/>
    <col width="8.83203125" customWidth="1" style="50" min="6" max="16384"/>
  </cols>
  <sheetData>
    <row r="1" ht="18" customHeight="1">
      <c r="A1" s="51" t="n"/>
      <c r="B1" s="51" t="n"/>
      <c r="C1" s="51" t="n"/>
      <c r="D1" s="51" t="n"/>
      <c r="E1" s="51" t="n"/>
    </row>
    <row r="2" ht="18" customHeight="1">
      <c r="A2" s="51" t="n"/>
      <c r="B2" s="5" t="inlineStr">
        <is>
          <t xml:space="preserve">   ROI Automation Calculator</t>
        </is>
      </c>
      <c r="E2" s="51" t="n"/>
    </row>
    <row r="3" ht="18" customHeight="1">
      <c r="A3" s="51" t="n"/>
      <c r="B3" s="52" t="inlineStr">
        <is>
          <t>Field</t>
        </is>
      </c>
      <c r="C3" s="52" t="inlineStr">
        <is>
          <t>Value</t>
        </is>
      </c>
      <c r="D3" s="52" t="inlineStr">
        <is>
          <t>Unit / Notes</t>
        </is>
      </c>
      <c r="E3" s="51" t="n"/>
    </row>
    <row r="4" ht="18" customHeight="1">
      <c r="A4" s="51" t="n"/>
      <c r="B4" s="4" t="inlineStr">
        <is>
          <t xml:space="preserve"> 1. CLIENT INPUTS</t>
        </is>
      </c>
      <c r="E4" s="51" t="n"/>
      <c r="G4" s="53" t="inlineStr">
        <is>
          <t>MGREDSHIFT</t>
        </is>
      </c>
      <c r="H4" s="54" t="n"/>
    </row>
    <row r="5" ht="18" customHeight="1">
      <c r="A5" s="51" t="n"/>
      <c r="B5" s="55" t="inlineStr">
        <is>
          <t>Hard ROI — Time Savings</t>
        </is>
      </c>
      <c r="C5" s="56" t="n"/>
      <c r="D5" s="56" t="n"/>
      <c r="E5" s="51" t="n"/>
    </row>
    <row r="6" ht="18" customHeight="1">
      <c r="A6" s="51" t="n"/>
      <c r="B6" s="57" t="inlineStr">
        <is>
          <t>Employees Involved</t>
        </is>
      </c>
      <c r="C6" s="58" t="n">
        <v>2</v>
      </c>
      <c r="D6" s="59" t="inlineStr">
        <is>
          <t>people</t>
        </is>
      </c>
      <c r="E6" s="51" t="n"/>
      <c r="G6" s="58" t="n">
        <v>4</v>
      </c>
      <c r="H6" s="59" t="inlineStr">
        <is>
          <t>people</t>
        </is>
      </c>
    </row>
    <row r="7" ht="18" customHeight="1">
      <c r="A7" s="51" t="n"/>
      <c r="B7" s="57" t="inlineStr">
        <is>
          <t>Hours Lost / Week</t>
        </is>
      </c>
      <c r="C7" s="58" t="n">
        <v>5</v>
      </c>
      <c r="D7" s="59" t="inlineStr">
        <is>
          <t>hours / week</t>
        </is>
      </c>
      <c r="E7" s="51" t="n"/>
      <c r="G7" s="58" t="n">
        <v>2</v>
      </c>
      <c r="H7" s="59" t="inlineStr">
        <is>
          <t>hours / week</t>
        </is>
      </c>
    </row>
    <row r="8" ht="18" customHeight="1">
      <c r="A8" s="51" t="n"/>
      <c r="B8" s="57" t="inlineStr">
        <is>
          <t>Hourly Rate (Gross)</t>
        </is>
      </c>
      <c r="C8" s="58" t="n">
        <v>100</v>
      </c>
      <c r="D8" s="59" t="inlineStr">
        <is>
          <t>CHF / hour</t>
        </is>
      </c>
      <c r="E8" s="51" t="n"/>
      <c r="G8" s="58" t="n">
        <v>80</v>
      </c>
      <c r="H8" s="59" t="inlineStr">
        <is>
          <t>CHF / hour</t>
        </is>
      </c>
    </row>
    <row r="9" ht="18" customHeight="1">
      <c r="A9" s="51" t="n"/>
      <c r="B9" s="56" t="n"/>
      <c r="C9" s="56" t="n"/>
      <c r="D9" s="56" t="n"/>
      <c r="E9" s="51" t="n"/>
      <c r="G9" s="56" t="n"/>
      <c r="H9" s="56" t="n"/>
    </row>
    <row r="10" ht="18" customHeight="1">
      <c r="A10" s="51" t="n"/>
      <c r="B10" s="55" t="inlineStr">
        <is>
          <t>Hard ROI — Error Reduction</t>
        </is>
      </c>
      <c r="C10" s="56" t="n"/>
      <c r="D10" s="56" t="n"/>
      <c r="E10" s="51" t="n"/>
      <c r="G10" s="56" t="n"/>
      <c r="H10" s="56" t="n"/>
    </row>
    <row r="11" ht="18" customHeight="1">
      <c r="A11" s="51" t="n"/>
      <c r="B11" s="57" t="inlineStr">
        <is>
          <t>Mistakes / Week</t>
        </is>
      </c>
      <c r="C11" s="58" t="n">
        <v>5</v>
      </c>
      <c r="D11" s="59" t="inlineStr">
        <is>
          <t>mistakes / week</t>
        </is>
      </c>
      <c r="E11" s="51" t="n"/>
      <c r="G11" s="58" t="n">
        <v>1</v>
      </c>
      <c r="H11" s="59" t="inlineStr">
        <is>
          <t>mistakes / week</t>
        </is>
      </c>
    </row>
    <row r="12" ht="18" customHeight="1">
      <c r="A12" s="51" t="n"/>
      <c r="B12" s="57" t="inlineStr">
        <is>
          <t>Cost per Mistake</t>
        </is>
      </c>
      <c r="C12" s="58" t="n">
        <v>200</v>
      </c>
      <c r="D12" s="59" t="inlineStr">
        <is>
          <t>CHF / mistake</t>
        </is>
      </c>
      <c r="E12" s="51" t="n"/>
      <c r="G12" s="58" t="n">
        <v>75</v>
      </c>
      <c r="H12" s="59" t="inlineStr">
        <is>
          <t>CHF / mistake</t>
        </is>
      </c>
    </row>
    <row r="13" ht="18" customHeight="1">
      <c r="A13" s="51" t="n"/>
      <c r="B13" s="56" t="n"/>
      <c r="C13" s="56" t="n"/>
      <c r="D13" s="56" t="n"/>
      <c r="E13" s="51" t="n"/>
      <c r="G13" s="56" t="n"/>
      <c r="H13" s="56" t="n"/>
    </row>
    <row r="14" ht="18" customHeight="1">
      <c r="A14" s="51" t="n"/>
      <c r="B14" s="55" t="inlineStr">
        <is>
          <t>Soft ROI — Lost Revenue</t>
        </is>
      </c>
      <c r="C14" s="56" t="n"/>
      <c r="D14" s="56" t="n"/>
      <c r="E14" s="51" t="n"/>
      <c r="G14" s="56" t="n"/>
      <c r="H14" s="56" t="n"/>
    </row>
    <row r="15" ht="18" customHeight="1">
      <c r="A15" s="51" t="n"/>
      <c r="B15" s="57" t="inlineStr">
        <is>
          <t>Lost Leads / Month</t>
        </is>
      </c>
      <c r="C15" s="58" t="n">
        <v>10</v>
      </c>
      <c r="D15" s="59" t="inlineStr">
        <is>
          <t>leads / month</t>
        </is>
      </c>
      <c r="E15" s="51" t="n"/>
      <c r="G15" s="58" t="n">
        <v>1</v>
      </c>
      <c r="H15" s="59" t="inlineStr">
        <is>
          <t>leads / month</t>
        </is>
      </c>
    </row>
    <row r="16" ht="18" customHeight="1">
      <c r="A16" s="51" t="n"/>
      <c r="B16" s="57" t="inlineStr">
        <is>
          <t>Avg Value per Lead</t>
        </is>
      </c>
      <c r="C16" s="58" t="n">
        <v>1500</v>
      </c>
      <c r="D16" s="59" t="inlineStr">
        <is>
          <t>CHF / lead</t>
        </is>
      </c>
      <c r="E16" s="51" t="n"/>
      <c r="G16" s="58" t="n">
        <v>1000</v>
      </c>
      <c r="H16" s="59" t="inlineStr">
        <is>
          <t>CHF / lead</t>
        </is>
      </c>
    </row>
    <row r="17" ht="18" customHeight="1">
      <c r="A17" s="51" t="n"/>
      <c r="B17" s="56" t="n"/>
      <c r="C17" s="56" t="n"/>
      <c r="D17" s="56" t="n"/>
      <c r="E17" s="51" t="n"/>
      <c r="G17" s="56" t="n"/>
      <c r="H17" s="56" t="n"/>
    </row>
    <row r="18" ht="18" customHeight="1">
      <c r="A18" s="51" t="n"/>
      <c r="B18" s="55" t="inlineStr">
        <is>
          <t>Investment &amp; Ongoing Costs</t>
        </is>
      </c>
      <c r="C18" s="56" t="n"/>
      <c r="D18" s="56" t="n"/>
      <c r="E18" s="51" t="n"/>
      <c r="G18" s="56" t="n"/>
      <c r="H18" s="56" t="n"/>
    </row>
    <row r="19" ht="18" customHeight="1">
      <c r="A19" s="51" t="n"/>
      <c r="B19" s="57" t="inlineStr">
        <is>
          <t>One-Time Setup Cost</t>
        </is>
      </c>
      <c r="C19" s="58" t="n">
        <v>20000</v>
      </c>
      <c r="D19" s="59" t="inlineStr">
        <is>
          <t>CHF total</t>
        </is>
      </c>
      <c r="E19" s="51" t="n"/>
      <c r="G19" s="58" t="n">
        <v>3500</v>
      </c>
      <c r="H19" s="59" t="inlineStr">
        <is>
          <t>CHF total</t>
        </is>
      </c>
    </row>
    <row r="20" ht="18" customHeight="1">
      <c r="A20" s="51" t="n"/>
      <c r="B20" s="57" t="inlineStr">
        <is>
          <t>Monthly Managed AI Ops Cost</t>
        </is>
      </c>
      <c r="C20" s="58" t="n">
        <v>2350</v>
      </c>
      <c r="D20" s="59" t="inlineStr">
        <is>
          <t>CHF / month — paste from Quote Calculator C39 (Recommended monthly quote)</t>
        </is>
      </c>
      <c r="E20" s="51" t="n"/>
      <c r="G20" s="58" t="n">
        <v>1600</v>
      </c>
      <c r="H20" s="59" t="inlineStr">
        <is>
          <t>CHF / month</t>
        </is>
      </c>
    </row>
    <row r="21" ht="18" customHeight="1">
      <c r="A21" s="51" t="n"/>
      <c r="B21" s="56" t="n"/>
      <c r="C21" s="56" t="n"/>
      <c r="D21" s="56" t="n"/>
      <c r="E21" s="51" t="n"/>
    </row>
    <row r="22" ht="18" customHeight="1">
      <c r="A22" s="51" t="n"/>
      <c r="B22" s="4" t="inlineStr">
        <is>
          <t xml:space="preserve"> 2. CALCULATED ROI</t>
        </is>
      </c>
      <c r="E22" s="51" t="n"/>
      <c r="G22" s="53" t="inlineStr">
        <is>
          <t>ROI</t>
        </is>
      </c>
      <c r="H22" s="54" t="n"/>
    </row>
    <row r="23" ht="18" customHeight="1">
      <c r="A23" s="51" t="n"/>
      <c r="B23" s="56" t="n"/>
      <c r="C23" s="56" t="n"/>
      <c r="D23" s="56" t="n"/>
      <c r="E23" s="51" t="n"/>
    </row>
    <row r="24" ht="18" customHeight="1">
      <c r="A24" s="51" t="n"/>
      <c r="B24" s="59" t="inlineStr">
        <is>
          <t>Monthly Cost of Time</t>
        </is>
      </c>
      <c r="C24" s="60">
        <f>C6*C7*C8*4</f>
        <v/>
      </c>
      <c r="D24" s="59" t="inlineStr">
        <is>
          <t>CHF</t>
        </is>
      </c>
      <c r="E24" s="51" t="n"/>
      <c r="G24" s="60">
        <f>G6*G7*G8*4</f>
        <v/>
      </c>
      <c r="H24" s="59" t="inlineStr">
        <is>
          <t>CHF</t>
        </is>
      </c>
    </row>
    <row r="25" ht="18" customHeight="1">
      <c r="A25" s="51" t="n"/>
      <c r="B25" s="59" t="inlineStr">
        <is>
          <t>Monthly Cost of Errors</t>
        </is>
      </c>
      <c r="C25" s="60">
        <f>C11*C12*4</f>
        <v/>
      </c>
      <c r="D25" s="59" t="inlineStr">
        <is>
          <t>CHF</t>
        </is>
      </c>
      <c r="E25" s="51" t="n"/>
      <c r="G25" s="60">
        <f>G11*G12*4</f>
        <v/>
      </c>
      <c r="H25" s="59" t="inlineStr">
        <is>
          <t>CHF</t>
        </is>
      </c>
    </row>
    <row r="26" ht="18" customHeight="1">
      <c r="A26" s="51" t="n"/>
      <c r="B26" s="59" t="inlineStr">
        <is>
          <t>Monthly Lost Revenue</t>
        </is>
      </c>
      <c r="C26" s="60">
        <f>C15*C16</f>
        <v/>
      </c>
      <c r="D26" s="59" t="inlineStr">
        <is>
          <t>CHF</t>
        </is>
      </c>
      <c r="E26" s="51" t="n"/>
      <c r="G26" s="60">
        <f>G15*G16</f>
        <v/>
      </c>
      <c r="H26" s="59" t="inlineStr">
        <is>
          <t>CHF</t>
        </is>
      </c>
    </row>
    <row r="27" ht="18" customHeight="1">
      <c r="A27" s="51" t="n"/>
      <c r="B27" s="55" t="inlineStr">
        <is>
          <t>Monthly Gross Benefit</t>
        </is>
      </c>
      <c r="C27" s="61">
        <f>SUM(C24:C26)</f>
        <v/>
      </c>
      <c r="D27" s="55" t="inlineStr">
        <is>
          <t>CHF — cost of inaction</t>
        </is>
      </c>
      <c r="E27" s="51" t="n"/>
      <c r="G27" s="61">
        <f>SUM(G24:G26)</f>
        <v/>
      </c>
      <c r="H27" s="55" t="inlineStr">
        <is>
          <t>CHF — cost of inaction</t>
        </is>
      </c>
    </row>
    <row r="28" ht="18" customHeight="1">
      <c r="A28" s="51" t="n"/>
      <c r="B28" s="59" t="inlineStr">
        <is>
          <t>(−) Monthly Managed AI Ops</t>
        </is>
      </c>
      <c r="C28" s="62">
        <f>C20</f>
        <v/>
      </c>
      <c r="D28" s="59" t="inlineStr">
        <is>
          <t>CHF</t>
        </is>
      </c>
      <c r="E28" s="51" t="n"/>
      <c r="G28" s="62">
        <f>G20</f>
        <v/>
      </c>
      <c r="H28" s="59" t="inlineStr">
        <is>
          <t>CHF</t>
        </is>
      </c>
    </row>
    <row r="29" ht="18" customHeight="1">
      <c r="A29" s="51" t="n"/>
      <c r="B29" s="55" t="inlineStr">
        <is>
          <t>Net Monthly Benefit</t>
        </is>
      </c>
      <c r="C29" s="63">
        <f>C27-C28</f>
        <v/>
      </c>
      <c r="D29" s="55" t="inlineStr">
        <is>
          <t>CHF</t>
        </is>
      </c>
      <c r="E29" s="51" t="n"/>
      <c r="G29" s="63">
        <f>G27-G28</f>
        <v/>
      </c>
      <c r="H29" s="55" t="inlineStr">
        <is>
          <t>CHF</t>
        </is>
      </c>
    </row>
    <row r="30" ht="18" customHeight="1">
      <c r="A30" s="51" t="n"/>
      <c r="B30" s="55" t="inlineStr">
        <is>
          <t>Annual Net Benefit</t>
        </is>
      </c>
      <c r="C30" s="64">
        <f>C29*12</f>
        <v/>
      </c>
      <c r="D30" s="55" t="inlineStr">
        <is>
          <t>CHF</t>
        </is>
      </c>
      <c r="E30" s="51" t="n"/>
      <c r="G30" s="64">
        <f>G29*12</f>
        <v/>
      </c>
      <c r="H30" s="55" t="inlineStr">
        <is>
          <t>CHF</t>
        </is>
      </c>
    </row>
    <row r="31" ht="18" customHeight="1">
      <c r="A31" s="51" t="n"/>
      <c r="B31" s="55" t="inlineStr">
        <is>
          <t>Payback Period</t>
        </is>
      </c>
      <c r="C31" s="65">
        <f>IF(C29&lt;=0,"N/A",C19/C29)</f>
        <v/>
      </c>
      <c r="D31" s="55" t="inlineStr">
        <is>
          <t>Months</t>
        </is>
      </c>
      <c r="E31" s="51" t="n"/>
      <c r="G31" s="65">
        <f>IF(G29&lt;=0,"N/A",G19/G29)</f>
        <v/>
      </c>
      <c r="H31" s="55" t="inlineStr">
        <is>
          <t>Months</t>
        </is>
      </c>
    </row>
    <row r="32" ht="18" customHeight="1">
      <c r="A32" s="51" t="n"/>
      <c r="B32" s="55" t="inlineStr">
        <is>
          <t>First-Year Net ROI</t>
        </is>
      </c>
      <c r="C32" s="66">
        <f>IF(C19=0,"N/A",(C29*12-C19)/C19)</f>
        <v/>
      </c>
      <c r="D32" s="55" t="inlineStr">
        <is>
          <t>% (over Year 1)</t>
        </is>
      </c>
      <c r="E32" s="51" t="n"/>
      <c r="G32" s="66">
        <f>IF(G19=0,"N/A",(G29*12-G19)/G19)</f>
        <v/>
      </c>
      <c r="H32" s="55" t="inlineStr">
        <is>
          <t>% (over Year 1)</t>
        </is>
      </c>
    </row>
    <row r="33" ht="18" customHeight="1">
      <c r="A33" s="51" t="n"/>
      <c r="B33" s="56" t="n"/>
      <c r="C33" s="56" t="n"/>
      <c r="D33" s="56" t="n"/>
      <c r="E33" s="51" t="n"/>
    </row>
    <row r="34" ht="33.75" customHeight="1">
      <c r="A34" s="51" t="n"/>
      <c r="B34" s="3" t="inlineStr">
        <is>
          <t>Tip: Monthly Managed AI Ops (C20) should match 'Recommended monthly quote' from the Quote Calculator tab (cell C39). Yellow = edit, light blue = calculated.</t>
        </is>
      </c>
      <c r="E34" s="51" t="n"/>
    </row>
  </sheetData>
  <mergeCells count="4">
    <mergeCell ref="B22:D22"/>
    <mergeCell ref="B2:D2"/>
    <mergeCell ref="B4:D4"/>
    <mergeCell ref="B34:D34"/>
  </mergeCells>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11"/>
  <sheetViews>
    <sheetView zoomScale="120" zoomScaleNormal="120" workbookViewId="0">
      <selection activeCell="A3" sqref="A3"/>
    </sheetView>
  </sheetViews>
  <sheetFormatPr baseColWidth="10" defaultColWidth="8.83203125" defaultRowHeight="15"/>
  <cols>
    <col width="21.83203125" customWidth="1" min="1" max="2"/>
    <col width="21.83203125" customWidth="1" min="7" max="10"/>
  </cols>
  <sheetData>
    <row r="1" ht="60.75" customHeight="1">
      <c r="A1" s="6" t="inlineStr">
        <is>
          <t>Example Quote Ranges</t>
        </is>
      </c>
    </row>
    <row r="2" ht="15" customHeight="1"/>
    <row r="3" ht="27.75" customHeight="1">
      <c r="A3" s="13" t="inlineStr">
        <is>
          <t>Example</t>
        </is>
      </c>
      <c r="B3" s="13" t="inlineStr">
        <is>
          <t>Package</t>
        </is>
      </c>
      <c r="C3" s="13" t="inlineStr">
        <is>
          <t>Setup Low</t>
        </is>
      </c>
      <c r="D3" s="13" t="inlineStr">
        <is>
          <t>Setup High</t>
        </is>
      </c>
      <c r="E3" s="13" t="inlineStr">
        <is>
          <t>Monthly Low</t>
        </is>
      </c>
      <c r="F3" s="13" t="inlineStr">
        <is>
          <t>Monthly High</t>
        </is>
      </c>
      <c r="G3" s="13" t="inlineStr">
        <is>
          <t>Why</t>
        </is>
      </c>
      <c r="H3" s="13" t="inlineStr">
        <is>
          <t>Access model</t>
        </is>
      </c>
      <c r="I3" s="13" t="inlineStr">
        <is>
          <t>Notes</t>
        </is>
      </c>
      <c r="J3" s="13" t="inlineStr">
        <is>
          <t>Client label</t>
        </is>
      </c>
    </row>
    <row r="4" ht="21" customHeight="1">
      <c r="A4" t="inlineStr">
        <is>
          <t>MG Red Shift v4.0 — AI-drafted SEEKER reply (base)</t>
        </is>
      </c>
      <c r="B4" t="inlineStr">
        <is>
          <t>Basic+ AI Triage</t>
        </is>
      </c>
      <c r="C4" t="n">
        <v>1500</v>
      </c>
      <c r="D4" t="n">
        <v>3000</v>
      </c>
      <c r="E4" t="n">
        <v>250</v>
      </c>
      <c r="F4" t="n">
        <v>600</v>
      </c>
      <c r="G4" t="inlineStr">
        <is>
          <t>AI classification, Notion DB, folder routing, SEEKER draft support</t>
        </is>
      </c>
      <c r="H4" t="inlineStr">
        <is>
          <t>Managed / hybrid</t>
        </is>
      </c>
      <c r="I4" t="inlineStr">
        <is>
          <t>No automatic sending; AI draft held for review</t>
        </is>
      </c>
      <c r="J4" t="inlineStr">
        <is>
          <t>AI Intake Triage Basic+</t>
        </is>
      </c>
    </row>
    <row r="5" ht="21" customHeight="1">
      <c r="A5" t="inlineStr">
        <is>
          <t>Therapist Gmail + booking link</t>
        </is>
      </c>
      <c r="B5" t="inlineStr">
        <is>
          <t>Basic Intake</t>
        </is>
      </c>
      <c r="C5" t="n">
        <v>1200</v>
      </c>
      <c r="D5" t="n">
        <v>2500</v>
      </c>
      <c r="E5" t="n">
        <v>250</v>
      </c>
      <c r="F5" t="n">
        <v>500</v>
      </c>
      <c r="G5" t="inlineStr">
        <is>
          <t>Email/form intake, booking triage, no direct advice</t>
        </is>
      </c>
      <c r="H5" t="inlineStr">
        <is>
          <t>Managed / hybrid</t>
        </is>
      </c>
      <c r="I5" t="inlineStr">
        <is>
          <t>Human approval</t>
        </is>
      </c>
      <c r="J5" t="inlineStr">
        <is>
          <t>AI Intake Basic</t>
        </is>
      </c>
    </row>
    <row r="6" ht="21" customHeight="1">
      <c r="A6" t="inlineStr">
        <is>
          <t>Therapist Instagram + Gmail + drafts</t>
        </is>
      </c>
      <c r="B6" t="inlineStr">
        <is>
          <t>Pro Multi-Channel</t>
        </is>
      </c>
      <c r="C6" t="n">
        <v>3500</v>
      </c>
      <c r="D6" t="n">
        <v>7500</v>
      </c>
      <c r="E6" t="n">
        <v>750</v>
      </c>
      <c r="F6" t="n">
        <v>1500</v>
      </c>
      <c r="G6" t="inlineStr">
        <is>
          <t>Multiple channels and draft approval workflow</t>
        </is>
      </c>
      <c r="H6" t="inlineStr">
        <is>
          <t>Managed</t>
        </is>
      </c>
      <c r="I6" t="inlineStr">
        <is>
          <t>Sensitive data needs strict boundaries</t>
        </is>
      </c>
      <c r="J6" t="inlineStr">
        <is>
          <t>AI Workflow Pro</t>
        </is>
      </c>
    </row>
    <row r="7" ht="21" customHeight="1">
      <c r="A7" t="inlineStr">
        <is>
          <t>Small agency CRM + reporting</t>
        </is>
      </c>
      <c r="B7" t="inlineStr">
        <is>
          <t>Managed Operations</t>
        </is>
      </c>
      <c r="C7" t="n">
        <v>7500</v>
      </c>
      <c r="D7" t="n">
        <v>15000</v>
      </c>
      <c r="E7" t="n">
        <v>1500</v>
      </c>
      <c r="F7" t="n">
        <v>3500</v>
      </c>
      <c r="G7" t="inlineStr">
        <is>
          <t>CRM, monitoring, reporting, improvement backlog</t>
        </is>
      </c>
      <c r="H7" t="inlineStr">
        <is>
          <t>Managed</t>
        </is>
      </c>
      <c r="I7" t="inlineStr">
        <is>
          <t>Recurring service value</t>
        </is>
      </c>
      <c r="J7" t="inlineStr">
        <is>
          <t>Managed AI Operations</t>
        </is>
      </c>
    </row>
    <row r="8" ht="21" customHeight="1">
      <c r="A8" t="inlineStr">
        <is>
          <t>Calendar/CRM agent</t>
        </is>
      </c>
      <c r="B8" t="inlineStr">
        <is>
          <t>Agentic Automation</t>
        </is>
      </c>
      <c r="C8" t="n">
        <v>12000</v>
      </c>
      <c r="D8" t="n">
        <v>30000</v>
      </c>
      <c r="E8" t="n">
        <v>2500</v>
      </c>
      <c r="F8" t="n">
        <v>6000</v>
      </c>
      <c r="G8" t="inlineStr">
        <is>
          <t>Controlled multi-step actions with approvals</t>
        </is>
      </c>
      <c r="H8" t="inlineStr">
        <is>
          <t>Controlled access</t>
        </is>
      </c>
      <c r="I8" t="inlineStr">
        <is>
          <t>Quote individually</t>
        </is>
      </c>
      <c r="J8" t="inlineStr">
        <is>
          <t>Agentic AI Operations</t>
        </is>
      </c>
    </row>
    <row r="9" ht="21" customHeight="1">
      <c r="A9" t="inlineStr">
        <is>
          <t>Client full handover</t>
        </is>
      </c>
      <c r="B9" t="inlineStr">
        <is>
          <t>Build-and-Transfer</t>
        </is>
      </c>
      <c r="C9" t="n">
        <v>4500</v>
      </c>
      <c r="D9" t="n">
        <v>15000</v>
      </c>
      <c r="E9" t="n">
        <v>0</v>
      </c>
      <c r="F9" t="n">
        <v>1000</v>
      </c>
      <c r="G9" t="inlineStr">
        <is>
          <t>Transfers Make logic and documentation</t>
        </is>
      </c>
      <c r="H9" t="inlineStr">
        <is>
          <t>Client-owned</t>
        </is>
      </c>
      <c r="I9" t="inlineStr">
        <is>
          <t>Price 1.5x to 3x setup</t>
        </is>
      </c>
      <c r="J9" t="inlineStr">
        <is>
          <t>Build &amp; Transfer</t>
        </is>
      </c>
    </row>
    <row r="10">
      <c r="A10" t="inlineStr">
        <is>
          <t>MG Red Shift v4.1 — template SEEKER reply</t>
        </is>
      </c>
      <c r="B10" t="inlineStr">
        <is>
          <t>Basic+ AI Triage</t>
        </is>
      </c>
      <c r="C10" t="n">
        <v>1300</v>
      </c>
      <c r="D10" t="n">
        <v>2700</v>
      </c>
      <c r="E10" t="n">
        <v>200</v>
      </c>
      <c r="F10" t="n">
        <v>500</v>
      </c>
      <c r="G10" t="inlineStr">
        <is>
          <t>Same triage; SEEKER reply is a prepared template (no AI generation). Simplest of the three.</t>
        </is>
      </c>
      <c r="H10" t="inlineStr">
        <is>
          <t>Managed / hybrid</t>
        </is>
      </c>
      <c r="I10" t="inlineStr">
        <is>
          <t>Template reply; no AI draft</t>
        </is>
      </c>
      <c r="J10" t="inlineStr">
        <is>
          <t>AI Intake Triage Basic+</t>
        </is>
      </c>
    </row>
    <row r="11">
      <c r="A11" t="inlineStr">
        <is>
          <t>MG Red Shift v4.2 + v4.1 — dual intake (email + webform)</t>
        </is>
      </c>
      <c r="B11" t="inlineStr">
        <is>
          <t>Basic+ AI Triage</t>
        </is>
      </c>
      <c r="C11" t="n">
        <v>2000</v>
      </c>
      <c r="D11" t="n">
        <v>4500</v>
      </c>
      <c r="E11" t="n">
        <v>400</v>
      </c>
      <c r="F11" t="n">
        <v>900</v>
      </c>
      <c r="G11" t="inlineStr">
        <is>
          <t>v4.1 process across two intake paths (email then webform): extra source + duplicated classify/route.</t>
        </is>
      </c>
      <c r="H11" t="inlineStr">
        <is>
          <t>Managed / hybrid</t>
        </is>
      </c>
      <c r="I11" t="inlineStr">
        <is>
          <t>No automatic sending; two channels</t>
        </is>
      </c>
      <c r="J11" t="inlineStr">
        <is>
          <t>AI Intake Triage Basic+</t>
        </is>
      </c>
    </row>
  </sheetData>
  <mergeCells count="1">
    <mergeCell ref="A1:J1"/>
  </mergeCells>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L8"/>
  <sheetViews>
    <sheetView zoomScale="120" zoomScaleNormal="120" workbookViewId="0">
      <selection activeCell="A3" sqref="A3"/>
    </sheetView>
  </sheetViews>
  <sheetFormatPr baseColWidth="10" defaultColWidth="8.83203125" defaultRowHeight="15"/>
  <cols>
    <col width="21.83203125" customWidth="1" min="1" max="5"/>
    <col width="21.83203125" customWidth="1" min="7" max="9"/>
  </cols>
  <sheetData>
    <row r="1" ht="60.75" customHeight="1">
      <c r="A1" s="6" t="inlineStr">
        <is>
          <t>Access &amp; Ownership Pricing Logic</t>
        </is>
      </c>
    </row>
    <row r="2" ht="15" customHeight="1"/>
    <row r="3" ht="27.75" customHeight="1">
      <c r="A3" s="13" t="inlineStr">
        <is>
          <t>Model</t>
        </is>
      </c>
      <c r="B3" s="13" t="inlineStr">
        <is>
          <t>Client receives</t>
        </is>
      </c>
      <c r="C3" s="13" t="inlineStr">
        <is>
          <t>You retain</t>
        </is>
      </c>
      <c r="D3" s="13" t="inlineStr">
        <is>
          <t>Pricing effect</t>
        </is>
      </c>
      <c r="E3" s="13" t="inlineStr">
        <is>
          <t>Monthly effect</t>
        </is>
      </c>
      <c r="F3" s="13" t="inlineStr">
        <is>
          <t>Risk</t>
        </is>
      </c>
      <c r="G3" s="13" t="inlineStr">
        <is>
          <t>Use when</t>
        </is>
      </c>
      <c r="H3" s="13" t="inlineStr">
        <is>
          <t>Client wording</t>
        </is>
      </c>
      <c r="I3" s="13" t="inlineStr">
        <is>
          <t>Internal note</t>
        </is>
      </c>
      <c r="J3" t="inlineStr">
        <is>
          <t>Default setup multiplier</t>
        </is>
      </c>
      <c r="K3" t="inlineStr">
        <is>
          <t>Typical range</t>
        </is>
      </c>
      <c r="L3" t="inlineStr">
        <is>
          <t>Pricing use in FIXED calculator</t>
        </is>
      </c>
    </row>
    <row r="4" ht="27.75" customHeight="1">
      <c r="A4" t="inlineStr">
        <is>
          <t>Managed service</t>
        </is>
      </c>
      <c r="B4" t="inlineStr">
        <is>
          <t>Results, dashboards, reports, approval queue</t>
        </is>
      </c>
      <c r="C4" t="inlineStr">
        <is>
          <t>Make logic, prompts, reusable blueprints</t>
        </is>
      </c>
      <c r="D4" t="inlineStr">
        <is>
          <t>Normal</t>
        </is>
      </c>
      <c r="E4" t="inlineStr">
        <is>
          <t>x1.0 monthly</t>
        </is>
      </c>
      <c r="F4" t="inlineStr">
        <is>
          <t>Low</t>
        </is>
      </c>
      <c r="G4" t="inlineStr">
        <is>
          <t>Default</t>
        </is>
      </c>
      <c r="H4" t="inlineStr">
        <is>
          <t>We manage the automation and provide outputs/support.</t>
        </is>
      </c>
      <c r="I4" t="inlineStr">
        <is>
          <t>Best default model</t>
        </is>
      </c>
      <c r="J4" t="n">
        <v>1</v>
      </c>
      <c r="K4" t="inlineStr">
        <is>
          <t>x1.0</t>
        </is>
      </c>
      <c r="L4" t="inlineStr">
        <is>
          <t>Managed service: no handover premium.</t>
        </is>
      </c>
    </row>
    <row r="5" ht="21" customHeight="1">
      <c r="A5" t="inlineStr">
        <is>
          <t>Logic visibility</t>
        </is>
      </c>
      <c r="B5" t="inlineStr">
        <is>
          <t>Workflow summary, Mermaid/chart, status rules</t>
        </is>
      </c>
      <c r="C5" t="inlineStr">
        <is>
          <t>Implementation details and reusable logic</t>
        </is>
      </c>
      <c r="D5" t="inlineStr">
        <is>
          <t>Normal or small add-on</t>
        </is>
      </c>
      <c r="E5" t="inlineStr">
        <is>
          <t>x1.0 monthly</t>
        </is>
      </c>
      <c r="F5" t="inlineStr">
        <is>
          <t>Low</t>
        </is>
      </c>
      <c r="G5" t="inlineStr">
        <is>
          <t>Client wants transparency</t>
        </is>
      </c>
      <c r="H5" t="inlineStr">
        <is>
          <t>You receive workflow documentation without internal implementation.</t>
        </is>
      </c>
      <c r="I5" t="inlineStr">
        <is>
          <t>Good trust-building option</t>
        </is>
      </c>
      <c r="J5" t="n">
        <v>1.1</v>
      </c>
      <c r="K5" t="inlineStr">
        <is>
          <t>x1.0–x1.15</t>
        </is>
      </c>
      <c r="L5" t="inlineStr">
        <is>
          <t>Transparency/documentation premium.</t>
        </is>
      </c>
    </row>
    <row r="6" ht="21" customHeight="1">
      <c r="A6" t="inlineStr">
        <is>
          <t>Limited admin</t>
        </is>
      </c>
      <c r="B6" t="inlineStr">
        <is>
          <t>Dashboard, approvals, run summaries</t>
        </is>
      </c>
      <c r="C6" t="inlineStr">
        <is>
          <t>Scenario edit rights and blueprint export</t>
        </is>
      </c>
      <c r="D6" t="inlineStr">
        <is>
          <t>+10–25%</t>
        </is>
      </c>
      <c r="E6" t="inlineStr">
        <is>
          <t>x1.1–1.25 monthly</t>
        </is>
      </c>
      <c r="F6" t="inlineStr">
        <is>
          <t>Medium</t>
        </is>
      </c>
      <c r="G6" t="inlineStr">
        <is>
          <t>Client needs stronger control</t>
        </is>
      </c>
      <c r="H6" t="inlineStr">
        <is>
          <t>You can review outcomes while we manage the system.</t>
        </is>
      </c>
      <c r="I6" t="inlineStr">
        <is>
          <t>Managed clients</t>
        </is>
      </c>
      <c r="J6" t="n">
        <v>1.2</v>
      </c>
      <c r="K6" t="inlineStr">
        <is>
          <t>x1.10–x1.25</t>
        </is>
      </c>
      <c r="L6" t="inlineStr">
        <is>
          <t>Limited admin/client controls.</t>
        </is>
      </c>
    </row>
    <row r="7" ht="21" customHeight="1">
      <c r="A7" t="inlineStr">
        <is>
          <t>Client-owned workspace</t>
        </is>
      </c>
      <c r="B7" t="inlineStr">
        <is>
          <t>Automation runs in client workspace</t>
        </is>
      </c>
      <c r="C7" t="inlineStr">
        <is>
          <t>Methodology and reusable templates</t>
        </is>
      </c>
      <c r="D7" t="inlineStr">
        <is>
          <t>+25–75%</t>
        </is>
      </c>
      <c r="E7" t="inlineStr">
        <is>
          <t>x0.5–1.5 monthly depending support</t>
        </is>
      </c>
      <c r="F7" t="inlineStr">
        <is>
          <t>Medium</t>
        </is>
      </c>
      <c r="G7" t="inlineStr">
        <is>
          <t>Compliance/enterprise</t>
        </is>
      </c>
      <c r="H7" t="inlineStr">
        <is>
          <t>Built in your workspace; support remains available.</t>
        </is>
      </c>
      <c r="I7" t="inlineStr">
        <is>
          <t>Higher setup</t>
        </is>
      </c>
      <c r="J7" t="n">
        <v>1.5</v>
      </c>
      <c r="K7" t="inlineStr">
        <is>
          <t>x1.25–x1.75</t>
        </is>
      </c>
      <c r="L7" t="inlineStr">
        <is>
          <t>Client-owned workspace/setup burden.</t>
        </is>
      </c>
    </row>
    <row r="8" ht="21" customHeight="1">
      <c r="A8" t="inlineStr">
        <is>
          <t>Build-and-transfer</t>
        </is>
      </c>
      <c r="B8" t="inlineStr">
        <is>
          <t>Full Make scenario, export, documentation</t>
        </is>
      </c>
      <c r="C8" t="inlineStr">
        <is>
          <t>General know-how only</t>
        </is>
      </c>
      <c r="D8" t="inlineStr">
        <is>
          <t>x1.5–x3 setup</t>
        </is>
      </c>
      <c r="E8" t="inlineStr">
        <is>
          <t>x0–x3 monthly depending support</t>
        </is>
      </c>
      <c r="F8" t="inlineStr">
        <is>
          <t>High</t>
        </is>
      </c>
      <c r="G8" t="inlineStr">
        <is>
          <t>Client insists on ownership</t>
        </is>
      </c>
      <c r="H8" t="inlineStr">
        <is>
          <t>We build and hand over the automation asset.</t>
        </is>
      </c>
      <c r="I8" t="inlineStr">
        <is>
          <t>Premium only</t>
        </is>
      </c>
      <c r="J8" t="n">
        <v>2</v>
      </c>
      <c r="K8" t="inlineStr">
        <is>
          <t>x1.5–x3.0</t>
        </is>
      </c>
      <c r="L8" t="inlineStr">
        <is>
          <t>Build-and-transfer default; override if needed.</t>
        </is>
      </c>
    </row>
    <row r="9" ht="21" customHeight="1"/>
  </sheetData>
  <mergeCells count="1">
    <mergeCell ref="A1:I1"/>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19"/>
  <sheetViews>
    <sheetView zoomScale="120" zoomScaleNormal="120" workbookViewId="0">
      <selection activeCell="A3" sqref="A3"/>
    </sheetView>
  </sheetViews>
  <sheetFormatPr baseColWidth="10" defaultColWidth="8.83203125" defaultRowHeight="15"/>
  <cols>
    <col width="21.83203125" customWidth="1" min="1" max="6"/>
  </cols>
  <sheetData>
    <row r="1" ht="46.5" customHeight="1">
      <c r="A1" s="8" t="inlineStr">
        <is>
          <t>Client-Facing Quote Summary Template</t>
        </is>
      </c>
    </row>
    <row r="3" ht="21" customHeight="1">
      <c r="A3" s="67" t="inlineStr">
        <is>
          <t>Project name</t>
        </is>
      </c>
      <c r="B3" t="inlineStr">
        <is>
          <t>Enter project name</t>
        </is>
      </c>
    </row>
    <row r="4" ht="21" customHeight="1">
      <c r="A4" s="67" t="inlineStr">
        <is>
          <t>Package direction</t>
        </is>
      </c>
      <c r="B4" t="inlineStr">
        <is>
          <t>Enter package direction</t>
        </is>
      </c>
    </row>
    <row r="5" ht="21" customHeight="1">
      <c r="A5" s="67" t="inlineStr">
        <is>
          <t>One-line scope</t>
        </is>
      </c>
      <c r="B5" t="inlineStr">
        <is>
          <t>Example: AI intake triage for website/email inquiries with classification, routing, Notion logging, and draft support.</t>
        </is>
      </c>
    </row>
    <row r="6" ht="21" customHeight="1">
      <c r="A6" s="67" t="inlineStr">
        <is>
          <t>Included</t>
        </is>
      </c>
      <c r="B6" t="inlineStr">
        <is>
          <t>List included channels, categories, automations, and approvals.</t>
        </is>
      </c>
    </row>
    <row r="7" ht="21" customHeight="1">
      <c r="A7" s="67" t="inlineStr">
        <is>
          <t>Not included</t>
        </is>
      </c>
      <c r="B7" t="inlineStr">
        <is>
          <t>List postponed or excluded items.</t>
        </is>
      </c>
    </row>
    <row r="8" ht="21" customHeight="1">
      <c r="A8" s="67" t="inlineStr">
        <is>
          <t>Setup fee</t>
        </is>
      </c>
      <c r="B8" t="inlineStr">
        <is>
          <t>Enter setup fee or range.</t>
        </is>
      </c>
    </row>
    <row r="9" ht="21" customHeight="1">
      <c r="A9" s="67" t="inlineStr">
        <is>
          <t>Monthly managed service</t>
        </is>
      </c>
      <c r="B9" t="inlineStr">
        <is>
          <t>Enter monthly fee or range.</t>
        </is>
      </c>
    </row>
    <row r="10" ht="21" customHeight="1">
      <c r="A10" s="67" t="inlineStr">
        <is>
          <t>Access model</t>
        </is>
      </c>
      <c r="B10" t="inlineStr">
        <is>
          <t>Managed service / hybrid / client-owned / build-and-transfer.</t>
        </is>
      </c>
    </row>
    <row r="11" ht="21" customHeight="1">
      <c r="A11" s="67" t="inlineStr">
        <is>
          <t>Client responsibilities</t>
        </is>
      </c>
      <c r="B11" t="inlineStr">
        <is>
          <t>Provide access, approve test cases, review drafts, confirm go-live.</t>
        </is>
      </c>
    </row>
    <row r="12" ht="21" customHeight="1">
      <c r="A12" s="67" t="inlineStr">
        <is>
          <t>Provider responsibilities</t>
        </is>
      </c>
      <c r="B12" t="inlineStr">
        <is>
          <t>Build, test, monitor, support, update rules/prompts as agreed.</t>
        </is>
      </c>
    </row>
    <row r="13" ht="21" customHeight="1">
      <c r="A13" s="67" t="inlineStr">
        <is>
          <t>Approval points</t>
        </is>
      </c>
      <c r="B13" t="inlineStr">
        <is>
          <t>Scope approval, blueprint approval, go-live approval.</t>
        </is>
      </c>
    </row>
    <row r="14" ht="21" customHeight="1">
      <c r="A14" s="67" t="inlineStr">
        <is>
          <t>Notes</t>
        </is>
      </c>
      <c r="B14" t="inlineStr">
        <is>
          <t>Prices exclude third-party software/API usage unless agreed otherwise.</t>
        </is>
      </c>
    </row>
    <row r="15" ht="21" customHeight="1">
      <c r="A15" s="67" t="n"/>
    </row>
    <row r="16" ht="21" customHeight="1">
      <c r="A16" s="67" t="inlineStr">
        <is>
          <t>Internal reminder</t>
        </is>
      </c>
      <c r="B16" t="inlineStr">
        <is>
          <t>Copy into a proposal/email. Do not share internal calculator unless intended.</t>
        </is>
      </c>
    </row>
    <row r="17" ht="21" customHeight="1">
      <c r="A17" s="67" t="inlineStr">
        <is>
          <t>Prepared on</t>
        </is>
      </c>
      <c r="B17" t="inlineStr">
        <is>
          <t>2026-06-23</t>
        </is>
      </c>
    </row>
    <row r="18" ht="21" customHeight="1">
      <c r="A18" s="67" t="inlineStr">
        <is>
          <t>Monthly support model</t>
        </is>
      </c>
      <c r="B18" t="inlineStr">
        <is>
          <t>No support / light support / normal managed / high-responsibility / premium transfer support.</t>
        </is>
      </c>
    </row>
    <row r="19" ht="21" customHeight="1">
      <c r="A19" s="67" t="inlineStr">
        <is>
          <t>Build-and-transfer note</t>
        </is>
      </c>
      <c r="B19" t="inlineStr">
        <is>
          <t>If full automation ownership is transferred, setup and monthly support may be multiplied depending on access and responsibility.</t>
        </is>
      </c>
    </row>
  </sheetData>
  <mergeCells count="1">
    <mergeCell ref="A1:F1"/>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2:F125"/>
  <sheetViews>
    <sheetView topLeftCell="A59" zoomScale="120" zoomScaleNormal="120" workbookViewId="0">
      <selection activeCell="B68" sqref="B68"/>
    </sheetView>
  </sheetViews>
  <sheetFormatPr baseColWidth="10" defaultColWidth="8.83203125" defaultRowHeight="15"/>
  <cols>
    <col width="21.83203125" customWidth="1" min="2" max="2"/>
    <col width="34.83203125" customWidth="1" min="3" max="6"/>
  </cols>
  <sheetData>
    <row r="2" ht="21" customHeight="1">
      <c r="A2" t="inlineStr">
        <is>
          <t>Q</t>
        </is>
      </c>
      <c r="B2" t="inlineStr">
        <is>
          <t>great, but that all has to be calculated before giving Client price</t>
        </is>
      </c>
    </row>
    <row r="3" ht="21" customHeight="1">
      <c r="A3" t="inlineStr">
        <is>
          <t>A</t>
        </is>
      </c>
      <c r="B3" t="inlineStr">
        <is>
          <t>Yes, exactly. These “count” fields must be estimated before giving the final client price.</t>
        </is>
      </c>
    </row>
    <row r="4" ht="21" customHeight="1">
      <c r="B4" t="inlineStr">
        <is>
          <t>But not too early.</t>
        </is>
      </c>
    </row>
    <row r="6" ht="21" customHeight="1">
      <c r="B6" s="68" t="inlineStr">
        <is>
          <t>Correct order</t>
        </is>
      </c>
    </row>
    <row r="8" ht="21" customHeight="1">
      <c r="B8" s="69" t="inlineStr">
        <is>
          <t>1. After Phase 1 — Discovery</t>
        </is>
      </c>
    </row>
    <row r="10" ht="21" customHeight="1">
      <c r="B10" t="inlineStr">
        <is>
          <t>You can give only a rough price direction:</t>
        </is>
      </c>
    </row>
    <row r="11" ht="21" customHeight="1">
      <c r="B11" t="inlineStr">
        <is>
          <t>Based on current understanding, this looks like a Basic+ / Pro project, likely in the range of CHF X–Y setup and CHF X–Y/month.</t>
        </is>
      </c>
    </row>
    <row r="12" ht="21" customHeight="1">
      <c r="B12" t="inlineStr">
        <is>
          <t>At this point, counts are still approximate.</t>
        </is>
      </c>
    </row>
    <row r="14" ht="21" customHeight="1">
      <c r="B14" s="69" t="inlineStr">
        <is>
          <t>2. After Phase 2 — Scope / MVP Design</t>
        </is>
      </c>
    </row>
    <row r="16" ht="21" customHeight="1">
      <c r="B16" t="inlineStr">
        <is>
          <t>Now you can calculate more seriously.</t>
        </is>
      </c>
    </row>
    <row r="17" ht="21" customHeight="1">
      <c r="B17" t="inlineStr">
        <is>
          <t>Because Phase 2 defines:</t>
        </is>
      </c>
    </row>
    <row r="18" ht="21" customHeight="1">
      <c r="B18" t="inlineStr">
        <is>
          <t>included channels</t>
        </is>
      </c>
    </row>
    <row r="19" ht="21" customHeight="1">
      <c r="B19" t="inlineStr">
        <is>
          <t>excluded channels</t>
        </is>
      </c>
    </row>
    <row r="20" ht="21" customHeight="1">
      <c r="B20" t="inlineStr">
        <is>
          <t>AI draft workflows</t>
        </is>
      </c>
    </row>
    <row r="21" ht="21" customHeight="1">
      <c r="B21" t="inlineStr">
        <is>
          <t>CRM/database needs</t>
        </is>
      </c>
    </row>
    <row r="22" ht="21" customHeight="1">
      <c r="B22" t="inlineStr">
        <is>
          <t>approval workflows</t>
        </is>
      </c>
    </row>
    <row r="23" ht="21" customHeight="1">
      <c r="B23" t="inlineStr">
        <is>
          <t>reporting</t>
        </is>
      </c>
    </row>
    <row r="24" ht="21" customHeight="1">
      <c r="B24" t="inlineStr">
        <is>
          <t>access model</t>
        </is>
      </c>
    </row>
    <row r="25" ht="21" customHeight="1">
      <c r="B25" t="inlineStr">
        <is>
          <t>support model</t>
        </is>
      </c>
    </row>
    <row r="26" ht="21" customHeight="1">
      <c r="B26" t="inlineStr">
        <is>
          <t>This is where you fill the Quote Calculator.</t>
        </is>
      </c>
    </row>
    <row r="28" ht="21" customHeight="1">
      <c r="B28" s="69" t="inlineStr">
        <is>
          <t>3. After Phase 3 — Solution Blueprint</t>
        </is>
      </c>
    </row>
    <row r="30" ht="21" customHeight="1">
      <c r="B30" t="inlineStr">
        <is>
          <t>Now you can give the confirmed offer.</t>
        </is>
      </c>
    </row>
    <row r="31" ht="21" customHeight="1">
      <c r="B31" t="inlineStr">
        <is>
          <t>Because by then you know:</t>
        </is>
      </c>
    </row>
    <row r="32" ht="21" customHeight="1">
      <c r="B32" t="inlineStr">
        <is>
          <t>exact workflow</t>
        </is>
      </c>
    </row>
    <row r="33" ht="21" customHeight="1">
      <c r="B33" t="inlineStr">
        <is>
          <t>exact tools</t>
        </is>
      </c>
    </row>
    <row r="34" ht="21" customHeight="1">
      <c r="B34" t="inlineStr">
        <is>
          <t>routing logic</t>
        </is>
      </c>
    </row>
    <row r="35" ht="21" customHeight="1">
      <c r="B35" t="inlineStr">
        <is>
          <t>risk level</t>
        </is>
      </c>
    </row>
    <row r="36" ht="21" customHeight="1">
      <c r="B36" t="inlineStr">
        <is>
          <t>error handling</t>
        </is>
      </c>
    </row>
    <row r="37" ht="21" customHeight="1">
      <c r="B37" t="inlineStr">
        <is>
          <t>access/security needs</t>
        </is>
      </c>
    </row>
    <row r="38" ht="21" customHeight="1">
      <c r="B38" t="inlineStr">
        <is>
          <t>build effort</t>
        </is>
      </c>
    </row>
    <row r="40" ht="21" customHeight="1">
      <c r="B40" s="68" t="inlineStr">
        <is>
          <t>Practical rule</t>
        </is>
      </c>
    </row>
    <row r="42" ht="21" customHeight="1">
      <c r="B42" t="inlineStr">
        <is>
          <t>Use the calculator like this:</t>
        </is>
      </c>
    </row>
    <row r="44" ht="21" customHeight="1">
      <c r="B44" s="70" t="inlineStr">
        <is>
          <t>Project moment</t>
        </is>
      </c>
      <c r="C44" s="70" t="inlineStr">
        <is>
          <t>Price type</t>
        </is>
      </c>
    </row>
    <row r="45" ht="21" customHeight="1">
      <c r="B45" t="inlineStr">
        <is>
          <t>Before discovery</t>
        </is>
      </c>
      <c r="C45" t="inlineStr">
        <is>
          <t>no real price, only starting-from package</t>
        </is>
      </c>
    </row>
    <row r="46" ht="21" customHeight="1">
      <c r="B46" t="inlineStr">
        <is>
          <t>After Phase 1</t>
        </is>
      </c>
      <c r="C46" t="inlineStr">
        <is>
          <t>rough estimate</t>
        </is>
      </c>
    </row>
    <row r="47" ht="21" customHeight="1">
      <c r="B47" t="inlineStr">
        <is>
          <t>After Phase 2</t>
        </is>
      </c>
      <c r="C47" t="inlineStr">
        <is>
          <t>proposed quote</t>
        </is>
      </c>
    </row>
    <row r="48" ht="21" customHeight="1">
      <c r="B48" t="inlineStr">
        <is>
          <t>After Phase 3</t>
        </is>
      </c>
      <c r="C48" t="inlineStr">
        <is>
          <t>confirmed final offer</t>
        </is>
      </c>
    </row>
    <row r="49" ht="21" customHeight="1">
      <c r="B49" t="inlineStr">
        <is>
          <t>After changes</t>
        </is>
      </c>
      <c r="C49" t="inlineStr">
        <is>
          <t>change request / extra cost</t>
        </is>
      </c>
    </row>
    <row r="51" ht="21" customHeight="1">
      <c r="B51" s="68" t="inlineStr">
        <is>
          <t>For client communication</t>
        </is>
      </c>
    </row>
    <row r="53" ht="21" customHeight="1">
      <c r="B53" t="inlineStr">
        <is>
          <t>I would say:</t>
        </is>
      </c>
    </row>
    <row r="54" ht="21" customHeight="1">
      <c r="B54" t="inlineStr">
        <is>
          <t>After the discovery call, I can give you an indicative range. The final fixed price is confirmed after we define the MVP scope and automation boundaries.</t>
        </is>
      </c>
    </row>
    <row r="55" ht="21" customHeight="1">
      <c r="B55" t="inlineStr">
        <is>
          <t>This protects you from underpricing.</t>
        </is>
      </c>
    </row>
    <row r="57" ht="21" customHeight="1">
      <c r="B57" s="68" t="inlineStr">
        <is>
          <t>Internally</t>
        </is>
      </c>
    </row>
    <row r="59" ht="21" customHeight="1">
      <c r="B59" t="inlineStr">
        <is>
          <t>The calculator is mainly used after Phase 2.</t>
        </is>
      </c>
    </row>
    <row r="61" ht="21" customHeight="1">
      <c r="B61" t="inlineStr">
        <is>
          <t>Phase 1 gives you raw answers.</t>
        </is>
      </c>
    </row>
    <row r="62" ht="21" customHeight="1">
      <c r="B62" t="inlineStr">
        <is>
          <t>Phase 2 converts them into counts.</t>
        </is>
      </c>
    </row>
    <row r="63" ht="21" customHeight="1">
      <c r="B63" t="inlineStr">
        <is>
          <t>Then the Quote Calculator gives the price.</t>
        </is>
      </c>
    </row>
    <row r="65" ht="21" customHeight="1">
      <c r="B65" t="inlineStr">
        <is>
          <t>So yes: before giving the client a serious price, you must first define the counts and package/access model.</t>
        </is>
      </c>
    </row>
    <row r="67" ht="21" customHeight="1">
      <c r="B67" s="71" t="inlineStr">
        <is>
          <t>Direct Email Intake Branch — Pricing Logic / Change Request</t>
        </is>
      </c>
      <c r="C67" s="71" t="n"/>
      <c r="D67" s="71" t="n"/>
      <c r="E67" s="71" t="n"/>
      <c r="F67" s="71" t="n"/>
    </row>
    <row r="68" ht="54.75" customHeight="1">
      <c r="B68" s="72" t="inlineStr">
        <is>
          <t>Purpose</t>
        </is>
      </c>
      <c r="C68" s="72" t="inlineStr">
        <is>
          <t>Price logic</t>
        </is>
      </c>
      <c r="D68" s="72" t="inlineStr">
        <is>
          <t>Setup add</t>
        </is>
      </c>
      <c r="E68" s="72" t="inlineStr">
        <is>
          <t>Monthly add</t>
        </is>
      </c>
      <c r="F68" s="72" t="inlineStr">
        <is>
          <t>When to use</t>
        </is>
      </c>
    </row>
    <row r="69" ht="54.75" customHeight="1">
      <c r="B69" s="16" t="inlineStr">
        <is>
          <t>Simple direct-email branch</t>
        </is>
      </c>
      <c r="C69" s="16" t="inlineStr">
        <is>
          <t>Add one direct inbox trigger and send messages into the existing classifier after basic normalization.</t>
        </is>
      </c>
      <c r="D69" s="16" t="inlineStr">
        <is>
          <t>CHF 500–900</t>
        </is>
      </c>
      <c r="E69" s="16" t="inlineStr">
        <is>
          <t>CHF 100–200</t>
        </is>
      </c>
      <c r="F69" s="16" t="inlineStr">
        <is>
          <t>Client has one inbox and wants same classification logic as website form.</t>
        </is>
      </c>
    </row>
    <row r="70" ht="54.75" customHeight="1">
      <c r="B70" s="16" t="inlineStr">
        <is>
          <t>Direct email + filters/logging</t>
        </is>
      </c>
      <c r="C70" s="16" t="inlineStr">
        <is>
          <t>Add inbox trigger, normalization, sender/message metadata, duplicate prevention, routing labels/folders, error path and logging.</t>
        </is>
      </c>
      <c r="D70" s="16" t="inlineStr">
        <is>
          <t>CHF 900–1’500</t>
        </is>
      </c>
      <c r="E70" s="16" t="inlineStr">
        <is>
          <t>CHF 150–300</t>
        </is>
      </c>
      <c r="F70" s="16" t="inlineStr">
        <is>
          <t>Most realistic business version; recommended default for client quote.</t>
        </is>
      </c>
    </row>
    <row r="71" ht="54.75" customHeight="1">
      <c r="B71" s="16" t="inlineStr">
        <is>
          <t>Direct email + draft / approval logic</t>
        </is>
      </c>
      <c r="C71" s="16" t="inlineStr">
        <is>
          <t>Add email-specific draft replies, approval handling, status tracking and safer exception handling.</t>
        </is>
      </c>
      <c r="D71" s="16" t="inlineStr">
        <is>
          <t>CHF 1’500–2’500</t>
        </is>
      </c>
      <c r="E71" s="16" t="inlineStr">
        <is>
          <t>CHF 300–500</t>
        </is>
      </c>
      <c r="F71" s="16" t="inlineStr">
        <is>
          <t>Client expects AI-assisted replies or approval workflow, not only classification.</t>
        </is>
      </c>
    </row>
    <row r="72" ht="54.75" customHeight="1">
      <c r="B72" s="73" t="inlineStr">
        <is>
          <t>Pricing rule</t>
        </is>
      </c>
      <c r="C72" s="73" t="inlineStr">
        <is>
          <t>If defined before project start, include it in the package scope and count it as an additional intake channel/source. If requested later, price it as a change request.</t>
        </is>
      </c>
      <c r="D72" s="73" t="inlineStr">
        <is>
          <t>Usually +CHF 900–1’500</t>
        </is>
      </c>
      <c r="E72" s="73" t="inlineStr">
        <is>
          <t>Usually +CHF 150–300/month</t>
        </is>
      </c>
      <c r="F72" s="73" t="inlineStr">
        <is>
          <t>Use this rule when scope expands from webhook-only to inbox + webhook.</t>
        </is>
      </c>
    </row>
    <row r="73" ht="54.75" customHeight="1">
      <c r="B73" s="73" t="inlineStr">
        <is>
          <t>Commercial note</t>
        </is>
      </c>
      <c r="C73" s="73" t="inlineStr">
        <is>
          <t>This is not only “add Gmail trigger”. It adds a second source, normalization, deduplication, routing reliability, testing and support responsibility.</t>
        </is>
      </c>
      <c r="D73" s="73" t="n"/>
      <c r="E73" s="73" t="n"/>
      <c r="F73" s="73" t="inlineStr">
        <is>
          <t>This explains why the add-on has both setup and monthly impact.</t>
        </is>
      </c>
    </row>
    <row r="77">
      <c r="A77" s="74" t="inlineStr">
        <is>
          <t>Q</t>
        </is>
      </c>
      <c r="B77" s="74" t="inlineStr">
        <is>
          <t>how this modification enable us to define properly for price calculation each wished or considered, or offered automation?</t>
        </is>
      </c>
    </row>
    <row r="78">
      <c r="A78" s="74" t="inlineStr">
        <is>
          <t>A</t>
        </is>
      </c>
      <c r="B78" s="74" t="inlineStr">
        <is>
          <t>Good question — this is the core workflow gap. The calculator fields give you the inputs, but you still need a clear rule for how to read any automation and translate it into those fields. Here's the complete mapping logic:</t>
        </is>
      </c>
    </row>
    <row r="80">
      <c r="B80" s="70" t="inlineStr">
        <is>
          <t>Step 1 — Pick the package (C5) by overall complexity</t>
        </is>
      </c>
    </row>
    <row r="82">
      <c r="B82" s="70" t="inlineStr">
        <is>
          <t>Automation complexity</t>
        </is>
      </c>
      <c r="C82" s="70" t="inlineStr">
        <is>
          <t>Package</t>
        </is>
      </c>
    </row>
    <row r="83">
      <c r="B83" s="74" t="inlineStr">
        <is>
          <t>Single channel, classify/route only, no AI</t>
        </is>
      </c>
      <c r="C83" s="74" t="inlineStr">
        <is>
          <t>Basic Intake</t>
        </is>
      </c>
    </row>
    <row r="84">
      <c r="B84" s="74" t="inlineStr">
        <is>
          <t>Single channel, classify + 1 AI draft type</t>
        </is>
      </c>
      <c r="C84" s="74" t="inlineStr">
        <is>
          <t>Basic+ AI Triage</t>
        </is>
      </c>
    </row>
    <row r="85">
      <c r="B85" s="74" t="inlineStr">
        <is>
          <t>Multiple channels or sources, classify + AI</t>
        </is>
      </c>
      <c r="C85" s="74" t="inlineStr">
        <is>
          <t>Pro Multi-Channel</t>
        </is>
      </c>
    </row>
    <row r="86">
      <c r="B86" s="74" t="inlineStr">
        <is>
          <t>Full ops: multi-channel, AI, CRM, monitoring</t>
        </is>
      </c>
      <c r="C86" s="74" t="inlineStr">
        <is>
          <t>Managed Operations</t>
        </is>
      </c>
    </row>
    <row r="87">
      <c r="B87" s="74" t="inlineStr">
        <is>
          <t>Autonomous agents, self-healing flows</t>
        </is>
      </c>
      <c r="C87" s="74" t="inlineStr">
        <is>
          <t>Agentic Automation</t>
        </is>
      </c>
    </row>
    <row r="89">
      <c r="B89" s="70" t="inlineStr">
        <is>
          <t>Step 2 — Fill the count fields by scanning the Make.com scenario</t>
        </is>
      </c>
    </row>
    <row r="91">
      <c r="B91" s="74" t="inlineStr">
        <is>
          <t>Go through the scenario module by module and ask one question per field:</t>
        </is>
      </c>
    </row>
    <row r="93">
      <c r="B93" s="70" t="inlineStr">
        <is>
          <t>Extra channels (C16): how many separate inbound sources exist beyond the one included in the package? Count each distinct webhook endpoint or app trigger.</t>
        </is>
      </c>
    </row>
    <row r="94">
      <c r="B94" s="70" t="inlineStr">
        <is>
          <t>AI draft workflows (C17): how many distinct HTTP→OpenAI/Claude calls exist? Count per draft type, not per email processed.</t>
        </is>
      </c>
    </row>
    <row r="95">
      <c r="B95" s="70" t="inlineStr">
        <is>
          <t>CRM integrations (C18): how many different external database systems are written to or read from? Count per system, not per module.</t>
        </is>
      </c>
    </row>
    <row r="96">
      <c r="B96" s="70" t="inlineStr">
        <is>
          <t>Approval workflows (C19): how many places does the scenario pause and wait for a human before acting?</t>
        </is>
      </c>
    </row>
    <row r="97">
      <c r="B97" s="70" t="inlineStr">
        <is>
          <t>Reporting layer (C20): is there a structured output to a dashboard or analytics view?</t>
        </is>
      </c>
    </row>
    <row r="99">
      <c r="B99" s="70" t="inlineStr">
        <is>
          <t>Step 3 — Set the multipliers (C21–C22) by project context</t>
        </is>
      </c>
    </row>
    <row r="101">
      <c r="B101" s="74" t="inlineStr">
        <is>
          <t>These aren't about the automation itself — they're about the client and delivery situation. Sensitive data and urgency are commercial decisions, not technical ones.</t>
        </is>
      </c>
    </row>
    <row r="103">
      <c r="B103" s="70" t="inlineStr">
        <is>
          <t>Step 4 — Choose access and support models (C6, C7) by the commercial arrangement</t>
        </is>
      </c>
    </row>
    <row r="105">
      <c r="B105" s="74" t="inlineStr">
        <is>
          <t>C6 answers who owns the automation after delivery</t>
        </is>
      </c>
    </row>
    <row r="106">
      <c r="B106" s="74" t="inlineStr">
        <is>
          <t>C7 answers what ongoing support level is agreed</t>
        </is>
      </c>
    </row>
    <row r="108">
      <c r="B108" s="70" t="inlineStr">
        <is>
          <t>Step 5 — Add operational costs to C26</t>
        </is>
      </c>
    </row>
    <row r="110">
      <c r="B110" s="74" t="inlineStr">
        <is>
          <t>After filling all count fields, estimate and add Make.com operations + API token budget as a monthly pass-through in C26.</t>
        </is>
      </c>
    </row>
    <row r="114">
      <c r="B114" s="70" t="inlineStr">
        <is>
          <t>Applied to your three options, the inputs would be:</t>
        </is>
      </c>
    </row>
    <row r="116">
      <c r="B116" s="70" t="inlineStr">
        <is>
          <t>Field</t>
        </is>
      </c>
      <c r="C116" s="70" t="inlineStr">
        <is>
          <t>Option A (classify only)</t>
        </is>
      </c>
      <c r="D116" s="70" t="inlineStr">
        <is>
          <t>Option B (classify + AI draft)</t>
        </is>
      </c>
      <c r="E116" s="70" t="inlineStr">
        <is>
          <t>Option C (email service + classify)</t>
        </is>
      </c>
      <c r="F116" s="70" t="inlineStr">
        <is>
          <t>MG Red Shift</t>
        </is>
      </c>
    </row>
    <row r="117">
      <c r="B117" s="74" t="inlineStr">
        <is>
          <t>C5 Package</t>
        </is>
      </c>
      <c r="C117" s="75" t="inlineStr">
        <is>
          <t>Basic Intake</t>
        </is>
      </c>
      <c r="D117" s="75" t="inlineStr">
        <is>
          <t>Basic+ AI Triage</t>
        </is>
      </c>
      <c r="E117" s="75" t="inlineStr">
        <is>
          <t>Basic Intake</t>
        </is>
      </c>
      <c r="F117" s="75" t="inlineStr">
        <is>
          <t>Basic Intake</t>
        </is>
      </c>
    </row>
    <row r="118">
      <c r="B118" s="74" t="inlineStr">
        <is>
          <t>C16 Extra channels</t>
        </is>
      </c>
      <c r="C118" s="76" t="n">
        <v>0</v>
      </c>
      <c r="D118" s="76" t="n">
        <v>0</v>
      </c>
      <c r="E118" s="76" t="n">
        <v>1</v>
      </c>
      <c r="F118" s="76" t="n">
        <v>0</v>
      </c>
    </row>
    <row r="119">
      <c r="B119" s="74" t="inlineStr">
        <is>
          <t>C17 AI draft</t>
        </is>
      </c>
      <c r="C119" s="76" t="n">
        <v>0</v>
      </c>
      <c r="D119" s="76" t="n">
        <v>1</v>
      </c>
      <c r="E119" s="76" t="n">
        <v>0</v>
      </c>
      <c r="F119" s="76" t="n">
        <v>1</v>
      </c>
    </row>
    <row r="120">
      <c r="B120" s="74" t="inlineStr">
        <is>
          <t>C18 CRM</t>
        </is>
      </c>
      <c r="C120" s="76" t="n">
        <v>0</v>
      </c>
      <c r="D120" s="76" t="n">
        <v>0</v>
      </c>
      <c r="E120" s="76" t="n">
        <v>0</v>
      </c>
      <c r="F120" s="76" t="n">
        <v>1</v>
      </c>
    </row>
    <row r="121">
      <c r="B121" s="74" t="inlineStr">
        <is>
          <t>C19 Approval</t>
        </is>
      </c>
      <c r="C121" s="76" t="n">
        <v>0</v>
      </c>
      <c r="D121" s="76" t="n">
        <v>1</v>
      </c>
      <c r="E121" s="76" t="n">
        <v>0</v>
      </c>
      <c r="F121" s="76" t="n">
        <v>1</v>
      </c>
    </row>
    <row r="122">
      <c r="B122" s="74" t="inlineStr">
        <is>
          <t>C20 Reporting</t>
        </is>
      </c>
      <c r="C122" s="76" t="n">
        <v>0</v>
      </c>
      <c r="D122" s="76" t="n">
        <v>0</v>
      </c>
      <c r="E122" s="76" t="n">
        <v>0</v>
      </c>
      <c r="F122" s="76" t="n">
        <v>0</v>
      </c>
    </row>
    <row r="123">
      <c r="B123" s="74" t="inlineStr">
        <is>
          <t>C26 ops/month</t>
        </is>
      </c>
      <c r="C123" s="75" t="inlineStr">
        <is>
          <t>CHF 15–20</t>
        </is>
      </c>
      <c r="D123" s="75" t="inlineStr">
        <is>
          <t>CHF 25–45</t>
        </is>
      </c>
      <c r="E123" s="75" t="inlineStr">
        <is>
          <t>CHF 20–30</t>
        </is>
      </c>
      <c r="F123" s="75" t="inlineStr">
        <is>
          <t>CHF 30–60</t>
        </is>
      </c>
    </row>
    <row r="125">
      <c r="B125" s="74" t="inlineStr">
        <is>
          <t>The calculator can then price each of these as a distinct configuration just by changing those six inputs — which is exactly what the modified D and F columns now guide you through, step by step, for any new automation you design or propose.</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2:G114"/>
  <sheetViews>
    <sheetView topLeftCell="A102" zoomScale="120" zoomScaleNormal="120" workbookViewId="0">
      <selection activeCell="B106" sqref="B106"/>
    </sheetView>
  </sheetViews>
  <sheetFormatPr baseColWidth="10" defaultColWidth="8.83203125" defaultRowHeight="15"/>
  <cols>
    <col width="21.83203125" customWidth="1" min="2" max="2"/>
    <col width="34.83203125" customWidth="1" min="3" max="6"/>
  </cols>
  <sheetData>
    <row r="2" ht="21" customHeight="1">
      <c r="A2" t="inlineStr">
        <is>
          <t>Q</t>
        </is>
      </c>
      <c r="B2"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3" ht="21" customHeight="1">
      <c r="A3" t="inlineStr">
        <is>
          <t>A</t>
        </is>
      </c>
      <c r="B3" t="inlineStr">
        <is>
          <t>Yes, that’s a good direction.</t>
        </is>
      </c>
    </row>
    <row r="5" ht="21" customHeight="1">
      <c r="B5" s="69" t="inlineStr">
        <is>
          <t>1. Would adding email/social intake classify it higher?</t>
        </is>
      </c>
    </row>
    <row r="7" ht="21" customHeight="1">
      <c r="B7" t="inlineStr">
        <is>
          <t>Yes, depending on complexity.</t>
        </is>
      </c>
    </row>
    <row r="8" ht="21" customHeight="1">
      <c r="B8" t="inlineStr">
        <is>
          <t>Right now MG Red Shift is best classified as:</t>
        </is>
      </c>
    </row>
    <row r="10" ht="21" customHeight="1">
      <c r="B10" s="70" t="inlineStr">
        <is>
          <t>Basic+ AI Triage / AI Intake Triage Basic+</t>
        </is>
      </c>
    </row>
    <row r="12" ht="21" customHeight="1">
      <c r="B12" t="inlineStr">
        <is>
          <t>Because it does:</t>
        </is>
      </c>
    </row>
    <row r="13" ht="21" customHeight="1">
      <c r="B13" s="77" t="inlineStr">
        <is>
          <t>website form → AI classification → JSON parse → folder routing → Notion logging → manual review</t>
        </is>
      </c>
    </row>
    <row r="14" ht="21" customHeight="1">
      <c r="B14" t="inlineStr">
        <is>
          <t>Your v4.0 flow confirms this structure: OpenAI classification runs before the router, and the router acts only on LEAD / SEEKER / SPAM / TEST.</t>
        </is>
      </c>
    </row>
    <row r="16" ht="21" customHeight="1">
      <c r="B16" t="inlineStr">
        <is>
          <t>If you add:</t>
        </is>
      </c>
    </row>
    <row r="18" ht="21" customHeight="1">
      <c r="B18" s="70" t="inlineStr">
        <is>
          <t>Added scope</t>
        </is>
      </c>
      <c r="C18" s="70" t="inlineStr">
        <is>
          <t>Package level</t>
        </is>
      </c>
    </row>
    <row r="19" ht="21" customHeight="1">
      <c r="B19" t="inlineStr">
        <is>
          <t>Website form + one inbox, same logic</t>
        </is>
      </c>
      <c r="C19" t="inlineStr">
        <is>
          <t>Basic+ AI Triage</t>
        </is>
      </c>
    </row>
    <row r="20" ht="21" customHeight="1">
      <c r="B20" t="inlineStr">
        <is>
          <t>Multiple inboxes / email provider + website form</t>
        </is>
      </c>
      <c r="C20" t="inlineStr">
        <is>
          <t>Basic+ or low Pro</t>
        </is>
      </c>
    </row>
    <row r="21" ht="21" customHeight="1">
      <c r="B21" t="inlineStr">
        <is>
          <t>Email + Instagram / WhatsApp / LinkedIn</t>
        </is>
      </c>
      <c r="C21" t="inlineStr">
        <is>
          <t>Pro Multi-Channel</t>
        </is>
      </c>
    </row>
    <row r="22" ht="21" customHeight="1">
      <c r="B22" t="inlineStr">
        <is>
          <t>Draft replies + approval workflow</t>
        </is>
      </c>
      <c r="C22" t="inlineStr">
        <is>
          <t>Pro Multi-Channel</t>
        </is>
      </c>
    </row>
    <row r="23" ht="21" customHeight="1">
      <c r="B23" t="inlineStr">
        <is>
          <t>Monthly reporting, monitoring, improvements</t>
        </is>
      </c>
      <c r="C23" t="inlineStr">
        <is>
          <t>Managed Operations</t>
        </is>
      </c>
    </row>
    <row r="24" ht="21" customHeight="1">
      <c r="B24" t="inlineStr">
        <is>
          <t>CRM/calendar actions with approvals</t>
        </is>
      </c>
      <c r="C24" t="inlineStr">
        <is>
          <t>Agentic Automation</t>
        </is>
      </c>
    </row>
    <row r="26" ht="21" customHeight="1">
      <c r="B26" t="inlineStr">
        <is>
          <t>So yes: with email + social media + same classification logic, it can move toward Pro Multi-Channel.</t>
        </is>
      </c>
    </row>
    <row r="29" ht="21" customHeight="1">
      <c r="B29" s="69" t="inlineStr">
        <is>
          <t>2. Monthly maintenance — how to explain it</t>
        </is>
      </c>
    </row>
    <row r="31" ht="21" customHeight="1">
      <c r="B31" t="inlineStr">
        <is>
          <t>I would not call it “maintenance” only. Better:</t>
        </is>
      </c>
    </row>
    <row r="33" ht="21" customFormat="1" customHeight="1" s="78">
      <c r="B33" s="79" t="inlineStr">
        <is>
          <t>Managed AI Operations</t>
        </is>
      </c>
    </row>
    <row r="35" ht="21" customHeight="1">
      <c r="B35" t="inlineStr">
        <is>
          <t>Because it includes:</t>
        </is>
      </c>
    </row>
    <row r="36" ht="21" customHeight="1">
      <c r="B36" t="inlineStr">
        <is>
          <t>monitoring failed runs</t>
        </is>
      </c>
    </row>
    <row r="37" ht="21" customHeight="1">
      <c r="B37" t="inlineStr">
        <is>
          <t>checking classification quality</t>
        </is>
      </c>
    </row>
    <row r="38" ht="21" customHeight="1">
      <c r="B38" t="inlineStr">
        <is>
          <t>updating prompts/categories</t>
        </is>
      </c>
    </row>
    <row r="39" ht="21" customHeight="1">
      <c r="B39" t="inlineStr">
        <is>
          <t>adapting when client business rules change</t>
        </is>
      </c>
    </row>
    <row r="40" ht="21" customHeight="1">
      <c r="B40" t="inlineStr">
        <is>
          <t>fixing API/provider changes</t>
        </is>
      </c>
    </row>
    <row r="41" ht="21" customHeight="1">
      <c r="B41" t="inlineStr">
        <is>
          <t>reviewing edge cases</t>
        </is>
      </c>
    </row>
    <row r="42" ht="21" customHeight="1">
      <c r="B42" t="inlineStr">
        <is>
          <t>usage/cost monitoring</t>
        </is>
      </c>
    </row>
    <row r="43" ht="21" customHeight="1">
      <c r="B43" t="inlineStr">
        <is>
          <t>monthly improvement notes</t>
        </is>
      </c>
    </row>
    <row r="44" ht="21" customHeight="1">
      <c r="B44" t="inlineStr">
        <is>
          <t>small workflow adjustments</t>
        </is>
      </c>
    </row>
    <row r="46" ht="21" customHeight="1">
      <c r="B46" t="inlineStr">
        <is>
          <t>Client-facing explanation:</t>
        </is>
      </c>
    </row>
    <row r="47" ht="21" customHeight="1">
      <c r="B47" t="inlineStr">
        <is>
          <t>The automation is not a static file. It handles live messages, changing wording, changing customer behaviour, provider updates and business rules. The monthly service keeps the workflow monitored, adjusted and reliable.</t>
        </is>
      </c>
    </row>
    <row r="49" ht="21" customHeight="1">
      <c r="B49" t="inlineStr">
        <is>
          <t>Commercially:</t>
        </is>
      </c>
    </row>
    <row r="51" ht="21" customFormat="1" customHeight="1" s="78">
      <c r="B51" s="69" t="inlineStr">
        <is>
          <t>Support model</t>
        </is>
      </c>
      <c r="C51" s="69" t="inlineStr">
        <is>
          <t>Meaning</t>
        </is>
      </c>
    </row>
    <row r="52" ht="21" customHeight="1">
      <c r="B52" s="80" t="inlineStr">
        <is>
          <t>No support</t>
        </is>
      </c>
      <c r="C52" s="80" t="inlineStr">
        <is>
          <t>build-and-transfer, client owns risk</t>
        </is>
      </c>
      <c r="F52" s="78" t="n"/>
      <c r="G52" s="78" t="n"/>
    </row>
    <row r="53" ht="21" customHeight="1">
      <c r="B53" s="81" t="inlineStr">
        <is>
          <t>Light support</t>
        </is>
      </c>
      <c r="C53" s="81" t="inlineStr">
        <is>
          <t>occasional checks/fixes</t>
        </is>
      </c>
      <c r="F53" s="78" t="n"/>
      <c r="G53" s="78" t="n"/>
    </row>
    <row r="54" ht="21" customHeight="1">
      <c r="B54" s="82" t="inlineStr">
        <is>
          <t>Normal managed support</t>
        </is>
      </c>
      <c r="C54" s="82" t="inlineStr">
        <is>
          <t>default for business workflow</t>
        </is>
      </c>
      <c r="F54" s="78" t="n"/>
      <c r="G54" s="78" t="n"/>
    </row>
    <row r="55" ht="21" customHeight="1">
      <c r="B55" s="83" t="inlineStr">
        <is>
          <t>High-responsibility support</t>
        </is>
      </c>
      <c r="C55" s="83" t="inlineStr">
        <is>
          <t>stronger monitoring, faster response</t>
        </is>
      </c>
      <c r="F55" s="78" t="n"/>
      <c r="G55" s="78" t="n"/>
    </row>
    <row r="56" ht="21" customHeight="1">
      <c r="B56" s="84" t="inlineStr">
        <is>
          <t>Critical support</t>
        </is>
      </c>
      <c r="C56" s="84" t="inlineStr">
        <is>
          <t>for operationally sensitive workflows</t>
        </is>
      </c>
      <c r="F56" s="78" t="n"/>
      <c r="G56" s="78" t="n"/>
    </row>
    <row r="57" ht="16.5" customHeight="1">
      <c r="F57" s="78" t="n"/>
      <c r="G57" s="78" t="n"/>
    </row>
    <row r="58" ht="21" customHeight="1">
      <c r="B58" t="inlineStr">
        <is>
          <t>For MG Red Shift, I would use Normal managed support.</t>
        </is>
      </c>
    </row>
    <row r="61" ht="21" customHeight="1">
      <c r="B61" s="69" t="inlineStr">
        <is>
          <t>3. ROI explanation for MG Red Shift automation</t>
        </is>
      </c>
    </row>
    <row r="63" ht="21" customHeight="1">
      <c r="B63" t="inlineStr">
        <is>
          <t>Yes, ROI can be explained clearly, but use conservative numbers.</t>
        </is>
      </c>
    </row>
    <row r="64" ht="21" customHeight="1">
      <c r="B64" t="inlineStr">
        <is>
          <t>The ROI is not only “time saved”. It is also:</t>
        </is>
      </c>
    </row>
    <row r="65" ht="21" customHeight="1">
      <c r="B65" t="inlineStr">
        <is>
          <t>fewer wrong manual classifications</t>
        </is>
      </c>
    </row>
    <row r="66" ht="21" customHeight="1">
      <c r="B66" t="inlineStr">
        <is>
          <t>faster separation of real CH/LI leads from foreign SEEKERS</t>
        </is>
      </c>
    </row>
    <row r="67" ht="21" customHeight="1">
      <c r="B67" t="inlineStr">
        <is>
          <t>less risk of replying wrongly about export/distribution</t>
        </is>
      </c>
    </row>
    <row r="68" ht="21" customHeight="1">
      <c r="B68" t="inlineStr">
        <is>
          <t>better CRM/Notion recordkeeping</t>
        </is>
      </c>
    </row>
    <row r="69" ht="21" customHeight="1">
      <c r="B69" t="inlineStr">
        <is>
          <t>less inbox clutter</t>
        </is>
      </c>
    </row>
    <row r="70" ht="21" customHeight="1">
      <c r="B70" t="inlineStr">
        <is>
          <t>consistent manual review process</t>
        </is>
      </c>
    </row>
    <row r="72" ht="21" customHeight="1">
      <c r="B72" t="inlineStr">
        <is>
          <t>Simple ROI formula:</t>
        </is>
      </c>
    </row>
    <row r="73" ht="21" customHeight="1">
      <c r="B73" s="77" t="inlineStr">
        <is>
          <t>Monthly benefit =</t>
        </is>
      </c>
    </row>
    <row r="74" ht="21" customHeight="1">
      <c r="B74" s="77" t="inlineStr">
        <is>
          <t>time saved</t>
        </is>
      </c>
    </row>
    <row r="75" ht="21" customHeight="1">
      <c r="B75" s="77" t="inlineStr">
        <is>
          <t>+ avoided mistakes</t>
        </is>
      </c>
    </row>
    <row r="76" ht="21" customHeight="1">
      <c r="B76" s="77" t="inlineStr">
        <is>
          <t>+ retained lead/opportunity value</t>
        </is>
      </c>
    </row>
    <row r="78" ht="21" customHeight="1">
      <c r="B78" t="inlineStr">
        <is>
          <t>Example conservative MG Red Shift case:</t>
        </is>
      </c>
    </row>
    <row r="80" ht="21" customHeight="1">
      <c r="B80" s="70" t="inlineStr">
        <is>
          <t>ROI factor</t>
        </is>
      </c>
      <c r="C80" s="70" t="inlineStr">
        <is>
          <t>Example</t>
        </is>
      </c>
    </row>
    <row r="81" ht="21" customHeight="1">
      <c r="B81" t="inlineStr">
        <is>
          <t>Time saved: 2 h/week × CHF 80 × 4</t>
        </is>
      </c>
      <c r="C81" t="inlineStr">
        <is>
          <t>CHF 640/month</t>
        </is>
      </c>
    </row>
    <row r="82" ht="21" customHeight="1">
      <c r="B82" t="inlineStr">
        <is>
          <t>Avoided mistakes: 2/month × CHF 150</t>
        </is>
      </c>
      <c r="C82" t="inlineStr">
        <is>
          <t>CHF 300/month</t>
        </is>
      </c>
    </row>
    <row r="83" ht="21" customHeight="1">
      <c r="B83" t="inlineStr">
        <is>
          <t>Preserved commercial opportunity value</t>
        </is>
      </c>
      <c r="C83" t="inlineStr">
        <is>
          <t>CHF 250/month</t>
        </is>
      </c>
    </row>
    <row r="84" ht="21" customHeight="1">
      <c r="B84" t="inlineStr">
        <is>
          <t>Total estimated monthly benefit</t>
        </is>
      </c>
      <c r="C84" t="inlineStr">
        <is>
          <t>CHF 1’190/month</t>
        </is>
      </c>
    </row>
    <row r="86" ht="21" customHeight="1">
      <c r="B86" t="inlineStr">
        <is>
          <t>If setup is CHF 3’500:</t>
        </is>
      </c>
    </row>
    <row r="87" ht="21" customHeight="1">
      <c r="B87" s="77" t="inlineStr">
        <is>
          <t>Payback = 3500 / 1190 = approx. 3 months</t>
        </is>
      </c>
    </row>
    <row r="89" ht="21" customHeight="1">
      <c r="B89" t="inlineStr">
        <is>
          <t>So for MG Red Shift I would write:</t>
        </is>
      </c>
    </row>
    <row r="90" ht="21" customHeight="1">
      <c r="B90"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92" ht="21" customHeight="1">
      <c r="B92" t="inlineStr">
        <is>
          <t>For your pricing sheet, I’d place MG Red Shift as:</t>
        </is>
      </c>
    </row>
    <row r="94" ht="21" customHeight="1">
      <c r="B94" s="77" t="inlineStr">
        <is>
          <t>Package: Basic+ AI Triage</t>
        </is>
      </c>
    </row>
    <row r="95" ht="21" customHeight="1">
      <c r="B95" s="77" t="inlineStr">
        <is>
          <t>Setup: CHF 2’500 – 4’500</t>
        </is>
      </c>
    </row>
    <row r="96" ht="21" customHeight="1">
      <c r="B96" s="77" t="inlineStr">
        <is>
          <t>Monthly: CHF 500 – 900</t>
        </is>
      </c>
    </row>
    <row r="97" ht="21" customHeight="1">
      <c r="B97" s="77" t="inlineStr">
        <is>
          <t>Support model: Normal managed support</t>
        </is>
      </c>
    </row>
    <row r="99" ht="21" customHeight="1">
      <c r="B99" t="inlineStr">
        <is>
          <t>If you add email + social media + draft approvals, then I’d move it to:</t>
        </is>
      </c>
    </row>
    <row r="101" ht="21" customHeight="1">
      <c r="B101" s="77" t="inlineStr">
        <is>
          <t>Package: Pro Multi-Channel</t>
        </is>
      </c>
    </row>
    <row r="102" ht="21" customHeight="1">
      <c r="B102" s="77" t="inlineStr">
        <is>
          <t>Setup: CHF 3’500 – 7’500+</t>
        </is>
      </c>
    </row>
    <row r="103" ht="21" customHeight="1">
      <c r="B103" s="77" t="inlineStr">
        <is>
          <t>Monthly: CHF 750 – 1’500+</t>
        </is>
      </c>
    </row>
    <row r="105" ht="21" customHeight="1">
      <c r="B105" s="71" t="inlineStr">
        <is>
          <t>MGREDSHIFT v4.0 vs Direct Email Intake Expansion</t>
        </is>
      </c>
      <c r="C105" s="71" t="n"/>
      <c r="D105" s="71" t="n"/>
      <c r="E105" s="71" t="n"/>
      <c r="F105" s="71" t="n"/>
    </row>
    <row r="106" ht="54.75" customHeight="1">
      <c r="B106" s="72" t="inlineStr">
        <is>
          <t>Area</t>
        </is>
      </c>
      <c r="C106" s="72" t="inlineStr">
        <is>
          <t>Existing MGREDSHIFT v4.0</t>
        </is>
      </c>
      <c r="D106" s="72" t="inlineStr">
        <is>
          <t>Expansion for other clients</t>
        </is>
      </c>
      <c r="E106" s="72" t="inlineStr">
        <is>
          <t>Pricing effect</t>
        </is>
      </c>
      <c r="F106" s="72" t="inlineStr">
        <is>
          <t>Why it matters</t>
        </is>
      </c>
    </row>
    <row r="107" ht="54.75" customHeight="1">
      <c r="B107" s="16" t="inlineStr">
        <is>
          <t>Input source</t>
        </is>
      </c>
      <c r="C107" s="16" t="inlineStr">
        <is>
          <t>Website contact form via webhook only.</t>
        </is>
      </c>
      <c r="D107" s="16" t="inlineStr">
        <is>
          <t>Add direct inbox trigger, e.g. Gmail/IMAP/Outlook “watch emails”.</t>
        </is>
      </c>
      <c r="E107" s="16" t="inlineStr">
        <is>
          <t>Counts as +1 intake channel/source.</t>
        </is>
      </c>
      <c r="F107" s="16" t="inlineStr">
        <is>
          <t>Direct emails do not use the website form structure and may never reach the existing webhook scenario.</t>
        </is>
      </c>
    </row>
    <row r="108" ht="54.75" customHeight="1">
      <c r="B108" s="16" t="inlineStr">
        <is>
          <t>Message structure</t>
        </is>
      </c>
      <c r="C108" s="16" t="inlineStr">
        <is>
          <t>Structured form fields: name, email, phone, subject, message.</t>
        </is>
      </c>
      <c r="D108" s="16" t="inlineStr">
        <is>
          <t>Normalize unstructured email into the same internal fields: source_type, sender, subject, body, phone/WhatsApp, detected country.</t>
        </is>
      </c>
      <c r="E108" s="16" t="inlineStr">
        <is>
          <t>Small setup increase.</t>
        </is>
      </c>
      <c r="F108" s="16" t="inlineStr">
        <is>
          <t>Without normalization, the classifier receives inconsistent inputs and misses cases.</t>
        </is>
      </c>
    </row>
    <row r="109" ht="54.75" customHeight="1">
      <c r="B109" s="16" t="inlineStr">
        <is>
          <t>Router / pre-branch</t>
        </is>
      </c>
      <c r="C109" s="16" t="inlineStr">
        <is>
          <t>Classifier runs after webhook input and router acts on LEAD / SEEKER / SPAM / TEST.</t>
        </is>
      </c>
      <c r="D109" s="16" t="inlineStr">
        <is>
          <t>Add small source router/pre-branch: website_form vs direct_email, then merge both into the same classification logic.</t>
        </is>
      </c>
      <c r="E109" s="16" t="inlineStr">
        <is>
          <t>Small to medium setup increase.</t>
        </is>
      </c>
      <c r="F109" s="16" t="inlineStr">
        <is>
          <t>Keeps one central classifier while allowing several input channels.</t>
        </is>
      </c>
    </row>
    <row r="110" ht="54.75" customHeight="1">
      <c r="B110" s="16" t="inlineStr">
        <is>
          <t>Classification logic</t>
        </is>
      </c>
      <c r="C110" s="16" t="inlineStr">
        <is>
          <t>Good for website enquiries. Foreign distributor requests are handled when they arrive through the form.</t>
        </is>
      </c>
      <c r="D110" s="16" t="inlineStr">
        <is>
          <t>Add fallback terms for direct emails: India, Gujarat, +91, WhatsApp, distributor, reseller, agency, purchase in [country].</t>
        </is>
      </c>
      <c r="E110" s="16" t="inlineStr">
        <is>
          <t>Usually included in the add-on.</t>
        </is>
      </c>
      <c r="F110" s="16" t="inlineStr">
        <is>
          <t>Direct emails often use broken wording, so keyword fallback improves SEEKER detection.</t>
        </is>
      </c>
    </row>
    <row r="111" ht="54.75" customHeight="1">
      <c r="B111" s="16" t="inlineStr">
        <is>
          <t>Deduplication</t>
        </is>
      </c>
      <c r="C111" s="16" t="inlineStr">
        <is>
          <t>Less critical when each form submission is unique.</t>
        </is>
      </c>
      <c r="D111" s="16" t="inlineStr">
        <is>
          <t>Use email message ID / thread ID / timestamp to avoid duplicated processing.</t>
        </is>
      </c>
      <c r="E111" s="16" t="inlineStr">
        <is>
          <t>Part of realistic business version.</t>
        </is>
      </c>
      <c r="F111" s="16" t="inlineStr">
        <is>
          <t>Inbox triggers can re-read, forward, or re-process messages if not controlled.</t>
        </is>
      </c>
    </row>
    <row r="112" ht="54.75" customHeight="1">
      <c r="B112" s="16" t="inlineStr">
        <is>
          <t>Routing and logging</t>
        </is>
      </c>
      <c r="C112" s="16" t="inlineStr">
        <is>
          <t>Folder routing + Notion logging + manual review.</t>
        </is>
      </c>
      <c r="D112" s="16" t="inlineStr">
        <is>
          <t>Add email labels/folders, status logging, error route and optional reply draft path.</t>
        </is>
      </c>
      <c r="E112" s="16" t="inlineStr">
        <is>
          <t>Moves from simple branch to managed workflow.</t>
        </is>
      </c>
      <c r="F112" s="16" t="inlineStr">
        <is>
          <t>Client sees a reliable operational process, not only an AI classification.</t>
        </is>
      </c>
    </row>
    <row r="113" ht="54.75" customHeight="1">
      <c r="B113" s="16" t="inlineStr">
        <is>
          <t>Recommended classification</t>
        </is>
      </c>
      <c r="C113" s="16" t="inlineStr">
        <is>
          <t>Basic+ AI Triage.</t>
        </is>
      </c>
      <c r="D113" s="16" t="inlineStr">
        <is>
          <t>Still Basic+ if one inbox and same logic; low Pro if multiple inboxes, email-specific drafts or social channels are added.</t>
        </is>
      </c>
      <c r="E113" s="16" t="inlineStr">
        <is>
          <t>Use change request if added later.</t>
        </is>
      </c>
      <c r="F113" s="16" t="inlineStr">
        <is>
          <t>Scope expansion changes responsibility, testing and support needs.</t>
        </is>
      </c>
    </row>
    <row r="114" ht="54.75" customHeight="1">
      <c r="B114" s="73" t="inlineStr">
        <is>
          <t>Practical conclusion</t>
        </is>
      </c>
      <c r="C114" s="73" t="inlineStr">
        <is>
          <t>For MG Red Shift, modification may not be needed now because direct foreign requests can be handled manually.</t>
        </is>
      </c>
      <c r="D114" s="73" t="inlineStr">
        <is>
          <t>For client projects, direct email intake should be discussed in discovery and priced as an optional intake-source add-on.</t>
        </is>
      </c>
      <c r="E114" s="73" t="inlineStr">
        <is>
          <t>Default quote: CHF 900–1’500 setup + CHF 150–300/month.</t>
        </is>
      </c>
      <c r="F114" s="73"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80"/>
  <sheetViews>
    <sheetView zoomScale="120" zoomScaleNormal="120" workbookViewId="0">
      <selection activeCell="A2" sqref="A2"/>
    </sheetView>
  </sheetViews>
  <sheetFormatPr baseColWidth="10" defaultColWidth="8.83203125" defaultRowHeight="15"/>
  <cols>
    <col width="21.83203125" customWidth="1" min="1" max="2"/>
    <col width="34.83203125" customWidth="1" min="3" max="5"/>
    <col width="21.83203125" customWidth="1" min="6" max="6"/>
  </cols>
  <sheetData>
    <row r="1" ht="33.75" customHeight="1">
      <c r="A1" s="2" t="inlineStr">
        <is>
          <t>Pricing Calculator Audit</t>
        </is>
      </c>
    </row>
    <row r="2" ht="21" customHeight="1">
      <c r="A2" s="85" t="inlineStr">
        <is>
          <t>Workbook</t>
        </is>
      </c>
      <c r="B2" s="95" t="inlineStr">
        <is>
          <t>AI_Automation_PM_Helper_Pricing_Calculator_v6_Streamlined_MJS_updated_email_intake.xlsx</t>
        </is>
      </c>
      <c r="C2" s="86" t="n"/>
      <c r="D2" s="86" t="n"/>
      <c r="E2" s="86" t="n"/>
      <c r="F2" s="86" t="n"/>
    </row>
    <row r="3" ht="21" customHeight="1">
      <c r="A3" s="85" t="inlineStr">
        <is>
          <t>Audit focus</t>
        </is>
      </c>
      <c r="B3" s="95" t="inlineStr">
        <is>
          <t>Quote Calculator, C5 package + C6 support model, Build-and-Transfer pricing, workbook consistency</t>
        </is>
      </c>
      <c r="C3" s="86" t="n"/>
      <c r="D3" s="86" t="n"/>
      <c r="E3" s="86" t="n"/>
      <c r="F3" s="86" t="n"/>
    </row>
    <row r="4" ht="21" customHeight="1">
      <c r="A4" s="86" t="n"/>
      <c r="B4" s="86" t="n"/>
      <c r="C4" s="86" t="n"/>
      <c r="D4" s="86" t="n"/>
      <c r="E4" s="86" t="n"/>
      <c r="F4" s="86" t="n"/>
    </row>
    <row r="5" ht="33.75" customHeight="1">
      <c r="A5" s="87" t="inlineStr">
        <is>
          <t>Verdict</t>
        </is>
      </c>
      <c r="B5" s="87" t="inlineStr">
        <is>
          <t>Status</t>
        </is>
      </c>
      <c r="C5" s="87" t="inlineStr">
        <is>
          <t>Detail</t>
        </is>
      </c>
      <c r="D5" s="87" t="inlineStr">
        <is>
          <t>Impact</t>
        </is>
      </c>
      <c r="E5" s="87" t="inlineStr">
        <is>
          <t>Recommended fix</t>
        </is>
      </c>
      <c r="F5" s="87" t="inlineStr">
        <is>
          <t>Priority</t>
        </is>
      </c>
    </row>
    <row r="6" ht="54.75" customHeight="1">
      <c r="A6" s="86" t="inlineStr">
        <is>
          <t>Overall</t>
        </is>
      </c>
      <c r="B6" s="86" t="inlineStr">
        <is>
          <t>PARTLY OK</t>
        </is>
      </c>
      <c r="C6" s="86" t="inlineStr">
        <is>
          <t>Standard managed packages calculate logically for the current inputs.</t>
        </is>
      </c>
      <c r="D6" s="86" t="inlineStr">
        <is>
          <t>Usable for Basic/Pro/Managed quotes with care.</t>
        </is>
      </c>
      <c r="E6" s="86" t="inlineStr">
        <is>
          <t>Keep package selection and support model, but add stronger checks.</t>
        </is>
      </c>
      <c r="F6" s="86" t="inlineStr">
        <is>
          <t>Medium</t>
        </is>
      </c>
    </row>
    <row r="7" ht="54.75" customHeight="1">
      <c r="A7" s="86" t="inlineStr">
        <is>
          <t>C5 + C6 combination</t>
        </is>
      </c>
      <c r="B7" s="86" t="inlineStr">
        <is>
          <t>TECHNICALLY OK</t>
        </is>
      </c>
      <c r="C7" s="86" t="inlineStr">
        <is>
          <t>C5 drives base package via Package Reference; C6 drives support/setup multipliers via Complexity Reference.</t>
        </is>
      </c>
      <c r="D7" s="86" t="inlineStr">
        <is>
          <t>Combination works mathematically.</t>
        </is>
      </c>
      <c r="E7" s="86" t="inlineStr">
        <is>
          <t>Keep, but separate package/support/access model more clearly.</t>
        </is>
      </c>
      <c r="F7" s="86" t="inlineStr">
        <is>
          <t>Medium</t>
        </is>
      </c>
    </row>
    <row r="8" ht="54.75" customHeight="1">
      <c r="A8" s="86" t="inlineStr">
        <is>
          <t>Build-and-Transfer</t>
        </is>
      </c>
      <c r="B8" s="86" t="inlineStr">
        <is>
          <t>FAIL</t>
        </is>
      </c>
      <c r="C8" s="86" t="inlineStr">
        <is>
          <t>Build-and-Transfer has base setup/monthly = 0 in Package Reference, so calculator can return 0 or too-low setup.</t>
        </is>
      </c>
      <c r="D8" s="86" t="inlineStr">
        <is>
          <t>Underpricing risk, especially if counts are not entered.</t>
        </is>
      </c>
      <c r="E8" s="86" t="inlineStr">
        <is>
          <t>Treat Build-and-Transfer as access/ownership model OR give it a non-zero base.</t>
        </is>
      </c>
      <c r="F8" s="86" t="inlineStr">
        <is>
          <t>High</t>
        </is>
      </c>
    </row>
    <row r="9" ht="54.75" customHeight="1">
      <c r="A9" s="86" t="inlineStr">
        <is>
          <t>Support multiplier logic</t>
        </is>
      </c>
      <c r="B9" s="86" t="inlineStr">
        <is>
          <t>WARN</t>
        </is>
      </c>
      <c r="C9" s="86" t="inlineStr">
        <is>
          <t>For Build-and-Transfer, Normal managed support uses setup multiplier 1.0, while No support uses 1.5, so 'normal support' can make setup cheaper than 'no support'.</t>
        </is>
      </c>
      <c r="D9" s="86" t="inlineStr">
        <is>
          <t>Commercially inconsistent.</t>
        </is>
      </c>
      <c r="E9" s="86" t="inlineStr">
        <is>
          <t>Move handover/setup multiplier to a separate access model field.</t>
        </is>
      </c>
      <c r="F9" s="86" t="inlineStr">
        <is>
          <t>High</t>
        </is>
      </c>
    </row>
    <row r="10" ht="54.75" customHeight="1">
      <c r="A10" s="86" t="inlineStr">
        <is>
          <t>Hard-coded adders</t>
        </is>
      </c>
      <c r="B10" s="86" t="inlineStr">
        <is>
          <t>WARN</t>
        </is>
      </c>
      <c r="C10" s="86" t="inlineStr">
        <is>
          <t>Quote formulas C29:C32 use hard-coded adder amounts instead of reading Complexity Reference A:E.</t>
        </is>
      </c>
      <c r="D10" s="86" t="inlineStr">
        <is>
          <t>Changing reference prices will not update calculator.</t>
        </is>
      </c>
      <c r="E10" s="86" t="inlineStr">
        <is>
          <t>Use lookups / SUMPRODUCT against Complexity Reference.</t>
        </is>
      </c>
      <c r="F10" s="86" t="inlineStr">
        <is>
          <t>High</t>
        </is>
      </c>
    </row>
    <row r="11" ht="54.75" customHeight="1">
      <c r="A11" s="86" t="inlineStr">
        <is>
          <t>Dropdowns</t>
        </is>
      </c>
      <c r="B11" s="86" t="inlineStr">
        <is>
          <t>WARN</t>
        </is>
      </c>
      <c r="C11" s="86" t="inlineStr">
        <is>
          <t>C5/C6 dropdowns are fixed text lists, not dynamic ranges from reference sheets.</t>
        </is>
      </c>
      <c r="D11" s="86" t="inlineStr">
        <is>
          <t>If reference names change, dropdowns can go stale.</t>
        </is>
      </c>
      <c r="E11" s="86" t="inlineStr">
        <is>
          <t>Use data validation references to Package Reference and Complexity Reference ranges.</t>
        </is>
      </c>
      <c r="F11" s="86" t="inlineStr">
        <is>
          <t>Medium</t>
        </is>
      </c>
    </row>
    <row r="12" ht="54.75" customHeight="1">
      <c r="A12" s="86" t="inlineStr">
        <is>
          <t>Example Quotes</t>
        </is>
      </c>
      <c r="B12" s="86" t="inlineStr">
        <is>
          <t>WARN</t>
        </is>
      </c>
      <c r="C12" s="86" t="inlineStr">
        <is>
          <t>Example Build-and-Transfer quote is CHF 4'500–15'000 / 0–1'000 monthly, but calculator can output lower values.</t>
        </is>
      </c>
      <c r="D12" s="86" t="inlineStr">
        <is>
          <t>Inconsistent client guidance.</t>
        </is>
      </c>
      <c r="E12" s="86" t="inlineStr">
        <is>
          <t>Align reference, calculator and examples.</t>
        </is>
      </c>
      <c r="F12" s="86" t="inlineStr">
        <is>
          <t>High</t>
        </is>
      </c>
    </row>
    <row r="13" ht="54.75" customHeight="1">
      <c r="A13" s="86" t="inlineStr">
        <is>
          <t>ROI App</t>
        </is>
      </c>
      <c r="B13" s="86" t="inlineStr">
        <is>
          <t>NOTE</t>
        </is>
      </c>
      <c r="C13" s="86" t="inlineStr">
        <is>
          <t>ROI math is coherent, but setup/monthly costs are manual, not linked to Quote Calculator.</t>
        </is>
      </c>
      <c r="D13" s="86" t="inlineStr">
        <is>
          <t>Manual copy errors possible.</t>
        </is>
      </c>
      <c r="E13" s="86" t="inlineStr">
        <is>
          <t>Link ROI inputs to Quote Calculator cells or clearly mark as manual scenario input.</t>
        </is>
      </c>
      <c r="F13" s="86" t="inlineStr">
        <is>
          <t>Low</t>
        </is>
      </c>
    </row>
    <row r="14" ht="54.75" customHeight="1">
      <c r="A14" s="86" t="inlineStr">
        <is>
          <t>Client Quote Summary</t>
        </is>
      </c>
      <c r="B14" s="86" t="inlineStr">
        <is>
          <t>NOTE</t>
        </is>
      </c>
      <c r="C14" s="86" t="inlineStr">
        <is>
          <t>Client summary is manual and not linked to calculator outputs.</t>
        </is>
      </c>
      <c r="D14" s="86" t="inlineStr">
        <is>
          <t>Manual quote-copy risk.</t>
        </is>
      </c>
      <c r="E14" s="86" t="inlineStr">
        <is>
          <t>Optional: formula-link key outputs.</t>
        </is>
      </c>
      <c r="F14" s="86" t="inlineStr">
        <is>
          <t>Low</t>
        </is>
      </c>
    </row>
    <row r="15" ht="54.75" customHeight="1">
      <c r="A15" s="86" t="inlineStr">
        <is>
          <t>Pricing Logic tabs</t>
        </is>
      </c>
      <c r="B15" s="86" t="inlineStr">
        <is>
          <t>NOTE</t>
        </is>
      </c>
      <c r="C15" s="86" t="inlineStr">
        <is>
          <t>Direct Email Intake Branch pricing is documented but not connected to Quote Calculator.</t>
        </is>
      </c>
      <c r="D15" s="86" t="inlineStr">
        <is>
          <t>Email-intake scope can be missed or double-counted.</t>
        </is>
      </c>
      <c r="E15" s="86" t="inlineStr">
        <is>
          <t>Add an optional Direct Email Branch add-on or map it clearly to Extra Channel + Draft + Approval counts.</t>
        </is>
      </c>
      <c r="F15" s="86" t="inlineStr">
        <is>
          <t>Medium</t>
        </is>
      </c>
    </row>
    <row r="16" ht="21" customHeight="1">
      <c r="A16" s="86" t="n"/>
      <c r="B16" s="86" t="n"/>
      <c r="C16" s="86" t="n"/>
      <c r="D16" s="86" t="n"/>
      <c r="E16" s="86" t="n"/>
      <c r="F16" s="86" t="n"/>
    </row>
    <row r="17" ht="21" customHeight="1">
      <c r="A17" s="88" t="inlineStr">
        <is>
          <t>Current Quote Calculator inputs</t>
        </is>
      </c>
      <c r="B17" s="89" t="inlineStr">
        <is>
          <t>Value</t>
        </is>
      </c>
      <c r="C17" s="89" t="n"/>
      <c r="D17" s="89" t="n"/>
      <c r="E17" s="89" t="n"/>
      <c r="F17" s="88" t="n"/>
    </row>
    <row r="18" ht="21" customHeight="1">
      <c r="A18" s="86" t="inlineStr">
        <is>
          <t>Selected package (C5)</t>
        </is>
      </c>
      <c r="B18" s="86" t="inlineStr">
        <is>
          <t>Basic+ AI Triage</t>
        </is>
      </c>
      <c r="C18" s="86" t="n"/>
      <c r="D18" s="86" t="n"/>
      <c r="E18" s="86" t="n"/>
      <c r="F18" s="86" t="n"/>
    </row>
    <row r="19" ht="21" customHeight="1">
      <c r="A19" s="86" t="inlineStr">
        <is>
          <t>Support model (C6)</t>
        </is>
      </c>
      <c r="B19" s="86" t="inlineStr">
        <is>
          <t>Normal managed support</t>
        </is>
      </c>
      <c r="C19" s="86" t="n"/>
      <c r="D19" s="86" t="n"/>
      <c r="E19" s="86" t="n"/>
      <c r="F19" s="86" t="n"/>
    </row>
    <row r="20" ht="21" customHeight="1">
      <c r="A20" s="86" t="inlineStr">
        <is>
          <t>Extra channels count (C15)</t>
        </is>
      </c>
      <c r="B20" s="86" t="n">
        <v>0</v>
      </c>
      <c r="C20" s="86" t="n"/>
      <c r="D20" s="86" t="n"/>
      <c r="E20" s="86" t="n"/>
      <c r="F20" s="86" t="n"/>
    </row>
    <row r="21" ht="21" customHeight="1">
      <c r="A21" s="86" t="inlineStr">
        <is>
          <t>AI draft workflows count (C16)</t>
        </is>
      </c>
      <c r="B21" s="86" t="n">
        <v>1</v>
      </c>
      <c r="C21" s="86" t="n"/>
      <c r="D21" s="86" t="n"/>
      <c r="E21" s="86" t="n"/>
      <c r="F21" s="86" t="n"/>
    </row>
    <row r="22" ht="21" customHeight="1">
      <c r="A22" s="86" t="inlineStr">
        <is>
          <t>CRM integrations count (C17)</t>
        </is>
      </c>
      <c r="B22" s="86" t="n">
        <v>1</v>
      </c>
      <c r="C22" s="86" t="n"/>
      <c r="D22" s="86" t="n"/>
      <c r="E22" s="86" t="n"/>
      <c r="F22" s="86" t="n"/>
    </row>
    <row r="23" ht="21" customHeight="1">
      <c r="A23" s="86" t="inlineStr">
        <is>
          <t>Approval workflows count (C18)</t>
        </is>
      </c>
      <c r="B23" s="86" t="n">
        <v>1</v>
      </c>
      <c r="C23" s="86" t="n"/>
      <c r="D23" s="86" t="n"/>
      <c r="E23" s="86" t="n"/>
      <c r="F23" s="86" t="n"/>
    </row>
    <row r="24" ht="21" customHeight="1">
      <c r="A24" s="86" t="inlineStr">
        <is>
          <t>Reporting layer count (C19)</t>
        </is>
      </c>
      <c r="B24" s="86" t="n">
        <v>0</v>
      </c>
      <c r="C24" s="86" t="n"/>
      <c r="D24" s="86" t="n"/>
      <c r="E24" s="86" t="n"/>
      <c r="F24" s="86" t="n"/>
    </row>
    <row r="25" ht="21" customHeight="1">
      <c r="A25" s="86" t="inlineStr">
        <is>
          <t>Sensitive data multiplier (C20)</t>
        </is>
      </c>
      <c r="B25" s="86" t="n">
        <v>1</v>
      </c>
      <c r="C25" s="86" t="n"/>
      <c r="D25" s="86" t="n"/>
      <c r="E25" s="86" t="n"/>
      <c r="F25" s="86" t="n"/>
    </row>
    <row r="26" ht="21" customHeight="1">
      <c r="A26" s="86" t="inlineStr">
        <is>
          <t>Urgency multiplier (C21)</t>
        </is>
      </c>
      <c r="B26" s="86" t="n">
        <v>1</v>
      </c>
      <c r="C26" s="86" t="n"/>
      <c r="D26" s="86" t="n"/>
      <c r="E26" s="86" t="n"/>
      <c r="F26" s="86" t="n"/>
    </row>
    <row r="27" ht="21" customHeight="1">
      <c r="A27" s="86" t="n"/>
      <c r="B27" s="90" t="n"/>
      <c r="C27" s="90" t="n"/>
      <c r="D27" s="90" t="n"/>
      <c r="E27" s="90" t="n"/>
      <c r="F27" s="86" t="n"/>
    </row>
    <row r="28" ht="21" customHeight="1">
      <c r="A28" s="88" t="inlineStr">
        <is>
          <t>Current calculated result</t>
        </is>
      </c>
      <c r="B28" s="89" t="inlineStr">
        <is>
          <t>Setup low</t>
        </is>
      </c>
      <c r="C28" s="89" t="inlineStr">
        <is>
          <t>Setup high</t>
        </is>
      </c>
      <c r="D28" s="89" t="inlineStr">
        <is>
          <t>Monthly low</t>
        </is>
      </c>
      <c r="E28" s="89" t="inlineStr">
        <is>
          <t>Monthly high</t>
        </is>
      </c>
      <c r="F28" s="88" t="inlineStr">
        <is>
          <t>Recommended</t>
        </is>
      </c>
    </row>
    <row r="29" ht="21" customHeight="1">
      <c r="A29" s="86" t="inlineStr">
        <is>
          <t>Basic+ AI Triage + Normal managed support</t>
        </is>
      </c>
      <c r="B29" s="90" t="n">
        <v>3500</v>
      </c>
      <c r="C29" s="90" t="n">
        <v>10000</v>
      </c>
      <c r="D29" s="90" t="n">
        <v>800</v>
      </c>
      <c r="E29" s="90" t="n">
        <v>2350</v>
      </c>
      <c r="F29" s="86" t="inlineStr">
        <is>
          <t>Setup 6800 / Monthly 1600</t>
        </is>
      </c>
    </row>
    <row r="30" ht="21" customHeight="1">
      <c r="A30" s="86" t="n"/>
      <c r="B30" s="86" t="n"/>
      <c r="C30" s="86" t="n"/>
      <c r="D30" s="86" t="n"/>
      <c r="E30" s="86" t="n"/>
      <c r="F30" s="86" t="n"/>
    </row>
    <row r="31" ht="21" customHeight="1">
      <c r="A31" s="88" t="inlineStr">
        <is>
          <t>Build-and-Transfer test with current counts</t>
        </is>
      </c>
      <c r="B31" s="89" t="inlineStr">
        <is>
          <t>Setup low</t>
        </is>
      </c>
      <c r="C31" s="89" t="inlineStr">
        <is>
          <t>Setup high</t>
        </is>
      </c>
      <c r="D31" s="89" t="inlineStr">
        <is>
          <t>Monthly low</t>
        </is>
      </c>
      <c r="E31" s="89" t="inlineStr">
        <is>
          <t>Monthly high</t>
        </is>
      </c>
      <c r="F31" s="88" t="inlineStr">
        <is>
          <t>Recommended</t>
        </is>
      </c>
    </row>
    <row r="32" ht="21" customHeight="1">
      <c r="A32" s="86" t="inlineStr">
        <is>
          <t>No support</t>
        </is>
      </c>
      <c r="B32" s="90" t="n">
        <v>3000</v>
      </c>
      <c r="C32" s="90" t="n">
        <v>9750</v>
      </c>
      <c r="D32" s="90" t="n">
        <v>0</v>
      </c>
      <c r="E32" s="90" t="n">
        <v>0</v>
      </c>
      <c r="F32" s="86" t="inlineStr">
        <is>
          <t>Setup 6400 / Monthly 0</t>
        </is>
      </c>
    </row>
    <row r="33" ht="21" customHeight="1">
      <c r="A33" s="86" t="inlineStr">
        <is>
          <t>Light support</t>
        </is>
      </c>
      <c r="B33" s="90" t="n">
        <v>3000</v>
      </c>
      <c r="C33" s="90" t="n">
        <v>9750</v>
      </c>
      <c r="D33" s="90" t="n">
        <v>250</v>
      </c>
      <c r="E33" s="90" t="n">
        <v>800</v>
      </c>
      <c r="F33" s="86" t="inlineStr">
        <is>
          <t>Setup 6400 / Monthly 500</t>
        </is>
      </c>
    </row>
    <row r="34" ht="21" customHeight="1">
      <c r="A34" s="86" t="inlineStr">
        <is>
          <t>Normal managed support</t>
        </is>
      </c>
      <c r="B34" s="90" t="n">
        <v>2000</v>
      </c>
      <c r="C34" s="90" t="n">
        <v>6500</v>
      </c>
      <c r="D34" s="90" t="n">
        <v>500</v>
      </c>
      <c r="E34" s="90" t="n">
        <v>1600</v>
      </c>
      <c r="F34" s="86" t="inlineStr">
        <is>
          <t>Setup 4300 / Monthly 1100</t>
        </is>
      </c>
    </row>
    <row r="35" ht="21" customHeight="1">
      <c r="A35" s="86" t="inlineStr">
        <is>
          <t>High-responsibility maintenance</t>
        </is>
      </c>
      <c r="B35" s="90" t="n">
        <v>3000</v>
      </c>
      <c r="C35" s="90" t="n">
        <v>9750</v>
      </c>
      <c r="D35" s="90" t="n">
        <v>750</v>
      </c>
      <c r="E35" s="90" t="n">
        <v>2400</v>
      </c>
      <c r="F35" s="86" t="inlineStr">
        <is>
          <t>Setup 6400 / Monthly 1600</t>
        </is>
      </c>
    </row>
    <row r="36" ht="21" customHeight="1">
      <c r="A36" s="86" t="inlineStr">
        <is>
          <t>Premium transfer support</t>
        </is>
      </c>
      <c r="B36" s="90" t="n">
        <v>4000</v>
      </c>
      <c r="C36" s="90" t="n">
        <v>13000</v>
      </c>
      <c r="D36" s="90" t="n">
        <v>1000</v>
      </c>
      <c r="E36" s="90" t="n">
        <v>3200</v>
      </c>
      <c r="F36" s="86" t="inlineStr">
        <is>
          <t>Setup 8500 / Monthly 2100</t>
        </is>
      </c>
    </row>
    <row r="37" ht="21" customHeight="1">
      <c r="A37" s="86" t="inlineStr">
        <is>
          <t>Critical support</t>
        </is>
      </c>
      <c r="B37" s="90" t="n">
        <v>6000</v>
      </c>
      <c r="C37" s="90" t="n">
        <v>19500</v>
      </c>
      <c r="D37" s="90" t="n">
        <v>1500</v>
      </c>
      <c r="E37" s="90" t="n">
        <v>4800</v>
      </c>
      <c r="F37" s="86" t="inlineStr">
        <is>
          <t>Setup 12800 / Monthly 3200</t>
        </is>
      </c>
    </row>
    <row r="38" ht="21" customHeight="1">
      <c r="A38" s="86" t="n"/>
      <c r="B38" s="90" t="n"/>
      <c r="C38" s="90" t="n"/>
      <c r="D38" s="90" t="n"/>
      <c r="E38" s="90" t="n"/>
      <c r="F38" s="86" t="n"/>
    </row>
    <row r="39" ht="21" customHeight="1">
      <c r="A39" s="88" t="inlineStr">
        <is>
          <t>Build-and-Transfer zero-count test</t>
        </is>
      </c>
      <c r="B39" s="88" t="inlineStr">
        <is>
          <t>Setup low</t>
        </is>
      </c>
      <c r="C39" s="88" t="inlineStr">
        <is>
          <t>Setup high</t>
        </is>
      </c>
      <c r="D39" s="88" t="inlineStr">
        <is>
          <t>Monthly low</t>
        </is>
      </c>
      <c r="E39" s="88" t="inlineStr">
        <is>
          <t>Monthly high</t>
        </is>
      </c>
      <c r="F39" s="88" t="inlineStr">
        <is>
          <t>Recommended</t>
        </is>
      </c>
    </row>
    <row r="40" ht="21" customHeight="1">
      <c r="A40" s="86" t="inlineStr">
        <is>
          <t>No support</t>
        </is>
      </c>
      <c r="B40" s="90" t="n">
        <v>0</v>
      </c>
      <c r="C40" s="90" t="n">
        <v>0</v>
      </c>
      <c r="D40" s="90" t="n">
        <v>0</v>
      </c>
      <c r="E40" s="90" t="n">
        <v>0</v>
      </c>
      <c r="F40" s="86" t="inlineStr">
        <is>
          <t>Setup 0 / Monthly 0</t>
        </is>
      </c>
    </row>
    <row r="41" ht="21" customHeight="1">
      <c r="A41" s="86" t="inlineStr">
        <is>
          <t>Light support</t>
        </is>
      </c>
      <c r="B41" s="90" t="n">
        <v>0</v>
      </c>
      <c r="C41" s="90" t="n">
        <v>0</v>
      </c>
      <c r="D41" s="90" t="n">
        <v>0</v>
      </c>
      <c r="E41" s="90" t="n">
        <v>0</v>
      </c>
      <c r="F41" s="86" t="inlineStr">
        <is>
          <t>Setup 0 / Monthly 0</t>
        </is>
      </c>
    </row>
    <row r="42" ht="21" customHeight="1">
      <c r="A42" s="86" t="inlineStr">
        <is>
          <t>Normal managed support</t>
        </is>
      </c>
      <c r="B42" s="90" t="n">
        <v>0</v>
      </c>
      <c r="C42" s="90" t="n">
        <v>0</v>
      </c>
      <c r="D42" s="90" t="n">
        <v>0</v>
      </c>
      <c r="E42" s="90" t="n">
        <v>0</v>
      </c>
      <c r="F42" s="86" t="inlineStr">
        <is>
          <t>Setup 0 / Monthly 0</t>
        </is>
      </c>
    </row>
    <row r="43" ht="21" customHeight="1">
      <c r="A43" s="86" t="inlineStr">
        <is>
          <t>High-responsibility maintenance</t>
        </is>
      </c>
      <c r="B43" s="90" t="n">
        <v>0</v>
      </c>
      <c r="C43" s="90" t="n">
        <v>0</v>
      </c>
      <c r="D43" s="90" t="n">
        <v>0</v>
      </c>
      <c r="E43" s="90" t="n">
        <v>0</v>
      </c>
      <c r="F43" s="86" t="inlineStr">
        <is>
          <t>Setup 0 / Monthly 0</t>
        </is>
      </c>
    </row>
    <row r="44" ht="21" customHeight="1">
      <c r="A44" s="86" t="inlineStr">
        <is>
          <t>Premium transfer support</t>
        </is>
      </c>
      <c r="B44" s="90" t="n">
        <v>0</v>
      </c>
      <c r="C44" s="90" t="n">
        <v>0</v>
      </c>
      <c r="D44" s="90" t="n">
        <v>0</v>
      </c>
      <c r="E44" s="90" t="n">
        <v>0</v>
      </c>
      <c r="F44" s="86" t="inlineStr">
        <is>
          <t>Setup 0 / Monthly 0</t>
        </is>
      </c>
    </row>
    <row r="45" ht="21" customHeight="1">
      <c r="A45" s="86" t="inlineStr">
        <is>
          <t>Critical support</t>
        </is>
      </c>
      <c r="B45" s="90" t="n">
        <v>0</v>
      </c>
      <c r="C45" s="90" t="n">
        <v>0</v>
      </c>
      <c r="D45" s="90" t="n">
        <v>0</v>
      </c>
      <c r="E45" s="90" t="n">
        <v>0</v>
      </c>
      <c r="F45" s="86" t="inlineStr">
        <is>
          <t>Setup 0 / Monthly 0</t>
        </is>
      </c>
    </row>
    <row r="46" ht="21" customHeight="1">
      <c r="A46" s="86" t="n"/>
      <c r="B46" s="90" t="n"/>
      <c r="C46" s="90" t="n"/>
      <c r="D46" s="90" t="n"/>
      <c r="E46" s="90" t="n"/>
      <c r="F46" s="86" t="n"/>
    </row>
    <row r="47" ht="21" customHeight="1">
      <c r="A47" s="91" t="inlineStr">
        <is>
          <t>Practical recommendation</t>
        </is>
      </c>
      <c r="B47" s="91" t="n"/>
      <c r="C47" s="91" t="n"/>
      <c r="D47" s="91" t="n"/>
      <c r="E47" s="91" t="n"/>
      <c r="F47" s="91" t="n"/>
    </row>
    <row r="48" ht="21" customHeight="1">
      <c r="A48" s="85" t="inlineStr">
        <is>
          <t>Best structure</t>
        </is>
      </c>
      <c r="B48" s="92" t="inlineStr">
        <is>
          <t>Package = Basic/Basic+/Pro/Managed/Agentic. Access/ownership model = Managed service / Logic visibility / Limited admin / Client-owned / Build-and-transfer. Support model = No/Light/Normal/High/Premium/Critical.</t>
        </is>
      </c>
      <c r="C48" s="92" t="n"/>
      <c r="D48" s="92" t="n"/>
      <c r="E48" s="92" t="n"/>
      <c r="F48" s="85" t="n"/>
    </row>
    <row r="49" ht="21" customHeight="1">
      <c r="A49" s="85" t="inlineStr">
        <is>
          <t>Minimum quick fix</t>
        </is>
      </c>
      <c r="B49" s="92" t="inlineStr">
        <is>
          <t>Set Build-and-Transfer base setup low/high to at least the Example Quotes range CHF 4'500–15'000, or remove it from C5 and handle it as an access multiplier.</t>
        </is>
      </c>
      <c r="C49" s="92" t="n"/>
      <c r="D49" s="92" t="n"/>
      <c r="E49" s="92" t="n"/>
      <c r="F49" s="85" t="n"/>
    </row>
    <row r="50" ht="21" customHeight="1">
      <c r="A50" s="85" t="inlineStr">
        <is>
          <t>Commercial rule</t>
        </is>
      </c>
      <c r="B50" s="92" t="inlineStr">
        <is>
          <t>Build-and-Transfer should normally never be cheaper than the same automation as a managed build; it transfers more asset value and needs documentation/testing/handover.</t>
        </is>
      </c>
      <c r="C50" s="92" t="n"/>
      <c r="D50" s="92" t="n"/>
      <c r="E50" s="92" t="n"/>
      <c r="F50" s="85" t="n"/>
    </row>
    <row r="51" ht="21" customHeight="1">
      <c r="A51" s="86" t="n"/>
      <c r="B51" s="86" t="n"/>
      <c r="C51" s="86" t="n"/>
      <c r="D51" s="86" t="n"/>
      <c r="E51" s="86" t="n"/>
      <c r="F51" s="86" t="n"/>
    </row>
    <row r="52" ht="21" customHeight="1">
      <c r="A52" s="86" t="n"/>
      <c r="B52" s="86" t="n"/>
      <c r="C52" s="86" t="n"/>
      <c r="D52" s="86" t="n"/>
      <c r="E52" s="86" t="n"/>
      <c r="F52" s="86" t="n"/>
    </row>
    <row r="53" ht="21" customHeight="1">
      <c r="A53" s="86" t="n"/>
      <c r="B53" s="86" t="n"/>
      <c r="C53" s="86" t="n"/>
      <c r="D53" s="86" t="n"/>
      <c r="E53" s="86" t="n"/>
      <c r="F53" s="86" t="n"/>
    </row>
    <row r="54" ht="21" customHeight="1">
      <c r="A54" s="86" t="n"/>
      <c r="B54" s="86" t="n"/>
      <c r="C54" s="86" t="n"/>
      <c r="D54" s="86" t="n"/>
      <c r="E54" s="86" t="n"/>
      <c r="F54" s="86" t="n"/>
    </row>
    <row r="55" ht="21" customHeight="1">
      <c r="A55" s="86" t="n"/>
      <c r="B55" s="86" t="n"/>
      <c r="C55" s="86" t="n"/>
      <c r="D55" s="86" t="n"/>
      <c r="E55" s="86" t="n"/>
      <c r="F55" s="86" t="n"/>
    </row>
    <row r="56" ht="21" customHeight="1">
      <c r="A56" s="86" t="n"/>
      <c r="B56" s="86" t="n"/>
      <c r="C56" s="86" t="n"/>
      <c r="D56" s="86" t="n"/>
      <c r="E56" s="86" t="n"/>
      <c r="F56" s="86" t="n"/>
    </row>
    <row r="57" ht="21" customHeight="1">
      <c r="A57" s="86" t="n"/>
      <c r="B57" s="86" t="n"/>
      <c r="C57" s="86" t="n"/>
      <c r="D57" s="86" t="n"/>
      <c r="E57" s="86" t="n"/>
      <c r="F57" s="86" t="n"/>
    </row>
    <row r="58" ht="21" customHeight="1">
      <c r="A58" s="86" t="n"/>
      <c r="B58" s="86" t="n"/>
      <c r="C58" s="86" t="n"/>
      <c r="D58" s="86" t="n"/>
      <c r="E58" s="86" t="n"/>
      <c r="F58" s="86" t="n"/>
    </row>
    <row r="59" ht="21" customHeight="1">
      <c r="A59" s="86" t="n"/>
      <c r="B59" s="86" t="n"/>
      <c r="C59" s="86" t="n"/>
      <c r="D59" s="86" t="n"/>
      <c r="E59" s="86" t="n"/>
      <c r="F59" s="86" t="n"/>
    </row>
    <row r="60" ht="21" customHeight="1">
      <c r="A60" s="86" t="n"/>
      <c r="B60" s="86" t="n"/>
      <c r="C60" s="86" t="n"/>
      <c r="D60" s="86" t="n"/>
      <c r="E60" s="86" t="n"/>
      <c r="F60" s="86" t="n"/>
    </row>
    <row r="61" ht="21" customHeight="1">
      <c r="A61" s="86" t="n"/>
      <c r="B61" s="86" t="n"/>
      <c r="C61" s="86" t="n"/>
      <c r="D61" s="86" t="n"/>
      <c r="E61" s="86" t="n"/>
      <c r="F61" s="86" t="n"/>
    </row>
    <row r="62" ht="21" customHeight="1">
      <c r="A62" s="86" t="n"/>
      <c r="B62" s="86" t="n"/>
      <c r="C62" s="86" t="n"/>
      <c r="D62" s="86" t="n"/>
      <c r="E62" s="86" t="n"/>
      <c r="F62" s="86" t="n"/>
    </row>
    <row r="63" ht="21" customHeight="1">
      <c r="A63" s="86" t="n"/>
      <c r="B63" s="86" t="n"/>
      <c r="C63" s="86" t="n"/>
      <c r="D63" s="86" t="n"/>
      <c r="E63" s="86" t="n"/>
      <c r="F63" s="86" t="n"/>
    </row>
    <row r="64" ht="21" customHeight="1">
      <c r="A64" s="86" t="n"/>
      <c r="B64" s="86" t="n"/>
      <c r="C64" s="86" t="n"/>
      <c r="D64" s="86" t="n"/>
      <c r="E64" s="86" t="n"/>
      <c r="F64" s="86" t="n"/>
    </row>
    <row r="65" ht="21" customHeight="1">
      <c r="A65" s="86" t="n"/>
      <c r="B65" s="86" t="n"/>
      <c r="C65" s="86" t="n"/>
      <c r="D65" s="86" t="n"/>
      <c r="E65" s="86" t="n"/>
      <c r="F65" s="86" t="n"/>
    </row>
    <row r="66" ht="21" customHeight="1">
      <c r="A66" s="86" t="n"/>
      <c r="B66" s="86" t="n"/>
      <c r="C66" s="86" t="n"/>
      <c r="D66" s="86" t="n"/>
      <c r="E66" s="86" t="n"/>
      <c r="F66" s="86" t="n"/>
    </row>
    <row r="67" ht="21" customHeight="1">
      <c r="A67" s="86" t="n"/>
      <c r="B67" s="86" t="n"/>
      <c r="C67" s="86" t="n"/>
      <c r="D67" s="86" t="n"/>
      <c r="E67" s="86" t="n"/>
      <c r="F67" s="86" t="n"/>
    </row>
    <row r="68" ht="21" customHeight="1">
      <c r="A68" s="86" t="n"/>
      <c r="B68" s="86" t="n"/>
      <c r="C68" s="86" t="n"/>
      <c r="D68" s="86" t="n"/>
      <c r="E68" s="86" t="n"/>
      <c r="F68" s="86" t="n"/>
    </row>
    <row r="69" ht="21" customHeight="1">
      <c r="A69" s="86" t="n"/>
      <c r="B69" s="86" t="n"/>
      <c r="C69" s="86" t="n"/>
      <c r="D69" s="86" t="n"/>
      <c r="E69" s="86" t="n"/>
      <c r="F69" s="86" t="n"/>
    </row>
    <row r="70" ht="21" customHeight="1">
      <c r="A70" s="86" t="n"/>
      <c r="B70" s="86" t="n"/>
      <c r="C70" s="86" t="n"/>
      <c r="D70" s="86" t="n"/>
      <c r="E70" s="86" t="n"/>
      <c r="F70" s="86" t="n"/>
    </row>
    <row r="71" ht="21" customHeight="1">
      <c r="A71" s="86" t="n"/>
      <c r="B71" s="86" t="n"/>
      <c r="C71" s="86" t="n"/>
      <c r="D71" s="86" t="n"/>
      <c r="E71" s="86" t="n"/>
      <c r="F71" s="86" t="n"/>
    </row>
    <row r="72" ht="21" customHeight="1">
      <c r="A72" s="86" t="n"/>
      <c r="B72" s="86" t="n"/>
      <c r="C72" s="86" t="n"/>
      <c r="D72" s="86" t="n"/>
      <c r="E72" s="86" t="n"/>
      <c r="F72" s="86" t="n"/>
    </row>
    <row r="73" ht="21" customHeight="1">
      <c r="A73" s="86" t="n"/>
      <c r="B73" s="86" t="n"/>
      <c r="C73" s="86" t="n"/>
      <c r="D73" s="86" t="n"/>
      <c r="E73" s="86" t="n"/>
      <c r="F73" s="86" t="n"/>
    </row>
    <row r="74" ht="21" customHeight="1">
      <c r="A74" s="86" t="n"/>
      <c r="B74" s="86" t="n"/>
      <c r="C74" s="86" t="n"/>
      <c r="D74" s="86" t="n"/>
      <c r="E74" s="86" t="n"/>
      <c r="F74" s="86" t="n"/>
    </row>
    <row r="75" ht="21" customHeight="1">
      <c r="A75" s="86" t="n"/>
      <c r="B75" s="86" t="n"/>
      <c r="C75" s="86" t="n"/>
      <c r="D75" s="86" t="n"/>
      <c r="E75" s="86" t="n"/>
      <c r="F75" s="86" t="n"/>
    </row>
    <row r="76" ht="21" customHeight="1">
      <c r="A76" s="86" t="n"/>
      <c r="B76" s="86" t="n"/>
      <c r="C76" s="86" t="n"/>
      <c r="D76" s="86" t="n"/>
      <c r="E76" s="86" t="n"/>
      <c r="F76" s="86" t="n"/>
    </row>
    <row r="77" ht="21" customHeight="1">
      <c r="A77" s="86" t="n"/>
      <c r="B77" s="86" t="n"/>
      <c r="C77" s="86" t="n"/>
      <c r="D77" s="86" t="n"/>
      <c r="E77" s="86" t="n"/>
      <c r="F77" s="86" t="n"/>
    </row>
    <row r="78" ht="21" customHeight="1">
      <c r="A78" s="86" t="n"/>
      <c r="B78" s="86" t="n"/>
      <c r="C78" s="86" t="n"/>
      <c r="D78" s="86" t="n"/>
      <c r="E78" s="86" t="n"/>
      <c r="F78" s="86" t="n"/>
    </row>
    <row r="79" ht="21" customHeight="1">
      <c r="A79" s="86" t="n"/>
      <c r="B79" s="86" t="n"/>
      <c r="C79" s="86" t="n"/>
      <c r="D79" s="86" t="n"/>
      <c r="E79" s="86" t="n"/>
      <c r="F79" s="86" t="n"/>
    </row>
    <row r="80" ht="21" customHeight="1">
      <c r="A80" s="86" t="n"/>
      <c r="B80" s="86" t="n"/>
      <c r="C80" s="86" t="n"/>
      <c r="D80" s="86" t="n"/>
      <c r="E80" s="86" t="n"/>
      <c r="F80" s="86" t="n"/>
    </row>
  </sheetData>
  <mergeCells count="1">
    <mergeCell ref="A1:F1"/>
  </mergeCells>
  <pageMargins left="0.7" right="0.7" top="0.75" bottom="0.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F12"/>
  <sheetViews>
    <sheetView zoomScale="120" zoomScaleNormal="120" workbookViewId="0">
      <selection activeCell="A3" sqref="A3"/>
    </sheetView>
  </sheetViews>
  <sheetFormatPr baseColWidth="10" defaultColWidth="8.83203125" defaultRowHeight="15"/>
  <cols>
    <col width="30" customWidth="1" min="1" max="1"/>
    <col width="28" customWidth="1" min="2" max="3"/>
    <col width="24" customWidth="1" min="4" max="4"/>
    <col width="28" customWidth="1" min="5" max="6"/>
  </cols>
  <sheetData>
    <row r="1" ht="33.75" customHeight="1">
      <c r="A1" s="1" t="inlineStr">
        <is>
          <t>Build-and-Transfer Matrix</t>
        </is>
      </c>
    </row>
    <row r="2" ht="21" customHeight="1">
      <c r="A2" s="96" t="inlineStr">
        <is>
          <t>Shows current formula outputs for Build-and-Transfer using the current Quote Calculator counts and using zero counts.</t>
        </is>
      </c>
      <c r="B2" s="93" t="n"/>
      <c r="C2" s="93" t="n"/>
      <c r="D2" s="93" t="n"/>
      <c r="E2" s="93" t="n"/>
      <c r="F2" s="93" t="n"/>
    </row>
    <row r="3" ht="33.75" customHeight="1">
      <c r="A3" s="94" t="inlineStr">
        <is>
          <t>Support model</t>
        </is>
      </c>
      <c r="B3" s="94" t="inlineStr">
        <is>
          <t>Current counts: setup range</t>
        </is>
      </c>
      <c r="C3" s="94" t="inlineStr">
        <is>
          <t>Current counts: monthly range</t>
        </is>
      </c>
      <c r="D3" s="94" t="inlineStr">
        <is>
          <t>Current recommended</t>
        </is>
      </c>
      <c r="E3" s="94" t="inlineStr">
        <is>
          <t>Zero counts: setup range</t>
        </is>
      </c>
      <c r="F3" s="94" t="inlineStr">
        <is>
          <t>Zero counts: monthly range</t>
        </is>
      </c>
    </row>
    <row r="4" ht="21" customHeight="1">
      <c r="A4" s="93" t="inlineStr">
        <is>
          <t>No support</t>
        </is>
      </c>
      <c r="B4" s="93" t="inlineStr">
        <is>
          <t>CHF 3'000 - 9'750</t>
        </is>
      </c>
      <c r="C4" s="93" t="inlineStr">
        <is>
          <t>CHF 0 - 0</t>
        </is>
      </c>
      <c r="D4" s="93" t="inlineStr">
        <is>
          <t>CHF 6'400 / CHF 0</t>
        </is>
      </c>
      <c r="E4" s="93" t="inlineStr">
        <is>
          <t>CHF 0 - 0</t>
        </is>
      </c>
      <c r="F4" s="93" t="inlineStr">
        <is>
          <t>CHF 0 - 0</t>
        </is>
      </c>
    </row>
    <row r="5" ht="21" customHeight="1">
      <c r="A5" s="93" t="inlineStr">
        <is>
          <t>Light support</t>
        </is>
      </c>
      <c r="B5" s="93" t="inlineStr">
        <is>
          <t>CHF 3'000 - 9'750</t>
        </is>
      </c>
      <c r="C5" s="93" t="inlineStr">
        <is>
          <t>CHF 250 - 800</t>
        </is>
      </c>
      <c r="D5" s="93" t="inlineStr">
        <is>
          <t>CHF 6'400 / CHF 500</t>
        </is>
      </c>
      <c r="E5" s="93" t="inlineStr">
        <is>
          <t>CHF 0 - 0</t>
        </is>
      </c>
      <c r="F5" s="93" t="inlineStr">
        <is>
          <t>CHF 0 - 0</t>
        </is>
      </c>
    </row>
    <row r="6" ht="21" customHeight="1">
      <c r="A6" s="93" t="inlineStr">
        <is>
          <t>Normal managed support</t>
        </is>
      </c>
      <c r="B6" s="93" t="inlineStr">
        <is>
          <t>CHF 2'000 - 6'500</t>
        </is>
      </c>
      <c r="C6" s="93" t="inlineStr">
        <is>
          <t>CHF 500 - 1'600</t>
        </is>
      </c>
      <c r="D6" s="93" t="inlineStr">
        <is>
          <t>CHF 4'300 / CHF 1'100</t>
        </is>
      </c>
      <c r="E6" s="93" t="inlineStr">
        <is>
          <t>CHF 0 - 0</t>
        </is>
      </c>
      <c r="F6" s="93" t="inlineStr">
        <is>
          <t>CHF 0 - 0</t>
        </is>
      </c>
    </row>
    <row r="7" ht="21" customHeight="1">
      <c r="A7" s="93" t="inlineStr">
        <is>
          <t>High-responsibility maintenance</t>
        </is>
      </c>
      <c r="B7" s="93" t="inlineStr">
        <is>
          <t>CHF 3'000 - 9'750</t>
        </is>
      </c>
      <c r="C7" s="93" t="inlineStr">
        <is>
          <t>CHF 750 - 2'400</t>
        </is>
      </c>
      <c r="D7" s="93" t="inlineStr">
        <is>
          <t>CHF 6'400 / CHF 1'600</t>
        </is>
      </c>
      <c r="E7" s="93" t="inlineStr">
        <is>
          <t>CHF 0 - 0</t>
        </is>
      </c>
      <c r="F7" s="93" t="inlineStr">
        <is>
          <t>CHF 0 - 0</t>
        </is>
      </c>
    </row>
    <row r="8" ht="21" customHeight="1">
      <c r="A8" s="93" t="inlineStr">
        <is>
          <t>Premium transfer support</t>
        </is>
      </c>
      <c r="B8" s="93" t="inlineStr">
        <is>
          <t>CHF 4'000 - 13'000</t>
        </is>
      </c>
      <c r="C8" s="93" t="inlineStr">
        <is>
          <t>CHF 1'000 - 3'200</t>
        </is>
      </c>
      <c r="D8" s="93" t="inlineStr">
        <is>
          <t>CHF 8'500 / CHF 2'100</t>
        </is>
      </c>
      <c r="E8" s="93" t="inlineStr">
        <is>
          <t>CHF 0 - 0</t>
        </is>
      </c>
      <c r="F8" s="93" t="inlineStr">
        <is>
          <t>CHF 0 - 0</t>
        </is>
      </c>
    </row>
    <row r="9" ht="21" customHeight="1">
      <c r="A9" s="93" t="inlineStr">
        <is>
          <t>Critical support</t>
        </is>
      </c>
      <c r="B9" s="93" t="inlineStr">
        <is>
          <t>CHF 6'000 - 19'500</t>
        </is>
      </c>
      <c r="C9" s="93" t="inlineStr">
        <is>
          <t>CHF 1'500 - 4'800</t>
        </is>
      </c>
      <c r="D9" s="93" t="inlineStr">
        <is>
          <t>CHF 12'800 / CHF 3'200</t>
        </is>
      </c>
      <c r="E9" s="93" t="inlineStr">
        <is>
          <t>CHF 0 - 0</t>
        </is>
      </c>
      <c r="F9" s="93" t="inlineStr">
        <is>
          <t>CHF 0 - 0</t>
        </is>
      </c>
    </row>
    <row r="10" ht="21" customHeight="1">
      <c r="A10" s="93" t="n"/>
      <c r="B10" s="93" t="n"/>
      <c r="C10" s="93" t="n"/>
      <c r="D10" s="93" t="n"/>
      <c r="E10" s="93" t="n"/>
      <c r="F10" s="93" t="n"/>
    </row>
    <row r="11" ht="21" customHeight="1">
      <c r="A11" t="inlineStr">
        <is>
          <t>Conclusion</t>
        </is>
      </c>
      <c r="B11" t="inlineStr">
        <is>
          <t>Zero-count Build-and-Transfer returns CHF 0 setup/monthly across all support models because the package base is 0.</t>
        </is>
      </c>
      <c r="C11" s="93" t="n"/>
      <c r="D11" s="93" t="n"/>
      <c r="E11" s="93" t="n"/>
      <c r="F11" s="93" t="n"/>
    </row>
    <row r="12" ht="21" customHeight="1">
      <c r="A12" t="inlineStr">
        <is>
          <t>Conclusion</t>
        </is>
      </c>
      <c r="B12" t="inlineStr">
        <is>
          <t>With current counts, Normal managed support gives lower setup than No support because setup multipliers are attached to support model, not to access/ownership model.</t>
        </is>
      </c>
      <c r="C12" s="93" t="n"/>
      <c r="D12" s="93" t="n"/>
      <c r="E12" s="93" t="n"/>
      <c r="F12" s="93" t="n"/>
    </row>
  </sheetData>
  <mergeCells count="1">
    <mergeCell ref="A1:F1"/>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2026-07-16T15:14:18Z</dcterms:modified>
  <cp:lastModifiedBy>maciek szczech</cp:lastModifiedBy>
  <cp:revision>0</cp:revision>
</cp:coreProperties>
</file>