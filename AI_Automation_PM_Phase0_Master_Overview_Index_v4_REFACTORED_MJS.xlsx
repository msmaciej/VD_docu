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s/Documents/_VortexDeep/VD_AI_Automation_Excel/_VDAIA_MAIN_v2/"/>
    </mc:Choice>
  </mc:AlternateContent>
  <xr:revisionPtr revIDLastSave="0" documentId="13_ncr:1_{79A4CC92-E5FD-C343-8397-F2CEB7D34AAA}" xr6:coauthVersionLast="47" xr6:coauthVersionMax="47" xr10:uidLastSave="{00000000-0000-0000-0000-000000000000}"/>
  <bookViews>
    <workbookView xWindow="11540" yWindow="1240" windowWidth="22640" windowHeight="19740" tabRatio="500" xr2:uid="{00000000-000D-0000-FFFF-FFFF00000000}"/>
  </bookViews>
  <sheets>
    <sheet name="START HERE" sheetId="1" r:id="rId1"/>
    <sheet name="Phase Cycle Overview" sheetId="2" r:id="rId2"/>
    <sheet name="File Index" sheetId="3" r:id="rId3"/>
    <sheet name="Handoff Map" sheetId="4" r:id="rId4"/>
    <sheet name="Package Logic Snapshot" sheetId="5" r:id="rId5"/>
    <sheet name="Mini 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1" i="6" l="1"/>
  <c r="B50" i="6"/>
  <c r="B49" i="6"/>
  <c r="B48" i="6"/>
  <c r="B47" i="6"/>
  <c r="B46" i="6"/>
  <c r="B45" i="6"/>
  <c r="B44" i="6"/>
  <c r="B43" i="6"/>
  <c r="B42" i="6"/>
  <c r="B41" i="6"/>
  <c r="C34" i="3"/>
  <c r="C33" i="3"/>
  <c r="C32" i="3"/>
  <c r="C31" i="3"/>
  <c r="C30" i="3"/>
  <c r="C29" i="3"/>
</calcChain>
</file>

<file path=xl/sharedStrings.xml><?xml version="1.0" encoding="utf-8"?>
<sst xmlns="http://schemas.openxmlformats.org/spreadsheetml/2006/main" count="585" uniqueCount="478">
  <si>
    <t>AI Automation Managed Services — Master Overview / Index (v3)</t>
  </si>
  <si>
    <t>One navigation and control file for the full PM lifecycle. Covers the 6-phase project cycle plus pre-engagement (Fit Check, Kickoff) and post-engagement (Retrospective) lifecycle tools, cross-phase tools (Decision Log, Risk Register), helpers (Pricing, Workflows Library), and client deliverable templates. v3 updated 2026-06-28.</t>
  </si>
  <si>
    <t>Step</t>
  </si>
  <si>
    <t>What to do</t>
  </si>
  <si>
    <t>Use which file</t>
  </si>
  <si>
    <t>Output</t>
  </si>
  <si>
    <t>0a</t>
  </si>
  <si>
    <t>Triage every prospect BEFORE committing time. Run the Fit Check to filter bad-fit projects.</t>
  </si>
  <si>
    <t>PhaseX_Project_Client_Fit_Check</t>
  </si>
  <si>
    <t>Verdict: GOOD FIT / PROCEED WITH CAUTION / DECLINE</t>
  </si>
  <si>
    <t>0b</t>
  </si>
  <si>
    <t>For approved prospects, capture kickoff info and pre-populate the framework.</t>
  </si>
  <si>
    <t>PhaseX_Project_Kickoff_Wizard</t>
  </si>
  <si>
    <t>Project Card + Pre-Population Map across files</t>
  </si>
  <si>
    <t>1</t>
  </si>
  <si>
    <t>Collect client needs, risks, channels, sensitive areas. Use English or German tab.</t>
  </si>
  <si>
    <t>Phase1_Discovery_MASTER (v5 EN-DE)</t>
  </si>
  <si>
    <t>Discovery findings + internal package indication</t>
  </si>
  <si>
    <t>2</t>
  </si>
  <si>
    <t>Move selected findings into Phase 2. Decide what's in MVP, Later, or Excluded.</t>
  </si>
  <si>
    <t>Phase2_Scope_MVP_Design</t>
  </si>
  <si>
    <t>Approved MVP scope</t>
  </si>
  <si>
    <t>3</t>
  </si>
  <si>
    <t>Design exact workflow, tools, data fields, routing, approvals, security.</t>
  </si>
  <si>
    <t>Phase3_Solution_Blueprint</t>
  </si>
  <si>
    <t>Build-ready blueprint</t>
  </si>
  <si>
    <t>4</t>
  </si>
  <si>
    <t>Build the MVP modules. Configure prompts, credentials, logs, error handling.</t>
  </si>
  <si>
    <t>Phase4_MVP_Build</t>
  </si>
  <si>
    <t>Working MVP</t>
  </si>
  <si>
    <t>5</t>
  </si>
  <si>
    <t>Test normal, edge, sensitive, wrong-classification, and tool-failure cases.</t>
  </si>
  <si>
    <t>Phase5_Testing_Validation</t>
  </si>
  <si>
    <t>Go / No-Go decision</t>
  </si>
  <si>
    <t>6</t>
  </si>
  <si>
    <t>Launch, monitor, support, report monthly. Improve as managed service.</t>
  </si>
  <si>
    <t>Phase6_GoLive_Managed_Service</t>
  </si>
  <si>
    <t>Live managed automation service</t>
  </si>
  <si>
    <t>7</t>
  </si>
  <si>
    <t>Manage client-facing deliverables, approval gates, and external IP boundaries.</t>
  </si>
  <si>
    <t>Phase7_Client_Communication_Deliverables</t>
  </si>
  <si>
    <t>Approval gates passed + IP guarded</t>
  </si>
  <si>
    <t>∞a</t>
  </si>
  <si>
    <t>Log every key decision and risk as they happen — not at end of phase.</t>
  </si>
  <si>
    <t>PhaseX_Decision_Log_Risk_Register</t>
  </si>
  <si>
    <t>Documented decisions/risks; cross-phase traceability</t>
  </si>
  <si>
    <t>∞b</t>
  </si>
  <si>
    <t>Reference for workflow examples, decision-tree templates, Mermaid diagrams.</t>
  </si>
  <si>
    <t>Helper_Example_Workflows_Library</t>
  </si>
  <si>
    <t>Reusable workflow patterns</t>
  </si>
  <si>
    <t>∞c</t>
  </si>
  <si>
    <t>Compute setup + monthly quotes; ROI calculator; sanity checks.</t>
  </si>
  <si>
    <t>Helper_Pricing_Calculator (v6)</t>
  </si>
  <si>
    <t>Validated quote ready for client</t>
  </si>
  <si>
    <t>∞d</t>
  </si>
  <si>
    <t>Generate client deliverable Word documents from phase data via AI.</t>
  </si>
  <si>
    <t>5 Word templates + AI_Fill_Prompt_Guide.docx</t>
  </si>
  <si>
    <t>Polished client-facing documents (PDF or DOCX)</t>
  </si>
  <si>
    <t>∞e</t>
  </si>
  <si>
    <t>Identify the correct automation category for the client's primary process. Validate package direction and align discovery and pricing inputs.</t>
  </si>
  <si>
    <t>Helper_Automation_Category_Reference</t>
  </si>
  <si>
    <t>Automation category confirmed; package direction and complexity adders aligned</t>
  </si>
  <si>
    <t>7+</t>
  </si>
  <si>
    <t>Run within 1-2 weeks of go-live. Capture lessons. Feed into next project.</t>
  </si>
  <si>
    <t>PhaseX_Project_Retrospective</t>
  </si>
  <si>
    <t>Lessons learned + framework improvement ideas</t>
  </si>
  <si>
    <t>Color legend (this index)</t>
  </si>
  <si>
    <t>Green</t>
  </si>
  <si>
    <t>Project-phase steps (Phase 1-7) — sequential workflow</t>
  </si>
  <si>
    <t>Purple</t>
  </si>
  <si>
    <t>Pre / Post-engagement lifecycle tools — bookend the project</t>
  </si>
  <si>
    <t>Yellow</t>
  </si>
  <si>
    <t>Throughout — cross-phase tools used continuously</t>
  </si>
  <si>
    <t>Grey</t>
  </si>
  <si>
    <t>Reference / fixed guidance</t>
  </si>
  <si>
    <t>Project Lifecycle Overview (Pre → 6 Phases + 7 → Post)</t>
  </si>
  <si>
    <t>The 6 working phases are the project spine. Pre/Post-engagement and Throughout-rows show the lifecycle tools that wrap around them.</t>
  </si>
  <si>
    <t>Stage</t>
  </si>
  <si>
    <t>Name</t>
  </si>
  <si>
    <t>Main Question</t>
  </si>
  <si>
    <t>Main Activity</t>
  </si>
  <si>
    <t>Primary Output</t>
  </si>
  <si>
    <t>Input From Previous</t>
  </si>
  <si>
    <t>Client-facing?</t>
  </si>
  <si>
    <t>Risk Focus</t>
  </si>
  <si>
    <t>Next Stage Trigger</t>
  </si>
  <si>
    <t>Pre-engagement</t>
  </si>
  <si>
    <t>Fit-check / Kickoff</t>
  </si>
  <si>
    <t>Should we take this project? And if yes, kick off cleanly.</t>
  </si>
  <si>
    <t>Run Fit Check on prospect; Kickoff Wizard for approved projects.</t>
  </si>
  <si>
    <t>GOOD-FIT verdict + Project Card</t>
  </si>
  <si>
    <t>Lead / inquiry / referral</t>
  </si>
  <si>
    <t>Internal</t>
  </si>
  <si>
    <t>Bad-fit clients; messy starts</t>
  </si>
  <si>
    <t>Verdict = GOOD FIT and Kickoff Card complete</t>
  </si>
  <si>
    <t>Phase 1</t>
  </si>
  <si>
    <t>Discovery / Analysis</t>
  </si>
  <si>
    <t>What does the client need?</t>
  </si>
  <si>
    <t>Interview, collect facts, identify processes, channels, data sources, risks, pains, flags.</t>
  </si>
  <si>
    <t>Discovery answers + product flags + package indication</t>
  </si>
  <si>
    <t>Pre-engagement Project Card</t>
  </si>
  <si>
    <t>Mostly internal + client interview</t>
  </si>
  <si>
    <t>Do not promise solution too early</t>
  </si>
  <si>
    <t>Discovery findings complete enough</t>
  </si>
  <si>
    <t>Phase 2</t>
  </si>
  <si>
    <t>Scope / MVP Design</t>
  </si>
  <si>
    <t>What exactly do we build first?</t>
  </si>
  <si>
    <t>Convert findings into MVP scope: Yes / Later / No.</t>
  </si>
  <si>
    <t>Approved MVP scope and boundaries</t>
  </si>
  <si>
    <t>Phase 1 findings + flags</t>
  </si>
  <si>
    <t>Can be summarized to client</t>
  </si>
  <si>
    <t>Prevent scope creep</t>
  </si>
  <si>
    <t>MVP scope approved</t>
  </si>
  <si>
    <t>Phase 3</t>
  </si>
  <si>
    <t>Solution Blueprint</t>
  </si>
  <si>
    <t>How will the automation work?</t>
  </si>
  <si>
    <t>Design workflow, data fields, routing, tools, approvals, security.</t>
  </si>
  <si>
    <t>Phase 2 scope decisions</t>
  </si>
  <si>
    <t>Partly client-facing</t>
  </si>
  <si>
    <t>Access, data, approval, fallback logic</t>
  </si>
  <si>
    <t>Blueprint signed off</t>
  </si>
  <si>
    <t>Phase 4</t>
  </si>
  <si>
    <t>MVP Build</t>
  </si>
  <si>
    <t>Can we build the first working version?</t>
  </si>
  <si>
    <t>Implement modules, prompts, credentials, CRM, logs, errors.</t>
  </si>
  <si>
    <t>Working MVP automation</t>
  </si>
  <si>
    <t>Phase 3 blueprint</t>
  </si>
  <si>
    <t>Mostly internal</t>
  </si>
  <si>
    <t>No hardcoded keys; safe build</t>
  </si>
  <si>
    <t>MVP ready for testing</t>
  </si>
  <si>
    <t>Phase 5</t>
  </si>
  <si>
    <t>Testing / Validation</t>
  </si>
  <si>
    <t>Is it safe and reliable?</t>
  </si>
  <si>
    <t>Test cases, AI validation, edge cases, errors, escalation.</t>
  </si>
  <si>
    <t>Phase 4 working MVP</t>
  </si>
  <si>
    <t>Can include client UAT</t>
  </si>
  <si>
    <t>Wrong classification, auto-action risk</t>
  </si>
  <si>
    <t>Go decision accepted</t>
  </si>
  <si>
    <t>Phase 6</t>
  </si>
  <si>
    <t>Go-live / Managed Service</t>
  </si>
  <si>
    <t>Can it run as a service?</t>
  </si>
  <si>
    <t>Launch, monitor, support, report, improve.</t>
  </si>
  <si>
    <t>Live managed service</t>
  </si>
  <si>
    <t>Phase 5 approval</t>
  </si>
  <si>
    <t>Yes</t>
  </si>
  <si>
    <t>Operations, monitoring, rollback</t>
  </si>
  <si>
    <t>Service stable for ≥1 month</t>
  </si>
  <si>
    <t>Phase 7</t>
  </si>
  <si>
    <t>Client Comms &amp; Deliverables</t>
  </si>
  <si>
    <t>Is the client always seeing the right version?</t>
  </si>
  <si>
    <t>Manage approval gates, IP boundaries, deliverable consistency.</t>
  </si>
  <si>
    <t>Outputs from every phase</t>
  </si>
  <si>
    <t>Yes — all client-facing artifacts</t>
  </si>
  <si>
    <t>Leakage of internal IP; gate skips</t>
  </si>
  <si>
    <t>Used continuously, not phase-gated</t>
  </si>
  <si>
    <t>Throughout</t>
  </si>
  <si>
    <t>Cross-phase tools</t>
  </si>
  <si>
    <t>Are decisions, risks, pricing, and workflow patterns captured cleanly?</t>
  </si>
  <si>
    <t>Update Decision Log + Risk Register as events happen. Use Pricing &amp; Workflows helpers as needed.</t>
  </si>
  <si>
    <t>Documented decisions/risks; valid quotes</t>
  </si>
  <si>
    <t>Events from every phase</t>
  </si>
  <si>
    <t>Internal (mostly)</t>
  </si>
  <si>
    <t>Undocumented decisions; forgotten risks</t>
  </si>
  <si>
    <t>Continuous — no end trigger</t>
  </si>
  <si>
    <t>Post-engagement</t>
  </si>
  <si>
    <t>Retrospective</t>
  </si>
  <si>
    <t>What did we learn? What changes for next project?</t>
  </si>
  <si>
    <t>Run within 1-2 weeks of go-live. Fill Retrospective sheet + Archive.</t>
  </si>
  <si>
    <t>Lessons + framework improvements</t>
  </si>
  <si>
    <t>Closed project</t>
  </si>
  <si>
    <t>Patterns hidden by skipped retros</t>
  </si>
  <si>
    <t>Retro complete and lessons logged</t>
  </si>
  <si>
    <t>Framework File Index (21 files)</t>
  </si>
  <si>
    <t>All files in the AI Automation PM framework, grouped by lifecycle role. Filenames use the convention: Phase0-7 for sequential phases; PhaseX for cross-phase; Helper for reference workbooks; numbered 1_ to 5_ for Word client deliverables.</t>
  </si>
  <si>
    <t>Category</t>
  </si>
  <si>
    <t>File</t>
  </si>
  <si>
    <t>Purpose</t>
  </si>
  <si>
    <t>Format</t>
  </si>
  <si>
    <t>When used</t>
  </si>
  <si>
    <t>Status</t>
  </si>
  <si>
    <t>Index</t>
  </si>
  <si>
    <t>AI_Automation_PM_Phase0_Master_Overview_Index</t>
  </si>
  <si>
    <t>Navigation hub for the framework. Lifecycle overview, file index, dashboard.</t>
  </si>
  <si>
    <t>xlsx</t>
  </si>
  <si>
    <t>Always open — your map</t>
  </si>
  <si>
    <t>In Use</t>
  </si>
  <si>
    <t>AI_Automation_PM_PhaseX_Project_Client_Fit_Check</t>
  </si>
  <si>
    <t>10-question triage. GOOD FIT / PROCEED WITH CAUTION / DECLINE verdict.</t>
  </si>
  <si>
    <t>Before saying yes to a prospect</t>
  </si>
  <si>
    <t>AI_Automation_PM_PhaseX_Project_Kickoff_Wizard_P1-2-3</t>
  </si>
  <si>
    <t>20-question intake. Project Card + Pre-Population Map for all files.</t>
  </si>
  <si>
    <t>After fit-check passes, before Phase 1</t>
  </si>
  <si>
    <t>AI_Automation_PM_Phase1_Discovery_MASTER_v5_EN-DE</t>
  </si>
  <si>
    <t>Discovery interview tools — English + German tabs.</t>
  </si>
  <si>
    <t>First client meeting + analysis</t>
  </si>
  <si>
    <t>AI_Automation_PM_Phase2_Scope_MVP_Design_v2</t>
  </si>
  <si>
    <t>MVP scope, priority scoring, in/out decisions.</t>
  </si>
  <si>
    <t>After discovery, before blueprint</t>
  </si>
  <si>
    <t>AI_Automation_PM_Phase3_Solution_Blueprint_v2</t>
  </si>
  <si>
    <t>Workflow design, routing rules, tools, security.</t>
  </si>
  <si>
    <t>After scope approval</t>
  </si>
  <si>
    <t>AI_Automation_PM_Phase4_MVP_Build_v2</t>
  </si>
  <si>
    <t>Build tracking — backlog, modules, prompts, credentials.</t>
  </si>
  <si>
    <t>During build</t>
  </si>
  <si>
    <t>AI_Automation_PM_Phase5_Testing_Validation_v2</t>
  </si>
  <si>
    <t>Test matrix, defect log, Go/No-Go checklist.</t>
  </si>
  <si>
    <t>After build complete</t>
  </si>
  <si>
    <t>AI_Automation_PM_Phase6_GoLive_Managed_Service_v2</t>
  </si>
  <si>
    <t>Go-live checklist, operations log, monthly review.</t>
  </si>
  <si>
    <t>Launch onwards (recurring)</t>
  </si>
  <si>
    <t>AI_Automation_PM_Phase7_Client_Communication_Deliverables_v2</t>
  </si>
  <si>
    <t>Approval gates, IP boundaries, deliverable policy.</t>
  </si>
  <si>
    <t>Throughout — reference for client comms</t>
  </si>
  <si>
    <t>AI_Automation_PM_PhaseX_Decision_Log_Risk_Register</t>
  </si>
  <si>
    <t>Decision Log + Risk Register with L×I → Risk Level.</t>
  </si>
  <si>
    <t>Update as events happen — all phases</t>
  </si>
  <si>
    <t>Helper</t>
  </si>
  <si>
    <t>AI_Automation_PM_Helper_Pricing_Calculator_v6</t>
  </si>
  <si>
    <t>Quote calculator, ROI tool, package reference, sanity checks.</t>
  </si>
  <si>
    <t>After Phase 1 / 2 for indicative quote</t>
  </si>
  <si>
    <t>AI_Automation_PM_Helper_Example_Workflows_Library</t>
  </si>
  <si>
    <t>Workflow patterns, Mermaid diagrams, decision-tree templates.</t>
  </si>
  <si>
    <t>Phase 3 design reference</t>
  </si>
  <si>
    <t>AI_Automation_PM_Helper_Automation_Category_Reference</t>
  </si>
  <si>
    <t>Reference guide mapping the 10 automation categories to packages, typical use cases, discovery triggers, scope examples, and pricing complexity adders. Used to confirm category direction before and during discovery.</t>
  </si>
  <si>
    <t>Phase 1–2 (category confirmation); reference throughout</t>
  </si>
  <si>
    <t>To Build</t>
  </si>
  <si>
    <t>Deliverable</t>
  </si>
  <si>
    <t>1_Discovery_Summary_TEMPLATE</t>
  </si>
  <si>
    <t>Word template — Discovery output for client.</t>
  </si>
  <si>
    <t>docx</t>
  </si>
  <si>
    <t>After Phase 1</t>
  </si>
  <si>
    <t>2_MVP_Scope_Confirmation_TEMPLATE</t>
  </si>
  <si>
    <t>Word template — MVP scope approval gate.</t>
  </si>
  <si>
    <t>After Phase 2</t>
  </si>
  <si>
    <t>3_Solution_Blueprint_Summary_TEMPLATE</t>
  </si>
  <si>
    <t>Word template — Blueprint approval gate.</t>
  </si>
  <si>
    <t>After Phase 3</t>
  </si>
  <si>
    <t>4_Test_Results_Summary_TEMPLATE</t>
  </si>
  <si>
    <t>Word template — Go/No-Go gate.</t>
  </si>
  <si>
    <t>After Phase 5</t>
  </si>
  <si>
    <t>5_Monthly_Service_Report_TEMPLATE</t>
  </si>
  <si>
    <t>Word template — Recurring managed-service report.</t>
  </si>
  <si>
    <t>Monthly during Phase 6</t>
  </si>
  <si>
    <t>AI_Fill_Prompt_Guide</t>
  </si>
  <si>
    <t>Reference for generating client deliverables from Excel data via AI.</t>
  </si>
  <si>
    <t>Whenever a deliverable needs generating</t>
  </si>
  <si>
    <t>AI_Automation_PM_PhaseX_Project_Retrospective</t>
  </si>
  <si>
    <t>Project retrospective + pattern analysis archive.</t>
  </si>
  <si>
    <t>1-2 weeks post go-live</t>
  </si>
  <si>
    <t>File Count Summary (auto)</t>
  </si>
  <si>
    <t>Total files</t>
  </si>
  <si>
    <t>Excel workbooks (xlsx)</t>
  </si>
  <si>
    <t>Word documents (docx)</t>
  </si>
  <si>
    <t>Currently in use</t>
  </si>
  <si>
    <t>Not used yet</t>
  </si>
  <si>
    <t>Skipped / archived / N/A</t>
  </si>
  <si>
    <t>Stage-to-Stage Handoff Map</t>
  </si>
  <si>
    <t>What flows from one stage to the next. The PM Control Action column shows how to keep the handoff clean (the #1 cause of project friction is bad handoffs).</t>
  </si>
  <si>
    <t>From</t>
  </si>
  <si>
    <t>To</t>
  </si>
  <si>
    <t>Transfer These Outputs</t>
  </si>
  <si>
    <t>Why It Matters</t>
  </si>
  <si>
    <t>Decision Gate</t>
  </si>
  <si>
    <t>Common Mistake</t>
  </si>
  <si>
    <t>PM Control Action</t>
  </si>
  <si>
    <t>Client Involvement</t>
  </si>
  <si>
    <t>Lead / inquiry</t>
  </si>
  <si>
    <t>Initial contact info + first impression of fit.</t>
  </si>
  <si>
    <t>Pre-screening saves wasted time on bad fits.</t>
  </si>
  <si>
    <t>Worth investing in fit check?</t>
  </si>
  <si>
    <t>Skipping the fit check on "easy" leads.</t>
  </si>
  <si>
    <t>Run the Fit Check before sending pricing.</t>
  </si>
  <si>
    <t>Low</t>
  </si>
  <si>
    <t>Project Card + Pre-Population values for kickoff data.</t>
  </si>
  <si>
    <t>Phase 1 starts informed, not from scratch.</t>
  </si>
  <si>
    <t>Fit Check = GOOD FIT and Kickoff Card filled?</t>
  </si>
  <si>
    <t>Starting discovery before kickoff is captured.</t>
  </si>
  <si>
    <t>Use Pre-Population Map; fill Master Index Mini Dashboard.</t>
  </si>
  <si>
    <t>Needs, channels, pain points, risks, product flags, package indication.</t>
  </si>
  <si>
    <t>Scope must come from real client answers.</t>
  </si>
  <si>
    <t>Enough facts to define MVP.</t>
  </si>
  <si>
    <t>Jumping directly to tool choice.</t>
  </si>
  <si>
    <t>Convert every key finding into Yes/Later/No decision.</t>
  </si>
  <si>
    <t>Medium</t>
  </si>
  <si>
    <t>Approved MVP, exclusions, boundaries, approval rules.</t>
  </si>
  <si>
    <t>Blueprint must not exceed agreed MVP.</t>
  </si>
  <si>
    <t>MVP scope is stable.</t>
  </si>
  <si>
    <t>Adding extra features during design.</t>
  </si>
  <si>
    <t>Use In/Out Scope matrix as control.</t>
  </si>
  <si>
    <t>Low / Medium</t>
  </si>
  <si>
    <t>Workflow steps, tools, data map, routing, security, monitoring design.</t>
  </si>
  <si>
    <t>Build team needs exact instructions.</t>
  </si>
  <si>
    <t>Blueprint signed off.</t>
  </si>
  <si>
    <t>Building without error handling or key plan.</t>
  </si>
  <si>
    <t>Do build checklist before implementation.</t>
  </si>
  <si>
    <t>Working modules, prompts, credentials setup, logs, known limits.</t>
  </si>
  <si>
    <t>Testing must cover real implementation.</t>
  </si>
  <si>
    <t>Build complete enough to test.</t>
  </si>
  <si>
    <t>Only testing happy path.</t>
  </si>
  <si>
    <t>Prepare edge / sensitive / error cases.</t>
  </si>
  <si>
    <t>Medium / High for UAT</t>
  </si>
  <si>
    <t>Passed tests, defects closed, go/no-go, launch constraints.</t>
  </si>
  <si>
    <t>Launch only when risks are controlled.</t>
  </si>
  <si>
    <t>Go decision accepted.</t>
  </si>
  <si>
    <t>Launching with unresolved critical defects.</t>
  </si>
  <si>
    <t>Use Go-live checklist + rollback plan.</t>
  </si>
  <si>
    <t>High</t>
  </si>
  <si>
    <t>Improvement cycle</t>
  </si>
  <si>
    <t>Monitoring results, monthly review, client feedback, failures, new needs.</t>
  </si>
  <si>
    <t>Managed service improves over time.</t>
  </si>
  <si>
    <t>Monthly review completed.</t>
  </si>
  <si>
    <t>Uncontrolled changes after launch.</t>
  </si>
  <si>
    <t>Use improvement backlog and change control.</t>
  </si>
  <si>
    <t>Final outcome, profitability, lessons, scope-creep history.</t>
  </si>
  <si>
    <t>Retros are how the framework gets sharper.</t>
  </si>
  <si>
    <t>Project is ≥1-2 weeks past go-live.</t>
  </si>
  <si>
    <t>Skipping the retro — "I'll remember."</t>
  </si>
  <si>
    <t>Run within 1-2 weeks; archive every retro.</t>
  </si>
  <si>
    <t>None (internal)</t>
  </si>
  <si>
    <t>Every phase</t>
  </si>
  <si>
    <t>PhaseX Decision Log</t>
  </si>
  <si>
    <t>Key decisions + reasoning + reversibility.</t>
  </si>
  <si>
    <t>Avoids "why did we decide that?" debates 3 months later.</t>
  </si>
  <si>
    <t>Whenever a notable decision is made.</t>
  </si>
  <si>
    <t>Logging only big decisions; small ones matter too.</t>
  </si>
  <si>
    <t>Update same-day; don't wait for phase end.</t>
  </si>
  <si>
    <t>PhaseX Risk Register</t>
  </si>
  <si>
    <t>Risk + likelihood × impact + mitigation + owner.</t>
  </si>
  <si>
    <t>Risks tracked = risks managed.</t>
  </si>
  <si>
    <t>Whenever a risk surfaces.</t>
  </si>
  <si>
    <t>Vague risks ("AI quality") instead of specific.</t>
  </si>
  <si>
    <t>Be specific. Set status. Cross-link to Defect Log when realised.</t>
  </si>
  <si>
    <t>Internal Package Logic Snapshot — aligned with Pricing Calculator</t>
  </si>
  <si>
    <t>Package names match Pricing Calculator's Package Reference exactly, so Phase 1 Quick Diagnostic outputs feed cleanly into the Quote Calculator without translation.</t>
  </si>
  <si>
    <t>Package</t>
  </si>
  <si>
    <t>Typical Use</t>
  </si>
  <si>
    <t>Discovery Triggers</t>
  </si>
  <si>
    <t>Automation Methods</t>
  </si>
  <si>
    <t>Human Approval</t>
  </si>
  <si>
    <t>Risk Boundary</t>
  </si>
  <si>
    <t>Good MVP Fit?</t>
  </si>
  <si>
    <t>Typical Output</t>
  </si>
  <si>
    <t>Notes</t>
  </si>
  <si>
    <t>Basic Intake</t>
  </si>
  <si>
    <t>Email/forms intake, rule-based routing, booking link, simple folders. Also: document or order notification routing to correct folder or owner; appointment request forwarding; basic data capture from web forms to a log.</t>
  </si>
  <si>
    <t>One/two channels or data sources; highly repetitive process; no AI needed; client simply needs it sorted, routed, and logged — nothing more.</t>
  </si>
  <si>
    <t>Rule-based routing; labels/folders; simple log.</t>
  </si>
  <si>
    <t>Optional</t>
  </si>
  <si>
    <t>No AI; no destructive action.</t>
  </si>
  <si>
    <t>Very good</t>
  </si>
  <si>
    <t>Classified and routed inquiries.</t>
  </si>
  <si>
    <t>Smallest entry point. Often a stepping-stone to Basic+.</t>
  </si>
  <si>
    <t>Basic+ AI Triage</t>
  </si>
  <si>
    <t>AI classification + CRM/Notion log + folder routing + draft support. Also: AI field extraction from invoices or intake forms; auto-categorisation of expenses or support tickets; lead scoring from inbound form data.</t>
  </si>
  <si>
    <t>Same as Basic, but client wants AI to classify, extract, or score — whether the input is a message, a document, a form, or a data record. Single input type; single AI action; human approves or reviews output.</t>
  </si>
  <si>
    <t>AI classification; CRM logging; draft preparation.</t>
  </si>
  <si>
    <t>Usually yes for first version</t>
  </si>
  <si>
    <t>No auto-send; no sensitive advice.</t>
  </si>
  <si>
    <t>Classified messages + CRM records + drafts.</t>
  </si>
  <si>
    <t>MG Red Shift-style. The sweet spot for many small businesses.</t>
  </si>
  <si>
    <t>Pro Multi-Channel</t>
  </si>
  <si>
    <t>Email + social media + AI classification + draft replies + approvals. Also: multi-source document pipeline (email + PDF + form); content repurposing and scheduling workflow; multi-step data enrichment with review gate.</t>
  </si>
  <si>
    <t>Multiple channels, data sources, or output steps; repeated patterns across them; client wants AI classification, extraction, or generation plus a structured approval step. Volume justifies the added complexity.</t>
  </si>
  <si>
    <t>AI classification; AI drafts; multi-channel triage; approval queue.</t>
  </si>
  <si>
    <t>Yes, especially outgoing replies</t>
  </si>
  <si>
    <t>No auto-send for sensitive topics.</t>
  </si>
  <si>
    <t>Good if integrations feasible</t>
  </si>
  <si>
    <t>Draft replies + central intake dashboard.</t>
  </si>
  <si>
    <t>Needs clearer channel access setup.</t>
  </si>
  <si>
    <t>Managed Operations</t>
  </si>
  <si>
    <t>Monitoring, CRM, reports, monthly improvements, ongoing support. Also: recurring KPI digest delivery; finance reconciliation runs; content calendar management; support ticket monitoring with sentiment escalation.</t>
  </si>
  <si>
    <t>Client wants reliable, recurring automation with oversight — no missed items, structured reporting, and continuous improvement. Applicable to any automation category once core deployment is stable.</t>
  </si>
  <si>
    <t>CRM workflows; reporting; reminders; audit logs; monthly optimization.</t>
  </si>
  <si>
    <t>Depends on use case</t>
  </si>
  <si>
    <t>Operational reliability and accountability.</t>
  </si>
  <si>
    <t>Good after Basic/Pro stable</t>
  </si>
  <si>
    <t>Managed operations dashboard.</t>
  </si>
  <si>
    <t>Best recurring revenue layer.</t>
  </si>
  <si>
    <t>Agentic Automation</t>
  </si>
  <si>
    <t>Calendar/CRM actions; multi-step decisions; audit and governance. Also: document approval chains with conditional branching; lead routing based on score + rep availability; scheduled financial exception checks; content publishing sequences with conditional logic.</t>
  </si>
  <si>
    <t>Client wants AI to make conditional decisions and take downstream actions — calendar, CRM, documents, finance, or content. Goes beyond classification or extraction into controlled, audited execution across multiple systems.</t>
  </si>
  <si>
    <t>Agentic calendar/CRM actions; conditional workflows; approval gates.</t>
  </si>
  <si>
    <t>Strictly required at start</t>
  </si>
  <si>
    <t>High risk if uncontrolled.</t>
  </si>
  <si>
    <t>Usually later, not first MVP</t>
  </si>
  <si>
    <t>Controlled action automation.</t>
  </si>
  <si>
    <t>Introduce only after trust &amp; testing.</t>
  </si>
  <si>
    <t>Build-and-Transfer</t>
  </si>
  <si>
    <t>Automation built in client workspace and handed over. Applicable to any automation category when client requires full IP and operational ownership post-handover.</t>
  </si>
  <si>
    <t>Client insists on full ownership and IP transfer, regardless of automation category. Commercial or legal position drives the package choice, not the automation type.</t>
  </si>
  <si>
    <t>Depends on agreed workflow; built in client's account.</t>
  </si>
  <si>
    <t>Per scope</t>
  </si>
  <si>
    <t>Client takes operational risk after handover.</t>
  </si>
  <si>
    <t>Specialist case</t>
  </si>
  <si>
    <t>Full Make scenario + documentation.</t>
  </si>
  <si>
    <t>Use 1.5x–3x setup multiplier; verify Fit Check first.</t>
  </si>
  <si>
    <t>Project Control Mini Dashboard</t>
  </si>
  <si>
    <t>Live project status — phases, dashboard fields, and cross-phase tool usage. The Kickoff Wizard's Pre-Population Map fills B4–B13 for you (rows 4-13). The 6-phase tracker stays as the project progress spine.</t>
  </si>
  <si>
    <t>Control Item</t>
  </si>
  <si>
    <t>Current Value / Notes</t>
  </si>
  <si>
    <t>Update When</t>
  </si>
  <si>
    <t>Client Name</t>
  </si>
  <si>
    <t>At project start</t>
  </si>
  <si>
    <t>Project Name</t>
  </si>
  <si>
    <t>Current Phase</t>
  </si>
  <si>
    <t>Weekly or after phase gate</t>
  </si>
  <si>
    <t>Package Direction</t>
  </si>
  <si>
    <t>After Phase 1 or Phase 2</t>
  </si>
  <si>
    <t>Primary Automation Type</t>
  </si>
  <si>
    <t>After Phase 1 — select from 10 categories</t>
  </si>
  <si>
    <t>MVP Statement</t>
  </si>
  <si>
    <t>Go-live Target</t>
  </si>
  <si>
    <t>After Phase 4 or 5</t>
  </si>
  <si>
    <t>Main Risk</t>
  </si>
  <si>
    <t>Next Action</t>
  </si>
  <si>
    <t>Every meeting</t>
  </si>
  <si>
    <t>Owner</t>
  </si>
  <si>
    <t>Phase Progress Tracker (6-phase project spine)</t>
  </si>
  <si>
    <t>Update Status as each phase progresses. Start/End dates and notes are optional but useful for retrospectives.</t>
  </si>
  <si>
    <t>Phase</t>
  </si>
  <si>
    <t>Start Date</t>
  </si>
  <si>
    <t>End Date</t>
  </si>
  <si>
    <t>Notes / Open Issues</t>
  </si>
  <si>
    <t>Phase 1 — Discovery / Analysis</t>
  </si>
  <si>
    <t>Not Started</t>
  </si>
  <si>
    <t>Phase 2 — Scope / MVP Design</t>
  </si>
  <si>
    <t>Phase 3 — Solution Blueprint</t>
  </si>
  <si>
    <t>Phase 4 — MVP Build</t>
  </si>
  <si>
    <t>Phase 5 — Testing / Validation</t>
  </si>
  <si>
    <t>Phase 6 — Go-live / Managed Service</t>
  </si>
  <si>
    <t>Lifecycle Tools Status (cross-phase tool usage)</t>
  </si>
  <si>
    <t>Track which lifecycle tools have been used for THIS project. Helps ensure nothing slips between the phases.</t>
  </si>
  <si>
    <t>Tool</t>
  </si>
  <si>
    <t>Done Date</t>
  </si>
  <si>
    <t>By Whom</t>
  </si>
  <si>
    <t>Fit Check (PhaseX_Project_Client_Fit_Check)</t>
  </si>
  <si>
    <t>Pre-engagement triage; verdict logged.</t>
  </si>
  <si>
    <t>Kickoff Wizard (PhaseX_Project_Kickoff_Wizard)</t>
  </si>
  <si>
    <t>20-question intake + Project Card.</t>
  </si>
  <si>
    <t>Decision Log + Risk Register (PhaseX)</t>
  </si>
  <si>
    <t>Updated throughout the project.</t>
  </si>
  <si>
    <t>Pricing Calculator (Helper)</t>
  </si>
  <si>
    <t>Quote computed; sanity checks passed.</t>
  </si>
  <si>
    <t>Workflows Library (Helper)</t>
  </si>
  <si>
    <t>Referenced during Phase 3 design.</t>
  </si>
  <si>
    <t>Client Deliverables (5 Word templates)</t>
  </si>
  <si>
    <t>Sent at each approval gate.</t>
  </si>
  <si>
    <t>AI-Fill Prompt Guide</t>
  </si>
  <si>
    <t>Used to generate client deliverables.</t>
  </si>
  <si>
    <t>Retrospective (PhaseX_Project_Retrospective)</t>
  </si>
  <si>
    <t>Post-engagement, 1-2 weeks after go-live.</t>
  </si>
  <si>
    <t>Project at a Glance (auto-computed)</t>
  </si>
  <si>
    <t>Indicator</t>
  </si>
  <si>
    <t>Value</t>
  </si>
  <si>
    <t>Phases — Not Started</t>
  </si>
  <si>
    <t>Phases not yet begun.</t>
  </si>
  <si>
    <t>Phases — In Progress</t>
  </si>
  <si>
    <t>Phases currently underway.</t>
  </si>
  <si>
    <t>Phases — Done</t>
  </si>
  <si>
    <t>Phases completed.</t>
  </si>
  <si>
    <t>Phases — Blocked</t>
  </si>
  <si>
    <t>Phases blocked — needs resolution.</t>
  </si>
  <si>
    <t>Phases — Skipped</t>
  </si>
  <si>
    <t>Phases intentionally skipped (rare).</t>
  </si>
  <si>
    <t>Lifecycle Tools — Done</t>
  </si>
  <si>
    <t>Cross-phase tools completed.</t>
  </si>
  <si>
    <t>Lifecycle Tools — In Progress</t>
  </si>
  <si>
    <t>Currently active.</t>
  </si>
  <si>
    <t>Lifecycle Tools — Not Started</t>
  </si>
  <si>
    <t>Yet to be used.</t>
  </si>
  <si>
    <t>Dashboard fields filled</t>
  </si>
  <si>
    <t>Out of 10 dashboard fields. &lt;10 means some are blank.</t>
  </si>
  <si>
    <t>Dashboard completeness</t>
  </si>
  <si>
    <t>Empty / Partial / Complete.</t>
  </si>
  <si>
    <t>Currently in</t>
  </si>
  <si>
    <t>Derived from Phase Progress Tracker.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</si>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</sst>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2"/>
      <charset val="1"/>
    </font>
    <font>
      <b/>
      <sz val="11"/>
      <name val="Calibri"/>
      <family val="2"/>
    </font>
    <font>
      <sz val="11"/>
      <name val="Calibri"/>
      <family val="2"/>
    </font>
    <font>
      <b/>
      <sz val="13"/>
      <color rgb="FF000000"/>
      <name val="Calibri"/>
      <family val="2"/>
      <charset val="1"/>
    </font>
    <font>
      <b/>
      <sz val="14"/>
      <color rgb="FFFFFFFF"/>
      <name val="Calibri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7E6E6"/>
        <bgColor rgb="FFE2F0D9"/>
      </patternFill>
    </fill>
    <fill>
      <patternFill patternType="solid">
        <fgColor rgb="FFE4D5F4"/>
        <bgColor rgb="FFE7E6E6"/>
      </patternFill>
    </fill>
    <fill>
      <patternFill patternType="solid">
        <fgColor rgb="FFE2F0D9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AF7"/>
        <bgColor rgb="FFE7E6E6"/>
      </patternFill>
    </fill>
    <fill>
      <patternFill patternType="solid">
        <fgColor rgb="FF1F4E78"/>
        <bgColor rgb="FF305496"/>
      </patternFill>
    </fill>
    <fill>
      <patternFill patternType="solid">
        <fgColor theme="5" tint="0.79998168889431442"/>
        <bgColor rgb="FFE7E6E6"/>
      </patternFill>
    </fill>
    <fill>
      <patternFill patternType="solid">
        <fgColor theme="5" tint="0.79998168889431442"/>
        <bgColor rgb="FFE2F0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top" wrapText="1"/>
    </xf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2" borderId="1" xfId="0" applyFill="1" applyBorder="1"/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top"/>
    </xf>
    <xf numFmtId="0" fontId="6" fillId="2" borderId="0" xfId="0" applyFont="1" applyFill="1" applyAlignment="1">
      <alignment horizontal="left" vertical="top"/>
    </xf>
    <xf numFmtId="0" fontId="8" fillId="8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vertical="center"/>
    </xf>
    <xf numFmtId="0" fontId="9" fillId="4" borderId="1" xfId="0" applyFont="1" applyFill="1" applyBorder="1"/>
    <xf numFmtId="0" fontId="9" fillId="3" borderId="1" xfId="0" applyFont="1" applyFill="1" applyBorder="1"/>
    <xf numFmtId="0" fontId="9" fillId="5" borderId="1" xfId="0" applyFont="1" applyFill="1" applyBorder="1"/>
    <xf numFmtId="0" fontId="9" fillId="2" borderId="1" xfId="0" applyFont="1" applyFill="1" applyBorder="1"/>
    <xf numFmtId="0" fontId="7" fillId="5" borderId="0" xfId="0" applyFont="1" applyFill="1" applyAlignment="1">
      <alignment vertical="center" wrapText="1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/>
    <xf numFmtId="0" fontId="6" fillId="2" borderId="1" xfId="0" applyFont="1" applyFill="1" applyBorder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2" xfId="0" applyFont="1" applyBorder="1" applyAlignment="1">
      <alignment vertical="top"/>
    </xf>
    <xf numFmtId="0" fontId="3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/>
    </xf>
    <xf numFmtId="0" fontId="11" fillId="0" borderId="0" xfId="0" applyFont="1"/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4D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120" zoomScaleNormal="120" workbookViewId="0"/>
  </sheetViews>
  <sheetFormatPr baseColWidth="10" defaultColWidth="8.6640625" defaultRowHeight="21" customHeight="1" x14ac:dyDescent="0.2"/>
  <cols>
    <col min="1" max="1" width="7" customWidth="1"/>
    <col min="2" max="4" width="34.83203125" customWidth="1"/>
  </cols>
  <sheetData>
    <row r="1" spans="1:4" ht="34" customHeight="1" x14ac:dyDescent="0.2">
      <c r="A1" s="36" t="s">
        <v>0</v>
      </c>
      <c r="B1" s="36"/>
      <c r="C1" s="36"/>
      <c r="D1" s="36"/>
    </row>
    <row r="2" spans="1:4" ht="55" customHeight="1" x14ac:dyDescent="0.2">
      <c r="A2" s="57" t="s">
        <v>1</v>
      </c>
      <c r="B2" s="57"/>
      <c r="C2" s="57"/>
      <c r="D2" s="57"/>
    </row>
    <row r="4" spans="1:4" ht="21" customHeight="1" x14ac:dyDescent="0.2">
      <c r="A4" s="2" t="s">
        <v>2</v>
      </c>
      <c r="B4" s="2" t="s">
        <v>3</v>
      </c>
      <c r="C4" s="2" t="s">
        <v>4</v>
      </c>
      <c r="D4" s="2" t="s">
        <v>5</v>
      </c>
    </row>
    <row r="5" spans="1:4" ht="34" customHeight="1" x14ac:dyDescent="0.2">
      <c r="A5" s="3" t="s">
        <v>6</v>
      </c>
      <c r="B5" s="4" t="s">
        <v>7</v>
      </c>
      <c r="C5" s="5" t="s">
        <v>8</v>
      </c>
      <c r="D5" s="6" t="s">
        <v>9</v>
      </c>
    </row>
    <row r="6" spans="1:4" ht="34" customHeight="1" x14ac:dyDescent="0.2">
      <c r="A6" s="3" t="s">
        <v>10</v>
      </c>
      <c r="B6" s="4" t="s">
        <v>11</v>
      </c>
      <c r="C6" s="5" t="s">
        <v>12</v>
      </c>
      <c r="D6" s="6" t="s">
        <v>13</v>
      </c>
    </row>
    <row r="7" spans="1:4" ht="34" customHeight="1" x14ac:dyDescent="0.2">
      <c r="A7" s="7" t="s">
        <v>14</v>
      </c>
      <c r="B7" s="4" t="s">
        <v>15</v>
      </c>
      <c r="C7" s="5" t="s">
        <v>16</v>
      </c>
      <c r="D7" s="6" t="s">
        <v>17</v>
      </c>
    </row>
    <row r="8" spans="1:4" ht="34" customHeight="1" x14ac:dyDescent="0.2">
      <c r="A8" s="7" t="s">
        <v>18</v>
      </c>
      <c r="B8" s="4" t="s">
        <v>19</v>
      </c>
      <c r="C8" s="5" t="s">
        <v>20</v>
      </c>
      <c r="D8" s="6" t="s">
        <v>21</v>
      </c>
    </row>
    <row r="9" spans="1:4" ht="34" customHeight="1" x14ac:dyDescent="0.2">
      <c r="A9" s="7" t="s">
        <v>22</v>
      </c>
      <c r="B9" s="4" t="s">
        <v>23</v>
      </c>
      <c r="C9" s="5" t="s">
        <v>24</v>
      </c>
      <c r="D9" s="6" t="s">
        <v>25</v>
      </c>
    </row>
    <row r="10" spans="1:4" ht="34" customHeight="1" x14ac:dyDescent="0.2">
      <c r="A10" s="7" t="s">
        <v>26</v>
      </c>
      <c r="B10" s="4" t="s">
        <v>27</v>
      </c>
      <c r="C10" s="5" t="s">
        <v>28</v>
      </c>
      <c r="D10" s="6" t="s">
        <v>29</v>
      </c>
    </row>
    <row r="11" spans="1:4" ht="34" customHeight="1" x14ac:dyDescent="0.2">
      <c r="A11" s="7" t="s">
        <v>30</v>
      </c>
      <c r="B11" s="4" t="s">
        <v>31</v>
      </c>
      <c r="C11" s="5" t="s">
        <v>32</v>
      </c>
      <c r="D11" s="6" t="s">
        <v>33</v>
      </c>
    </row>
    <row r="12" spans="1:4" ht="34" customHeight="1" x14ac:dyDescent="0.2">
      <c r="A12" s="7" t="s">
        <v>34</v>
      </c>
      <c r="B12" s="4" t="s">
        <v>35</v>
      </c>
      <c r="C12" s="5" t="s">
        <v>36</v>
      </c>
      <c r="D12" s="6" t="s">
        <v>37</v>
      </c>
    </row>
    <row r="13" spans="1:4" ht="34" customHeight="1" x14ac:dyDescent="0.2">
      <c r="A13" s="7" t="s">
        <v>38</v>
      </c>
      <c r="B13" s="4" t="s">
        <v>39</v>
      </c>
      <c r="C13" s="5" t="s">
        <v>40</v>
      </c>
      <c r="D13" s="6" t="s">
        <v>41</v>
      </c>
    </row>
    <row r="14" spans="1:4" ht="34" customHeight="1" x14ac:dyDescent="0.2">
      <c r="A14" s="8" t="s">
        <v>42</v>
      </c>
      <c r="B14" s="4" t="s">
        <v>43</v>
      </c>
      <c r="C14" s="5" t="s">
        <v>44</v>
      </c>
      <c r="D14" s="6" t="s">
        <v>45</v>
      </c>
    </row>
    <row r="15" spans="1:4" ht="34" customHeight="1" x14ac:dyDescent="0.2">
      <c r="A15" s="8" t="s">
        <v>46</v>
      </c>
      <c r="B15" s="4" t="s">
        <v>47</v>
      </c>
      <c r="C15" s="5" t="s">
        <v>48</v>
      </c>
      <c r="D15" s="6" t="s">
        <v>49</v>
      </c>
    </row>
    <row r="16" spans="1:4" ht="34" customHeight="1" x14ac:dyDescent="0.2">
      <c r="A16" s="8" t="s">
        <v>50</v>
      </c>
      <c r="B16" s="4" t="s">
        <v>51</v>
      </c>
      <c r="C16" s="5" t="s">
        <v>52</v>
      </c>
      <c r="D16" s="6" t="s">
        <v>53</v>
      </c>
    </row>
    <row r="17" spans="1:4" ht="34" customHeight="1" x14ac:dyDescent="0.2">
      <c r="A17" s="8" t="s">
        <v>54</v>
      </c>
      <c r="B17" s="4" t="s">
        <v>55</v>
      </c>
      <c r="C17" s="5" t="s">
        <v>56</v>
      </c>
      <c r="D17" s="6" t="s">
        <v>57</v>
      </c>
    </row>
    <row r="18" spans="1:4" ht="34" customHeight="1" x14ac:dyDescent="0.2">
      <c r="A18" s="8" t="s">
        <v>58</v>
      </c>
      <c r="B18" s="9" t="s">
        <v>59</v>
      </c>
      <c r="C18" s="9" t="s">
        <v>60</v>
      </c>
      <c r="D18" s="9" t="s">
        <v>61</v>
      </c>
    </row>
    <row r="19" spans="1:4" ht="34" customHeight="1" x14ac:dyDescent="0.2">
      <c r="A19" s="3" t="s">
        <v>62</v>
      </c>
      <c r="B19" s="4" t="s">
        <v>63</v>
      </c>
      <c r="C19" s="5" t="s">
        <v>64</v>
      </c>
      <c r="D19" s="6" t="s">
        <v>65</v>
      </c>
    </row>
    <row r="21" spans="1:4" ht="21" customHeight="1" x14ac:dyDescent="0.2">
      <c r="A21" s="1"/>
      <c r="B21" s="1"/>
      <c r="C21" s="1"/>
      <c r="D21" s="1"/>
    </row>
    <row r="22" spans="1:4" ht="21" customHeight="1" x14ac:dyDescent="0.2">
      <c r="A22" s="39" t="s">
        <v>66</v>
      </c>
      <c r="B22" s="38"/>
      <c r="C22" s="38"/>
      <c r="D22" s="38"/>
    </row>
    <row r="23" spans="1:4" ht="21" customHeight="1" x14ac:dyDescent="0.2">
      <c r="A23" s="10"/>
      <c r="B23" s="40" t="s">
        <v>67</v>
      </c>
      <c r="C23" s="10" t="s">
        <v>68</v>
      </c>
      <c r="D23" s="10"/>
    </row>
    <row r="24" spans="1:4" ht="21" customHeight="1" x14ac:dyDescent="0.2">
      <c r="A24" s="11"/>
      <c r="B24" s="41" t="s">
        <v>69</v>
      </c>
      <c r="C24" s="11" t="s">
        <v>70</v>
      </c>
      <c r="D24" s="11"/>
    </row>
    <row r="25" spans="1:4" ht="21" customHeight="1" x14ac:dyDescent="0.2">
      <c r="A25" s="12"/>
      <c r="B25" s="42" t="s">
        <v>71</v>
      </c>
      <c r="C25" s="12" t="s">
        <v>72</v>
      </c>
      <c r="D25" s="12"/>
    </row>
    <row r="26" spans="1:4" ht="21" customHeight="1" x14ac:dyDescent="0.2">
      <c r="A26" s="13"/>
      <c r="B26" s="43" t="s">
        <v>73</v>
      </c>
      <c r="C26" s="13" t="s">
        <v>74</v>
      </c>
      <c r="D26" s="13"/>
    </row>
  </sheetData>
  <mergeCells count="2">
    <mergeCell ref="A2:D2"/>
    <mergeCell ref="A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zoomScale="120" zoomScaleNormal="120" workbookViewId="0"/>
  </sheetViews>
  <sheetFormatPr baseColWidth="10" defaultColWidth="8.6640625" defaultRowHeight="21" customHeight="1" x14ac:dyDescent="0.2"/>
  <cols>
    <col min="1" max="1" width="11" customWidth="1"/>
    <col min="2" max="2" width="22" customWidth="1"/>
    <col min="3" max="3" width="28" customWidth="1"/>
    <col min="4" max="4" width="30" customWidth="1"/>
    <col min="5" max="5" width="26" customWidth="1"/>
    <col min="6" max="6" width="22" customWidth="1"/>
    <col min="7" max="7" width="16" customWidth="1"/>
    <col min="8" max="9" width="28" customWidth="1"/>
  </cols>
  <sheetData>
    <row r="1" spans="1:9" ht="34" customHeight="1" x14ac:dyDescent="0.2">
      <c r="A1" s="36" t="s">
        <v>75</v>
      </c>
      <c r="B1" s="36"/>
      <c r="C1" s="36"/>
      <c r="D1" s="36"/>
      <c r="E1" s="36"/>
      <c r="F1" s="36"/>
      <c r="G1" s="36"/>
      <c r="H1" s="36"/>
      <c r="I1" s="36"/>
    </row>
    <row r="2" spans="1:9" ht="21" customHeight="1" x14ac:dyDescent="0.2">
      <c r="A2" s="49" t="s">
        <v>76</v>
      </c>
      <c r="B2" s="46"/>
      <c r="C2" s="46"/>
      <c r="D2" s="46"/>
      <c r="E2" s="46"/>
      <c r="F2" s="46"/>
      <c r="G2" s="46"/>
      <c r="H2" s="46"/>
      <c r="I2" s="46"/>
    </row>
    <row r="4" spans="1:9" ht="21" customHeight="1" x14ac:dyDescent="0.2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  <c r="F4" s="2" t="s">
        <v>82</v>
      </c>
      <c r="G4" s="2" t="s">
        <v>83</v>
      </c>
      <c r="H4" s="2" t="s">
        <v>84</v>
      </c>
      <c r="I4" s="2" t="s">
        <v>85</v>
      </c>
    </row>
    <row r="5" spans="1:9" ht="55" customHeight="1" x14ac:dyDescent="0.2">
      <c r="A5" s="54" t="s">
        <v>86</v>
      </c>
      <c r="B5" s="14" t="s">
        <v>87</v>
      </c>
      <c r="C5" s="14" t="s">
        <v>88</v>
      </c>
      <c r="D5" s="14" t="s">
        <v>89</v>
      </c>
      <c r="E5" s="14" t="s">
        <v>90</v>
      </c>
      <c r="F5" s="14" t="s">
        <v>91</v>
      </c>
      <c r="G5" s="14" t="s">
        <v>92</v>
      </c>
      <c r="H5" s="14" t="s">
        <v>93</v>
      </c>
      <c r="I5" s="14" t="s">
        <v>94</v>
      </c>
    </row>
    <row r="6" spans="1:9" ht="55" customHeight="1" x14ac:dyDescent="0.2">
      <c r="A6" s="55" t="s">
        <v>95</v>
      </c>
      <c r="B6" s="15" t="s">
        <v>96</v>
      </c>
      <c r="C6" s="15" t="s">
        <v>97</v>
      </c>
      <c r="D6" s="16" t="s">
        <v>98</v>
      </c>
      <c r="E6" s="15" t="s">
        <v>99</v>
      </c>
      <c r="F6" s="15" t="s">
        <v>100</v>
      </c>
      <c r="G6" s="15" t="s">
        <v>101</v>
      </c>
      <c r="H6" s="15" t="s">
        <v>102</v>
      </c>
      <c r="I6" s="15" t="s">
        <v>103</v>
      </c>
    </row>
    <row r="7" spans="1:9" ht="55" customHeight="1" x14ac:dyDescent="0.2">
      <c r="A7" s="55" t="s">
        <v>104</v>
      </c>
      <c r="B7" s="15" t="s">
        <v>105</v>
      </c>
      <c r="C7" s="15" t="s">
        <v>106</v>
      </c>
      <c r="D7" s="15" t="s">
        <v>107</v>
      </c>
      <c r="E7" s="15" t="s">
        <v>108</v>
      </c>
      <c r="F7" s="15" t="s">
        <v>109</v>
      </c>
      <c r="G7" s="15" t="s">
        <v>110</v>
      </c>
      <c r="H7" s="15" t="s">
        <v>111</v>
      </c>
      <c r="I7" s="15" t="s">
        <v>112</v>
      </c>
    </row>
    <row r="8" spans="1:9" ht="55" customHeight="1" x14ac:dyDescent="0.2">
      <c r="A8" s="55" t="s">
        <v>113</v>
      </c>
      <c r="B8" s="15" t="s">
        <v>114</v>
      </c>
      <c r="C8" s="15" t="s">
        <v>115</v>
      </c>
      <c r="D8" s="15" t="s">
        <v>116</v>
      </c>
      <c r="E8" s="15" t="s">
        <v>25</v>
      </c>
      <c r="F8" s="15" t="s">
        <v>117</v>
      </c>
      <c r="G8" s="15" t="s">
        <v>118</v>
      </c>
      <c r="H8" s="15" t="s">
        <v>119</v>
      </c>
      <c r="I8" s="15" t="s">
        <v>120</v>
      </c>
    </row>
    <row r="9" spans="1:9" ht="55" customHeight="1" x14ac:dyDescent="0.2">
      <c r="A9" s="55" t="s">
        <v>121</v>
      </c>
      <c r="B9" s="15" t="s">
        <v>122</v>
      </c>
      <c r="C9" s="15" t="s">
        <v>123</v>
      </c>
      <c r="D9" s="15" t="s">
        <v>124</v>
      </c>
      <c r="E9" s="15" t="s">
        <v>125</v>
      </c>
      <c r="F9" s="15" t="s">
        <v>126</v>
      </c>
      <c r="G9" s="15" t="s">
        <v>127</v>
      </c>
      <c r="H9" s="15" t="s">
        <v>128</v>
      </c>
      <c r="I9" s="15" t="s">
        <v>129</v>
      </c>
    </row>
    <row r="10" spans="1:9" ht="55" customHeight="1" x14ac:dyDescent="0.2">
      <c r="A10" s="55" t="s">
        <v>130</v>
      </c>
      <c r="B10" s="15" t="s">
        <v>131</v>
      </c>
      <c r="C10" s="15" t="s">
        <v>132</v>
      </c>
      <c r="D10" s="15" t="s">
        <v>133</v>
      </c>
      <c r="E10" s="15" t="s">
        <v>33</v>
      </c>
      <c r="F10" s="15" t="s">
        <v>134</v>
      </c>
      <c r="G10" s="15" t="s">
        <v>135</v>
      </c>
      <c r="H10" s="15" t="s">
        <v>136</v>
      </c>
      <c r="I10" s="15" t="s">
        <v>137</v>
      </c>
    </row>
    <row r="11" spans="1:9" ht="55" customHeight="1" x14ac:dyDescent="0.2">
      <c r="A11" s="55" t="s">
        <v>138</v>
      </c>
      <c r="B11" s="15" t="s">
        <v>139</v>
      </c>
      <c r="C11" s="15" t="s">
        <v>140</v>
      </c>
      <c r="D11" s="15" t="s">
        <v>141</v>
      </c>
      <c r="E11" s="15" t="s">
        <v>142</v>
      </c>
      <c r="F11" s="15" t="s">
        <v>143</v>
      </c>
      <c r="G11" s="15" t="s">
        <v>144</v>
      </c>
      <c r="H11" s="15" t="s">
        <v>145</v>
      </c>
      <c r="I11" s="15" t="s">
        <v>146</v>
      </c>
    </row>
    <row r="12" spans="1:9" ht="55" customHeight="1" x14ac:dyDescent="0.2">
      <c r="A12" s="55" t="s">
        <v>147</v>
      </c>
      <c r="B12" s="15" t="s">
        <v>148</v>
      </c>
      <c r="C12" s="15" t="s">
        <v>149</v>
      </c>
      <c r="D12" s="15" t="s">
        <v>150</v>
      </c>
      <c r="E12" s="15" t="s">
        <v>41</v>
      </c>
      <c r="F12" s="15" t="s">
        <v>151</v>
      </c>
      <c r="G12" s="15" t="s">
        <v>152</v>
      </c>
      <c r="H12" s="15" t="s">
        <v>153</v>
      </c>
      <c r="I12" s="15" t="s">
        <v>154</v>
      </c>
    </row>
    <row r="13" spans="1:9" ht="55" customHeight="1" x14ac:dyDescent="0.2">
      <c r="A13" s="56" t="s">
        <v>155</v>
      </c>
      <c r="B13" s="17" t="s">
        <v>156</v>
      </c>
      <c r="C13" s="17" t="s">
        <v>157</v>
      </c>
      <c r="D13" s="17" t="s">
        <v>158</v>
      </c>
      <c r="E13" s="17" t="s">
        <v>159</v>
      </c>
      <c r="F13" s="17" t="s">
        <v>160</v>
      </c>
      <c r="G13" s="17" t="s">
        <v>161</v>
      </c>
      <c r="H13" s="17" t="s">
        <v>162</v>
      </c>
      <c r="I13" s="17" t="s">
        <v>163</v>
      </c>
    </row>
    <row r="14" spans="1:9" ht="55" customHeight="1" x14ac:dyDescent="0.2">
      <c r="A14" s="54" t="s">
        <v>164</v>
      </c>
      <c r="B14" s="14" t="s">
        <v>165</v>
      </c>
      <c r="C14" s="14" t="s">
        <v>166</v>
      </c>
      <c r="D14" s="14" t="s">
        <v>167</v>
      </c>
      <c r="E14" s="14" t="s">
        <v>168</v>
      </c>
      <c r="F14" s="14" t="s">
        <v>169</v>
      </c>
      <c r="G14" s="14" t="s">
        <v>92</v>
      </c>
      <c r="H14" s="14" t="s">
        <v>170</v>
      </c>
      <c r="I14" s="14" t="s">
        <v>171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zoomScale="120" zoomScaleNormal="120" workbookViewId="0"/>
  </sheetViews>
  <sheetFormatPr baseColWidth="10" defaultColWidth="8.6640625" defaultRowHeight="21" customHeight="1" x14ac:dyDescent="0.2"/>
  <cols>
    <col min="1" max="1" width="18" customWidth="1"/>
    <col min="2" max="2" width="55" customWidth="1"/>
    <col min="3" max="3" width="42" customWidth="1"/>
    <col min="4" max="4" width="8" customWidth="1"/>
    <col min="5" max="5" width="34.83203125" customWidth="1"/>
    <col min="6" max="6" width="14" customWidth="1"/>
  </cols>
  <sheetData>
    <row r="1" spans="1:6" ht="34" customHeight="1" x14ac:dyDescent="0.2">
      <c r="A1" s="36" t="s">
        <v>172</v>
      </c>
      <c r="B1" s="36"/>
      <c r="C1" s="36"/>
      <c r="D1" s="36"/>
      <c r="E1" s="36"/>
      <c r="F1" s="36"/>
    </row>
    <row r="2" spans="1:6" ht="21" customHeight="1" x14ac:dyDescent="0.2">
      <c r="A2" s="49" t="s">
        <v>173</v>
      </c>
      <c r="B2" s="49"/>
      <c r="C2" s="49"/>
      <c r="D2" s="49"/>
      <c r="E2" s="49"/>
      <c r="F2" s="49"/>
    </row>
    <row r="4" spans="1:6" ht="21" customHeight="1" x14ac:dyDescent="0.2">
      <c r="A4" s="37" t="s">
        <v>174</v>
      </c>
      <c r="B4" s="37" t="s">
        <v>175</v>
      </c>
      <c r="C4" s="37" t="s">
        <v>176</v>
      </c>
      <c r="D4" s="37" t="s">
        <v>177</v>
      </c>
      <c r="E4" s="37" t="s">
        <v>178</v>
      </c>
      <c r="F4" s="37" t="s">
        <v>179</v>
      </c>
    </row>
    <row r="5" spans="1:6" ht="21" customHeight="1" x14ac:dyDescent="0.2">
      <c r="A5" s="2" t="s">
        <v>180</v>
      </c>
      <c r="B5" s="18" t="s">
        <v>181</v>
      </c>
      <c r="C5" s="4" t="s">
        <v>182</v>
      </c>
      <c r="D5" s="19" t="s">
        <v>183</v>
      </c>
      <c r="E5" s="6" t="s">
        <v>184</v>
      </c>
      <c r="F5" s="20" t="s">
        <v>185</v>
      </c>
    </row>
    <row r="6" spans="1:6" ht="21" customHeight="1" x14ac:dyDescent="0.2">
      <c r="A6" s="3" t="s">
        <v>86</v>
      </c>
      <c r="B6" s="18" t="s">
        <v>186</v>
      </c>
      <c r="C6" s="4" t="s">
        <v>187</v>
      </c>
      <c r="D6" s="19" t="s">
        <v>183</v>
      </c>
      <c r="E6" s="6" t="s">
        <v>188</v>
      </c>
      <c r="F6" s="20" t="s">
        <v>185</v>
      </c>
    </row>
    <row r="7" spans="1:6" ht="21" customHeight="1" x14ac:dyDescent="0.2">
      <c r="A7" s="3" t="s">
        <v>86</v>
      </c>
      <c r="B7" s="18" t="s">
        <v>189</v>
      </c>
      <c r="C7" s="4" t="s">
        <v>190</v>
      </c>
      <c r="D7" s="19" t="s">
        <v>183</v>
      </c>
      <c r="E7" s="6" t="s">
        <v>191</v>
      </c>
      <c r="F7" s="20" t="s">
        <v>185</v>
      </c>
    </row>
    <row r="8" spans="1:6" ht="21" customHeight="1" x14ac:dyDescent="0.2">
      <c r="A8" s="7" t="s">
        <v>95</v>
      </c>
      <c r="B8" s="18" t="s">
        <v>192</v>
      </c>
      <c r="C8" s="4" t="s">
        <v>193</v>
      </c>
      <c r="D8" s="19" t="s">
        <v>183</v>
      </c>
      <c r="E8" s="6" t="s">
        <v>194</v>
      </c>
      <c r="F8" s="20" t="s">
        <v>185</v>
      </c>
    </row>
    <row r="9" spans="1:6" ht="21" customHeight="1" x14ac:dyDescent="0.2">
      <c r="A9" s="7" t="s">
        <v>104</v>
      </c>
      <c r="B9" s="18" t="s">
        <v>195</v>
      </c>
      <c r="C9" s="4" t="s">
        <v>196</v>
      </c>
      <c r="D9" s="19" t="s">
        <v>183</v>
      </c>
      <c r="E9" s="6" t="s">
        <v>197</v>
      </c>
      <c r="F9" s="20" t="s">
        <v>185</v>
      </c>
    </row>
    <row r="10" spans="1:6" ht="21" customHeight="1" x14ac:dyDescent="0.2">
      <c r="A10" s="7" t="s">
        <v>113</v>
      </c>
      <c r="B10" s="18" t="s">
        <v>198</v>
      </c>
      <c r="C10" s="4" t="s">
        <v>199</v>
      </c>
      <c r="D10" s="19" t="s">
        <v>183</v>
      </c>
      <c r="E10" s="6" t="s">
        <v>200</v>
      </c>
      <c r="F10" s="20" t="s">
        <v>185</v>
      </c>
    </row>
    <row r="11" spans="1:6" ht="21" customHeight="1" x14ac:dyDescent="0.2">
      <c r="A11" s="7" t="s">
        <v>121</v>
      </c>
      <c r="B11" s="18" t="s">
        <v>201</v>
      </c>
      <c r="C11" s="4" t="s">
        <v>202</v>
      </c>
      <c r="D11" s="19" t="s">
        <v>183</v>
      </c>
      <c r="E11" s="6" t="s">
        <v>203</v>
      </c>
      <c r="F11" s="20" t="s">
        <v>185</v>
      </c>
    </row>
    <row r="12" spans="1:6" ht="21" customHeight="1" x14ac:dyDescent="0.2">
      <c r="A12" s="7" t="s">
        <v>130</v>
      </c>
      <c r="B12" s="18" t="s">
        <v>204</v>
      </c>
      <c r="C12" s="4" t="s">
        <v>205</v>
      </c>
      <c r="D12" s="19" t="s">
        <v>183</v>
      </c>
      <c r="E12" s="6" t="s">
        <v>206</v>
      </c>
      <c r="F12" s="20" t="s">
        <v>185</v>
      </c>
    </row>
    <row r="13" spans="1:6" ht="21" customHeight="1" x14ac:dyDescent="0.2">
      <c r="A13" s="7" t="s">
        <v>138</v>
      </c>
      <c r="B13" s="18" t="s">
        <v>207</v>
      </c>
      <c r="C13" s="4" t="s">
        <v>208</v>
      </c>
      <c r="D13" s="19" t="s">
        <v>183</v>
      </c>
      <c r="E13" s="6" t="s">
        <v>209</v>
      </c>
      <c r="F13" s="20" t="s">
        <v>185</v>
      </c>
    </row>
    <row r="14" spans="1:6" ht="21" customHeight="1" x14ac:dyDescent="0.2">
      <c r="A14" s="7" t="s">
        <v>147</v>
      </c>
      <c r="B14" s="18" t="s">
        <v>210</v>
      </c>
      <c r="C14" s="4" t="s">
        <v>211</v>
      </c>
      <c r="D14" s="19" t="s">
        <v>183</v>
      </c>
      <c r="E14" s="6" t="s">
        <v>212</v>
      </c>
      <c r="F14" s="20" t="s">
        <v>185</v>
      </c>
    </row>
    <row r="15" spans="1:6" ht="21" customHeight="1" x14ac:dyDescent="0.2">
      <c r="A15" s="8" t="s">
        <v>155</v>
      </c>
      <c r="B15" s="18" t="s">
        <v>213</v>
      </c>
      <c r="C15" s="4" t="s">
        <v>214</v>
      </c>
      <c r="D15" s="19" t="s">
        <v>183</v>
      </c>
      <c r="E15" s="6" t="s">
        <v>215</v>
      </c>
      <c r="F15" s="20" t="s">
        <v>185</v>
      </c>
    </row>
    <row r="16" spans="1:6" ht="21" customHeight="1" x14ac:dyDescent="0.2">
      <c r="A16" s="8" t="s">
        <v>216</v>
      </c>
      <c r="B16" s="18" t="s">
        <v>217</v>
      </c>
      <c r="C16" s="4" t="s">
        <v>218</v>
      </c>
      <c r="D16" s="19" t="s">
        <v>183</v>
      </c>
      <c r="E16" s="6" t="s">
        <v>219</v>
      </c>
      <c r="F16" s="20" t="s">
        <v>185</v>
      </c>
    </row>
    <row r="17" spans="1:6" ht="21" customHeight="1" x14ac:dyDescent="0.2">
      <c r="A17" s="8" t="s">
        <v>216</v>
      </c>
      <c r="B17" s="18" t="s">
        <v>220</v>
      </c>
      <c r="C17" s="4" t="s">
        <v>221</v>
      </c>
      <c r="D17" s="19" t="s">
        <v>183</v>
      </c>
      <c r="E17" s="6" t="s">
        <v>222</v>
      </c>
      <c r="F17" s="20" t="s">
        <v>185</v>
      </c>
    </row>
    <row r="18" spans="1:6" ht="21" customHeight="1" x14ac:dyDescent="0.2">
      <c r="A18" s="8" t="s">
        <v>216</v>
      </c>
      <c r="B18" s="9" t="s">
        <v>223</v>
      </c>
      <c r="C18" s="9" t="s">
        <v>224</v>
      </c>
      <c r="D18" s="9" t="s">
        <v>183</v>
      </c>
      <c r="E18" s="9" t="s">
        <v>225</v>
      </c>
      <c r="F18" s="21" t="s">
        <v>226</v>
      </c>
    </row>
    <row r="19" spans="1:6" ht="21" customHeight="1" x14ac:dyDescent="0.2">
      <c r="A19" s="22" t="s">
        <v>227</v>
      </c>
      <c r="B19" s="18" t="s">
        <v>228</v>
      </c>
      <c r="C19" s="4" t="s">
        <v>229</v>
      </c>
      <c r="D19" s="19" t="s">
        <v>230</v>
      </c>
      <c r="E19" s="6" t="s">
        <v>231</v>
      </c>
      <c r="F19" s="20" t="s">
        <v>185</v>
      </c>
    </row>
    <row r="20" spans="1:6" ht="21" customHeight="1" x14ac:dyDescent="0.2">
      <c r="A20" s="22" t="s">
        <v>227</v>
      </c>
      <c r="B20" s="18" t="s">
        <v>232</v>
      </c>
      <c r="C20" s="4" t="s">
        <v>233</v>
      </c>
      <c r="D20" s="19" t="s">
        <v>230</v>
      </c>
      <c r="E20" s="6" t="s">
        <v>234</v>
      </c>
      <c r="F20" s="20" t="s">
        <v>185</v>
      </c>
    </row>
    <row r="21" spans="1:6" ht="21" customHeight="1" x14ac:dyDescent="0.2">
      <c r="A21" s="22" t="s">
        <v>227</v>
      </c>
      <c r="B21" s="18" t="s">
        <v>235</v>
      </c>
      <c r="C21" s="4" t="s">
        <v>236</v>
      </c>
      <c r="D21" s="19" t="s">
        <v>230</v>
      </c>
      <c r="E21" s="6" t="s">
        <v>237</v>
      </c>
      <c r="F21" s="20" t="s">
        <v>185</v>
      </c>
    </row>
    <row r="22" spans="1:6" ht="21" customHeight="1" x14ac:dyDescent="0.2">
      <c r="A22" s="22" t="s">
        <v>227</v>
      </c>
      <c r="B22" s="18" t="s">
        <v>238</v>
      </c>
      <c r="C22" s="4" t="s">
        <v>239</v>
      </c>
      <c r="D22" s="19" t="s">
        <v>230</v>
      </c>
      <c r="E22" s="6" t="s">
        <v>240</v>
      </c>
      <c r="F22" s="20" t="s">
        <v>185</v>
      </c>
    </row>
    <row r="23" spans="1:6" ht="21" customHeight="1" x14ac:dyDescent="0.2">
      <c r="A23" s="22" t="s">
        <v>227</v>
      </c>
      <c r="B23" s="18" t="s">
        <v>241</v>
      </c>
      <c r="C23" s="4" t="s">
        <v>242</v>
      </c>
      <c r="D23" s="19" t="s">
        <v>230</v>
      </c>
      <c r="E23" s="6" t="s">
        <v>243</v>
      </c>
      <c r="F23" s="20" t="s">
        <v>185</v>
      </c>
    </row>
    <row r="24" spans="1:6" ht="21" customHeight="1" x14ac:dyDescent="0.2">
      <c r="A24" s="22" t="s">
        <v>227</v>
      </c>
      <c r="B24" s="18" t="s">
        <v>244</v>
      </c>
      <c r="C24" s="4" t="s">
        <v>245</v>
      </c>
      <c r="D24" s="19" t="s">
        <v>230</v>
      </c>
      <c r="E24" s="6" t="s">
        <v>246</v>
      </c>
      <c r="F24" s="20" t="s">
        <v>185</v>
      </c>
    </row>
    <row r="25" spans="1:6" ht="21" customHeight="1" x14ac:dyDescent="0.2">
      <c r="A25" s="3" t="s">
        <v>164</v>
      </c>
      <c r="B25" s="18" t="s">
        <v>247</v>
      </c>
      <c r="C25" s="4" t="s">
        <v>248</v>
      </c>
      <c r="D25" s="19" t="s">
        <v>183</v>
      </c>
      <c r="E25" s="6" t="s">
        <v>249</v>
      </c>
      <c r="F25" s="20" t="s">
        <v>185</v>
      </c>
    </row>
    <row r="27" spans="1:6" ht="21" customHeight="1" x14ac:dyDescent="0.2">
      <c r="A27" s="1"/>
      <c r="B27" s="1"/>
      <c r="C27" s="1"/>
      <c r="D27" s="1"/>
      <c r="E27" s="1"/>
      <c r="F27" s="1"/>
    </row>
    <row r="28" spans="1:6" ht="21" customHeight="1" x14ac:dyDescent="0.2">
      <c r="A28" s="37" t="s">
        <v>250</v>
      </c>
      <c r="B28" s="37"/>
      <c r="C28" s="37"/>
    </row>
    <row r="29" spans="1:6" ht="21" customHeight="1" x14ac:dyDescent="0.2">
      <c r="A29" s="53">
        <v>1</v>
      </c>
      <c r="B29" s="23" t="s">
        <v>251</v>
      </c>
      <c r="C29" s="24">
        <f>COUNTA(B5:B25)</f>
        <v>21</v>
      </c>
    </row>
    <row r="30" spans="1:6" ht="21" customHeight="1" x14ac:dyDescent="0.2">
      <c r="A30" s="53">
        <v>2</v>
      </c>
      <c r="B30" s="23" t="s">
        <v>252</v>
      </c>
      <c r="C30" s="24">
        <f>COUNTIF(D5:D25,"xlsx")</f>
        <v>15</v>
      </c>
    </row>
    <row r="31" spans="1:6" ht="21" customHeight="1" x14ac:dyDescent="0.2">
      <c r="A31" s="53">
        <v>3</v>
      </c>
      <c r="B31" s="23" t="s">
        <v>253</v>
      </c>
      <c r="C31" s="24">
        <f>COUNTIF(D5:D25,"docx")</f>
        <v>6</v>
      </c>
    </row>
    <row r="32" spans="1:6" ht="21" customHeight="1" x14ac:dyDescent="0.2">
      <c r="A32" s="53">
        <v>4</v>
      </c>
      <c r="B32" s="23" t="s">
        <v>254</v>
      </c>
      <c r="C32" s="24">
        <f>COUNTIF(F5:F25,"In Use")</f>
        <v>20</v>
      </c>
    </row>
    <row r="33" spans="1:3" ht="21" customHeight="1" x14ac:dyDescent="0.2">
      <c r="A33" s="53">
        <v>5</v>
      </c>
      <c r="B33" s="23" t="s">
        <v>255</v>
      </c>
      <c r="C33" s="24">
        <f>COUNTIF(F5:F25,"Not Used Yet")</f>
        <v>0</v>
      </c>
    </row>
    <row r="34" spans="1:3" ht="21" customHeight="1" x14ac:dyDescent="0.2">
      <c r="A34" s="53">
        <v>6</v>
      </c>
      <c r="B34" s="23" t="s">
        <v>256</v>
      </c>
      <c r="C34" s="24">
        <f>COUNTIF(F5:F25,"Skipped")+COUNTIF(F5:F25,"Archived")+COUNTIF(F5:F25,"Not Applicable")</f>
        <v>0</v>
      </c>
    </row>
  </sheetData>
  <mergeCells count="1">
    <mergeCell ref="A27:F27"/>
  </mergeCells>
  <dataValidations count="1">
    <dataValidation type="list" allowBlank="1" sqref="F5:F24" xr:uid="{00000000-0002-0000-0200-000000000000}">
      <formula1>"In Use,Not Used Yet,Skipped,Archived,Not Applicable"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zoomScale="120" zoomScaleNormal="120" workbookViewId="0">
      <selection activeCell="A4" sqref="A4"/>
    </sheetView>
  </sheetViews>
  <sheetFormatPr baseColWidth="10" defaultColWidth="8.6640625" defaultRowHeight="21" customHeight="1" x14ac:dyDescent="0.2"/>
  <cols>
    <col min="1" max="2" width="18" customWidth="1"/>
    <col min="3" max="3" width="32" customWidth="1"/>
    <col min="4" max="4" width="28" customWidth="1"/>
    <col min="5" max="5" width="22" customWidth="1"/>
    <col min="6" max="6" width="26" customWidth="1"/>
    <col min="7" max="7" width="30" customWidth="1"/>
    <col min="8" max="8" width="16" customWidth="1"/>
  </cols>
  <sheetData>
    <row r="1" spans="1:8" ht="34" customHeight="1" x14ac:dyDescent="0.2">
      <c r="A1" s="36" t="s">
        <v>257</v>
      </c>
      <c r="B1" s="36"/>
      <c r="C1" s="36"/>
      <c r="D1" s="36"/>
      <c r="E1" s="36"/>
      <c r="F1" s="36"/>
      <c r="G1" s="36"/>
      <c r="H1" s="36"/>
    </row>
    <row r="2" spans="1:8" ht="21" customHeight="1" x14ac:dyDescent="0.2">
      <c r="A2" s="49" t="s">
        <v>258</v>
      </c>
      <c r="B2" s="46"/>
      <c r="C2" s="46"/>
      <c r="D2" s="46"/>
      <c r="E2" s="46"/>
      <c r="F2" s="46"/>
      <c r="G2" s="46"/>
      <c r="H2" s="46"/>
    </row>
    <row r="4" spans="1:8" ht="21" customHeight="1" x14ac:dyDescent="0.2">
      <c r="A4" s="37" t="s">
        <v>259</v>
      </c>
      <c r="B4" s="37" t="s">
        <v>260</v>
      </c>
      <c r="C4" s="37" t="s">
        <v>261</v>
      </c>
      <c r="D4" s="37" t="s">
        <v>262</v>
      </c>
      <c r="E4" s="37" t="s">
        <v>263</v>
      </c>
      <c r="F4" s="37" t="s">
        <v>264</v>
      </c>
      <c r="G4" s="37" t="s">
        <v>265</v>
      </c>
      <c r="H4" s="37" t="s">
        <v>266</v>
      </c>
    </row>
    <row r="5" spans="1:8" ht="34" customHeight="1" x14ac:dyDescent="0.2">
      <c r="A5" s="3" t="s">
        <v>267</v>
      </c>
      <c r="B5" s="3" t="s">
        <v>86</v>
      </c>
      <c r="C5" s="14" t="s">
        <v>268</v>
      </c>
      <c r="D5" s="14" t="s">
        <v>269</v>
      </c>
      <c r="E5" s="14" t="s">
        <v>270</v>
      </c>
      <c r="F5" s="14" t="s">
        <v>271</v>
      </c>
      <c r="G5" s="14" t="s">
        <v>272</v>
      </c>
      <c r="H5" s="25" t="s">
        <v>273</v>
      </c>
    </row>
    <row r="6" spans="1:8" ht="34" customHeight="1" x14ac:dyDescent="0.2">
      <c r="A6" s="3" t="s">
        <v>86</v>
      </c>
      <c r="B6" s="3" t="s">
        <v>95</v>
      </c>
      <c r="C6" s="14" t="s">
        <v>274</v>
      </c>
      <c r="D6" s="14" t="s">
        <v>275</v>
      </c>
      <c r="E6" s="14" t="s">
        <v>276</v>
      </c>
      <c r="F6" s="14" t="s">
        <v>277</v>
      </c>
      <c r="G6" s="14" t="s">
        <v>278</v>
      </c>
      <c r="H6" s="25" t="s">
        <v>273</v>
      </c>
    </row>
    <row r="7" spans="1:8" ht="34" customHeight="1" x14ac:dyDescent="0.2">
      <c r="A7" s="7" t="s">
        <v>95</v>
      </c>
      <c r="B7" s="7" t="s">
        <v>104</v>
      </c>
      <c r="C7" s="15" t="s">
        <v>279</v>
      </c>
      <c r="D7" s="15" t="s">
        <v>280</v>
      </c>
      <c r="E7" s="15" t="s">
        <v>281</v>
      </c>
      <c r="F7" s="15" t="s">
        <v>282</v>
      </c>
      <c r="G7" s="15" t="s">
        <v>283</v>
      </c>
      <c r="H7" s="20" t="s">
        <v>284</v>
      </c>
    </row>
    <row r="8" spans="1:8" ht="34" customHeight="1" x14ac:dyDescent="0.2">
      <c r="A8" s="7" t="s">
        <v>104</v>
      </c>
      <c r="B8" s="7" t="s">
        <v>113</v>
      </c>
      <c r="C8" s="15" t="s">
        <v>285</v>
      </c>
      <c r="D8" s="15" t="s">
        <v>286</v>
      </c>
      <c r="E8" s="15" t="s">
        <v>287</v>
      </c>
      <c r="F8" s="15" t="s">
        <v>288</v>
      </c>
      <c r="G8" s="15" t="s">
        <v>289</v>
      </c>
      <c r="H8" s="20" t="s">
        <v>290</v>
      </c>
    </row>
    <row r="9" spans="1:8" ht="34" customHeight="1" x14ac:dyDescent="0.2">
      <c r="A9" s="7" t="s">
        <v>113</v>
      </c>
      <c r="B9" s="7" t="s">
        <v>121</v>
      </c>
      <c r="C9" s="15" t="s">
        <v>291</v>
      </c>
      <c r="D9" s="15" t="s">
        <v>292</v>
      </c>
      <c r="E9" s="15" t="s">
        <v>293</v>
      </c>
      <c r="F9" s="15" t="s">
        <v>294</v>
      </c>
      <c r="G9" s="15" t="s">
        <v>295</v>
      </c>
      <c r="H9" s="20" t="s">
        <v>273</v>
      </c>
    </row>
    <row r="10" spans="1:8" ht="34" customHeight="1" x14ac:dyDescent="0.2">
      <c r="A10" s="7" t="s">
        <v>121</v>
      </c>
      <c r="B10" s="7" t="s">
        <v>130</v>
      </c>
      <c r="C10" s="15" t="s">
        <v>296</v>
      </c>
      <c r="D10" s="15" t="s">
        <v>297</v>
      </c>
      <c r="E10" s="15" t="s">
        <v>298</v>
      </c>
      <c r="F10" s="15" t="s">
        <v>299</v>
      </c>
      <c r="G10" s="15" t="s">
        <v>300</v>
      </c>
      <c r="H10" s="20" t="s">
        <v>301</v>
      </c>
    </row>
    <row r="11" spans="1:8" ht="34" customHeight="1" x14ac:dyDescent="0.2">
      <c r="A11" s="7" t="s">
        <v>130</v>
      </c>
      <c r="B11" s="7" t="s">
        <v>138</v>
      </c>
      <c r="C11" s="15" t="s">
        <v>302</v>
      </c>
      <c r="D11" s="15" t="s">
        <v>303</v>
      </c>
      <c r="E11" s="15" t="s">
        <v>304</v>
      </c>
      <c r="F11" s="15" t="s">
        <v>305</v>
      </c>
      <c r="G11" s="15" t="s">
        <v>306</v>
      </c>
      <c r="H11" s="20" t="s">
        <v>307</v>
      </c>
    </row>
    <row r="12" spans="1:8" ht="34" customHeight="1" x14ac:dyDescent="0.2">
      <c r="A12" s="7" t="s">
        <v>138</v>
      </c>
      <c r="B12" s="7" t="s">
        <v>308</v>
      </c>
      <c r="C12" s="15" t="s">
        <v>309</v>
      </c>
      <c r="D12" s="15" t="s">
        <v>310</v>
      </c>
      <c r="E12" s="15" t="s">
        <v>311</v>
      </c>
      <c r="F12" s="15" t="s">
        <v>312</v>
      </c>
      <c r="G12" s="15" t="s">
        <v>313</v>
      </c>
      <c r="H12" s="20" t="s">
        <v>284</v>
      </c>
    </row>
    <row r="13" spans="1:8" ht="34" customHeight="1" x14ac:dyDescent="0.2">
      <c r="A13" s="3" t="s">
        <v>138</v>
      </c>
      <c r="B13" s="3" t="s">
        <v>164</v>
      </c>
      <c r="C13" s="14" t="s">
        <v>314</v>
      </c>
      <c r="D13" s="14" t="s">
        <v>315</v>
      </c>
      <c r="E13" s="14" t="s">
        <v>316</v>
      </c>
      <c r="F13" s="14" t="s">
        <v>317</v>
      </c>
      <c r="G13" s="14" t="s">
        <v>318</v>
      </c>
      <c r="H13" s="25" t="s">
        <v>319</v>
      </c>
    </row>
    <row r="14" spans="1:8" ht="34" customHeight="1" x14ac:dyDescent="0.2">
      <c r="A14" s="8" t="s">
        <v>320</v>
      </c>
      <c r="B14" s="8" t="s">
        <v>321</v>
      </c>
      <c r="C14" s="17" t="s">
        <v>322</v>
      </c>
      <c r="D14" s="17" t="s">
        <v>323</v>
      </c>
      <c r="E14" s="17" t="s">
        <v>324</v>
      </c>
      <c r="F14" s="17" t="s">
        <v>325</v>
      </c>
      <c r="G14" s="17" t="s">
        <v>326</v>
      </c>
      <c r="H14" s="26" t="s">
        <v>319</v>
      </c>
    </row>
    <row r="15" spans="1:8" ht="34" customHeight="1" x14ac:dyDescent="0.2">
      <c r="A15" s="8" t="s">
        <v>320</v>
      </c>
      <c r="B15" s="8" t="s">
        <v>327</v>
      </c>
      <c r="C15" s="17" t="s">
        <v>328</v>
      </c>
      <c r="D15" s="17" t="s">
        <v>329</v>
      </c>
      <c r="E15" s="17" t="s">
        <v>330</v>
      </c>
      <c r="F15" s="17" t="s">
        <v>331</v>
      </c>
      <c r="G15" s="17" t="s">
        <v>332</v>
      </c>
      <c r="H15" s="26" t="s">
        <v>319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zoomScale="120" zoomScaleNormal="120" workbookViewId="0">
      <selection activeCell="A4" sqref="A4"/>
    </sheetView>
  </sheetViews>
  <sheetFormatPr baseColWidth="10" defaultColWidth="8.6640625" defaultRowHeight="21" customHeight="1" x14ac:dyDescent="0.2"/>
  <cols>
    <col min="1" max="1" width="22" customWidth="1"/>
    <col min="2" max="4" width="26" customWidth="1"/>
    <col min="5" max="5" width="16" customWidth="1"/>
    <col min="6" max="6" width="22" customWidth="1"/>
    <col min="7" max="7" width="14" customWidth="1"/>
    <col min="8" max="9" width="22" customWidth="1"/>
  </cols>
  <sheetData>
    <row r="1" spans="1:9" ht="34" customHeight="1" x14ac:dyDescent="0.2">
      <c r="A1" s="36" t="s">
        <v>333</v>
      </c>
      <c r="B1" s="36"/>
      <c r="C1" s="36"/>
      <c r="D1" s="36"/>
      <c r="E1" s="36"/>
      <c r="F1" s="36"/>
      <c r="G1" s="36"/>
      <c r="H1" s="36"/>
      <c r="I1" s="36"/>
    </row>
    <row r="2" spans="1:9" ht="21" customHeight="1" x14ac:dyDescent="0.2">
      <c r="A2" s="49" t="s">
        <v>334</v>
      </c>
      <c r="B2" s="49"/>
      <c r="C2" s="46"/>
      <c r="D2" s="46"/>
      <c r="E2" s="46"/>
      <c r="F2" s="46"/>
      <c r="G2" s="46"/>
      <c r="H2" s="46"/>
      <c r="I2" s="46"/>
    </row>
    <row r="4" spans="1:9" ht="21" customHeight="1" x14ac:dyDescent="0.2">
      <c r="A4" s="2" t="s">
        <v>335</v>
      </c>
      <c r="B4" s="37" t="s">
        <v>336</v>
      </c>
      <c r="C4" s="37" t="s">
        <v>337</v>
      </c>
      <c r="D4" s="37" t="s">
        <v>338</v>
      </c>
      <c r="E4" s="37" t="s">
        <v>339</v>
      </c>
      <c r="F4" s="37" t="s">
        <v>340</v>
      </c>
      <c r="G4" s="37" t="s">
        <v>341</v>
      </c>
      <c r="H4" s="37" t="s">
        <v>342</v>
      </c>
      <c r="I4" s="37" t="s">
        <v>343</v>
      </c>
    </row>
    <row r="5" spans="1:9" ht="89" customHeight="1" x14ac:dyDescent="0.2">
      <c r="A5" s="27" t="s">
        <v>344</v>
      </c>
      <c r="B5" s="28" t="s">
        <v>345</v>
      </c>
      <c r="C5" s="28" t="s">
        <v>346</v>
      </c>
      <c r="D5" s="4" t="s">
        <v>347</v>
      </c>
      <c r="E5" s="4" t="s">
        <v>348</v>
      </c>
      <c r="F5" s="4" t="s">
        <v>349</v>
      </c>
      <c r="G5" s="4" t="s">
        <v>350</v>
      </c>
      <c r="H5" s="4" t="s">
        <v>351</v>
      </c>
      <c r="I5" s="4" t="s">
        <v>352</v>
      </c>
    </row>
    <row r="6" spans="1:9" ht="89" customHeight="1" x14ac:dyDescent="0.2">
      <c r="A6" s="27" t="s">
        <v>353</v>
      </c>
      <c r="B6" s="28" t="s">
        <v>354</v>
      </c>
      <c r="C6" s="28" t="s">
        <v>355</v>
      </c>
      <c r="D6" s="4" t="s">
        <v>356</v>
      </c>
      <c r="E6" s="4" t="s">
        <v>357</v>
      </c>
      <c r="F6" s="4" t="s">
        <v>358</v>
      </c>
      <c r="G6" s="4" t="s">
        <v>350</v>
      </c>
      <c r="H6" s="4" t="s">
        <v>359</v>
      </c>
      <c r="I6" s="4" t="s">
        <v>360</v>
      </c>
    </row>
    <row r="7" spans="1:9" ht="89" customHeight="1" x14ac:dyDescent="0.2">
      <c r="A7" s="27" t="s">
        <v>361</v>
      </c>
      <c r="B7" s="28" t="s">
        <v>362</v>
      </c>
      <c r="C7" s="28" t="s">
        <v>363</v>
      </c>
      <c r="D7" s="4" t="s">
        <v>364</v>
      </c>
      <c r="E7" s="4" t="s">
        <v>365</v>
      </c>
      <c r="F7" s="4" t="s">
        <v>366</v>
      </c>
      <c r="G7" s="4" t="s">
        <v>367</v>
      </c>
      <c r="H7" s="4" t="s">
        <v>368</v>
      </c>
      <c r="I7" s="4" t="s">
        <v>369</v>
      </c>
    </row>
    <row r="8" spans="1:9" ht="89" customHeight="1" x14ac:dyDescent="0.2">
      <c r="A8" s="27" t="s">
        <v>370</v>
      </c>
      <c r="B8" s="28" t="s">
        <v>371</v>
      </c>
      <c r="C8" s="28" t="s">
        <v>372</v>
      </c>
      <c r="D8" s="4" t="s">
        <v>373</v>
      </c>
      <c r="E8" s="4" t="s">
        <v>374</v>
      </c>
      <c r="F8" s="4" t="s">
        <v>375</v>
      </c>
      <c r="G8" s="4" t="s">
        <v>376</v>
      </c>
      <c r="H8" s="4" t="s">
        <v>377</v>
      </c>
      <c r="I8" s="4" t="s">
        <v>378</v>
      </c>
    </row>
    <row r="9" spans="1:9" ht="89" customHeight="1" x14ac:dyDescent="0.2">
      <c r="A9" s="27" t="s">
        <v>379</v>
      </c>
      <c r="B9" s="28" t="s">
        <v>380</v>
      </c>
      <c r="C9" s="28" t="s">
        <v>381</v>
      </c>
      <c r="D9" s="4" t="s">
        <v>382</v>
      </c>
      <c r="E9" s="4" t="s">
        <v>383</v>
      </c>
      <c r="F9" s="4" t="s">
        <v>384</v>
      </c>
      <c r="G9" s="4" t="s">
        <v>385</v>
      </c>
      <c r="H9" s="4" t="s">
        <v>386</v>
      </c>
      <c r="I9" s="4" t="s">
        <v>387</v>
      </c>
    </row>
    <row r="10" spans="1:9" ht="89" customHeight="1" x14ac:dyDescent="0.2">
      <c r="A10" s="27" t="s">
        <v>388</v>
      </c>
      <c r="B10" s="28" t="s">
        <v>389</v>
      </c>
      <c r="C10" s="28" t="s">
        <v>390</v>
      </c>
      <c r="D10" s="4" t="s">
        <v>391</v>
      </c>
      <c r="E10" s="4" t="s">
        <v>392</v>
      </c>
      <c r="F10" s="4" t="s">
        <v>393</v>
      </c>
      <c r="G10" s="4" t="s">
        <v>394</v>
      </c>
      <c r="H10" s="4" t="s">
        <v>395</v>
      </c>
      <c r="I10" s="4" t="s">
        <v>396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zoomScale="120" zoomScaleNormal="120" workbookViewId="0"/>
  </sheetViews>
  <sheetFormatPr baseColWidth="10" defaultColWidth="8.6640625" defaultRowHeight="21" customHeight="1" x14ac:dyDescent="0.2"/>
  <cols>
    <col min="1" max="1" width="42" customWidth="1"/>
    <col min="2" max="2" width="30" customWidth="1"/>
    <col min="3" max="3" width="16" customWidth="1"/>
    <col min="4" max="4" width="14" customWidth="1"/>
    <col min="5" max="5" width="35" customWidth="1"/>
  </cols>
  <sheetData>
    <row r="1" spans="1:5" ht="34" customHeight="1" x14ac:dyDescent="0.2">
      <c r="A1" s="36" t="s">
        <v>397</v>
      </c>
      <c r="B1" s="36"/>
      <c r="C1" s="36"/>
      <c r="D1" s="36"/>
      <c r="E1" s="36"/>
    </row>
    <row r="2" spans="1:5" ht="21" customHeight="1" x14ac:dyDescent="0.2">
      <c r="A2" s="49" t="s">
        <v>398</v>
      </c>
      <c r="B2" s="46"/>
      <c r="C2" s="46"/>
      <c r="D2" s="46"/>
      <c r="E2" s="46"/>
    </row>
    <row r="3" spans="1:5" ht="21" customHeight="1" x14ac:dyDescent="0.2">
      <c r="A3" s="2" t="s">
        <v>399</v>
      </c>
      <c r="B3" s="2" t="s">
        <v>401</v>
      </c>
      <c r="C3" s="2" t="s">
        <v>477</v>
      </c>
      <c r="D3" s="2" t="s">
        <v>477</v>
      </c>
      <c r="E3" s="2" t="s">
        <v>400</v>
      </c>
    </row>
    <row r="4" spans="1:5" ht="21" customHeight="1" x14ac:dyDescent="0.2">
      <c r="A4" s="23" t="s">
        <v>402</v>
      </c>
      <c r="B4" s="29" t="s">
        <v>403</v>
      </c>
      <c r="C4" s="52"/>
      <c r="D4" s="52"/>
      <c r="E4" s="15"/>
    </row>
    <row r="5" spans="1:5" ht="21" customHeight="1" x14ac:dyDescent="0.2">
      <c r="A5" s="23" t="s">
        <v>404</v>
      </c>
      <c r="B5" s="29" t="s">
        <v>403</v>
      </c>
      <c r="C5" s="52"/>
      <c r="D5" s="52"/>
      <c r="E5" s="15"/>
    </row>
    <row r="6" spans="1:5" ht="21" customHeight="1" x14ac:dyDescent="0.2">
      <c r="A6" s="23" t="s">
        <v>405</v>
      </c>
      <c r="B6" s="29" t="s">
        <v>406</v>
      </c>
      <c r="C6" s="52"/>
      <c r="D6" s="52"/>
      <c r="E6" s="15"/>
    </row>
    <row r="7" spans="1:5" ht="21" customHeight="1" x14ac:dyDescent="0.2">
      <c r="A7" s="23" t="s">
        <v>407</v>
      </c>
      <c r="B7" s="29" t="s">
        <v>408</v>
      </c>
      <c r="C7" s="52"/>
      <c r="D7" s="52"/>
      <c r="E7" s="15"/>
    </row>
    <row r="8" spans="1:5" ht="21" customHeight="1" x14ac:dyDescent="0.2">
      <c r="A8" s="30" t="s">
        <v>409</v>
      </c>
      <c r="B8" s="35" t="s">
        <v>410</v>
      </c>
      <c r="C8" s="52"/>
      <c r="D8" s="52"/>
      <c r="E8" s="15"/>
    </row>
    <row r="9" spans="1:5" ht="21" customHeight="1" x14ac:dyDescent="0.2">
      <c r="A9" s="23" t="s">
        <v>411</v>
      </c>
      <c r="B9" s="29" t="s">
        <v>234</v>
      </c>
      <c r="C9" s="52"/>
      <c r="D9" s="52"/>
      <c r="E9" s="15"/>
    </row>
    <row r="10" spans="1:5" ht="21" customHeight="1" x14ac:dyDescent="0.2">
      <c r="A10" s="23" t="s">
        <v>412</v>
      </c>
      <c r="B10" s="29" t="s">
        <v>413</v>
      </c>
      <c r="C10" s="52"/>
      <c r="D10" s="52"/>
      <c r="E10" s="15"/>
    </row>
    <row r="11" spans="1:5" ht="21" customHeight="1" x14ac:dyDescent="0.2">
      <c r="A11" s="23" t="s">
        <v>414</v>
      </c>
      <c r="B11" s="29" t="s">
        <v>320</v>
      </c>
      <c r="C11" s="52"/>
      <c r="D11" s="52"/>
      <c r="E11" s="15"/>
    </row>
    <row r="12" spans="1:5" ht="21" customHeight="1" x14ac:dyDescent="0.2">
      <c r="A12" s="23" t="s">
        <v>415</v>
      </c>
      <c r="B12" s="29" t="s">
        <v>416</v>
      </c>
      <c r="C12" s="52"/>
      <c r="D12" s="52"/>
      <c r="E12" s="15"/>
    </row>
    <row r="13" spans="1:5" ht="21" customHeight="1" x14ac:dyDescent="0.2">
      <c r="A13" s="23" t="s">
        <v>417</v>
      </c>
      <c r="B13" s="29" t="s">
        <v>416</v>
      </c>
      <c r="C13" s="52"/>
      <c r="D13" s="52"/>
      <c r="E13" s="15"/>
    </row>
    <row r="15" spans="1:5" ht="21" customHeight="1" x14ac:dyDescent="0.2">
      <c r="A15" s="47"/>
      <c r="B15" s="47"/>
      <c r="C15" s="47"/>
      <c r="D15" s="47"/>
      <c r="E15" s="47"/>
    </row>
    <row r="16" spans="1:5" ht="21" customHeight="1" x14ac:dyDescent="0.2">
      <c r="A16" s="39" t="s">
        <v>418</v>
      </c>
      <c r="B16" s="39"/>
      <c r="C16" s="39"/>
      <c r="D16" s="39"/>
      <c r="E16" s="39"/>
    </row>
    <row r="17" spans="1:5" ht="21" customHeight="1" x14ac:dyDescent="0.2">
      <c r="A17" s="50" t="s">
        <v>419</v>
      </c>
      <c r="B17" s="45"/>
      <c r="C17" s="45"/>
      <c r="D17" s="45"/>
      <c r="E17" s="45"/>
    </row>
    <row r="18" spans="1:5" ht="21" customHeight="1" x14ac:dyDescent="0.2">
      <c r="A18" s="2" t="s">
        <v>420</v>
      </c>
      <c r="B18" s="2" t="s">
        <v>179</v>
      </c>
      <c r="C18" s="2" t="s">
        <v>421</v>
      </c>
      <c r="D18" s="2" t="s">
        <v>422</v>
      </c>
      <c r="E18" s="2" t="s">
        <v>423</v>
      </c>
    </row>
    <row r="19" spans="1:5" ht="21" customHeight="1" x14ac:dyDescent="0.2">
      <c r="A19" s="23" t="s">
        <v>424</v>
      </c>
      <c r="B19" s="20" t="s">
        <v>425</v>
      </c>
      <c r="C19" s="20"/>
      <c r="D19" s="20"/>
      <c r="E19" s="15"/>
    </row>
    <row r="20" spans="1:5" ht="21" customHeight="1" x14ac:dyDescent="0.2">
      <c r="A20" s="23" t="s">
        <v>426</v>
      </c>
      <c r="B20" s="20" t="s">
        <v>425</v>
      </c>
      <c r="C20" s="20"/>
      <c r="D20" s="20"/>
      <c r="E20" s="15"/>
    </row>
    <row r="21" spans="1:5" ht="21" customHeight="1" x14ac:dyDescent="0.2">
      <c r="A21" s="23" t="s">
        <v>427</v>
      </c>
      <c r="B21" s="20" t="s">
        <v>425</v>
      </c>
      <c r="C21" s="20"/>
      <c r="D21" s="20"/>
      <c r="E21" s="15"/>
    </row>
    <row r="22" spans="1:5" ht="21" customHeight="1" x14ac:dyDescent="0.2">
      <c r="A22" s="23" t="s">
        <v>428</v>
      </c>
      <c r="B22" s="20" t="s">
        <v>425</v>
      </c>
      <c r="C22" s="20"/>
      <c r="D22" s="20"/>
      <c r="E22" s="15"/>
    </row>
    <row r="23" spans="1:5" ht="21" customHeight="1" x14ac:dyDescent="0.2">
      <c r="A23" s="23" t="s">
        <v>429</v>
      </c>
      <c r="B23" s="20" t="s">
        <v>425</v>
      </c>
      <c r="C23" s="20"/>
      <c r="D23" s="20"/>
      <c r="E23" s="15"/>
    </row>
    <row r="24" spans="1:5" ht="21" customHeight="1" x14ac:dyDescent="0.2">
      <c r="A24" s="23" t="s">
        <v>430</v>
      </c>
      <c r="B24" s="20" t="s">
        <v>425</v>
      </c>
      <c r="C24" s="20"/>
      <c r="D24" s="20"/>
      <c r="E24" s="15"/>
    </row>
    <row r="25" spans="1:5" ht="21" customHeight="1" x14ac:dyDescent="0.2">
      <c r="A25" s="47"/>
      <c r="B25" s="47"/>
      <c r="C25" s="47"/>
      <c r="D25" s="47"/>
      <c r="E25" s="47"/>
    </row>
    <row r="26" spans="1:5" ht="21" customHeight="1" x14ac:dyDescent="0.2">
      <c r="A26" s="39" t="s">
        <v>431</v>
      </c>
      <c r="B26" s="39"/>
      <c r="C26" s="39"/>
      <c r="D26" s="39"/>
      <c r="E26" s="39"/>
    </row>
    <row r="27" spans="1:5" ht="21" customHeight="1" x14ac:dyDescent="0.2">
      <c r="A27" s="50" t="s">
        <v>432</v>
      </c>
      <c r="B27" s="45"/>
      <c r="C27" s="45"/>
      <c r="D27" s="45"/>
      <c r="E27" s="45"/>
    </row>
    <row r="28" spans="1:5" ht="21" customHeight="1" x14ac:dyDescent="0.2">
      <c r="A28" s="2" t="s">
        <v>433</v>
      </c>
      <c r="B28" s="2" t="s">
        <v>179</v>
      </c>
      <c r="C28" s="2" t="s">
        <v>434</v>
      </c>
      <c r="D28" s="2" t="s">
        <v>435</v>
      </c>
      <c r="E28" s="2" t="s">
        <v>343</v>
      </c>
    </row>
    <row r="29" spans="1:5" ht="21" customHeight="1" x14ac:dyDescent="0.2">
      <c r="A29" s="31" t="s">
        <v>436</v>
      </c>
      <c r="B29" s="20" t="s">
        <v>425</v>
      </c>
      <c r="C29" s="20"/>
      <c r="D29" s="20"/>
      <c r="E29" s="6" t="s">
        <v>437</v>
      </c>
    </row>
    <row r="30" spans="1:5" ht="21" customHeight="1" x14ac:dyDescent="0.2">
      <c r="A30" s="31" t="s">
        <v>438</v>
      </c>
      <c r="B30" s="20" t="s">
        <v>425</v>
      </c>
      <c r="C30" s="20"/>
      <c r="D30" s="20"/>
      <c r="E30" s="6" t="s">
        <v>439</v>
      </c>
    </row>
    <row r="31" spans="1:5" ht="21" customHeight="1" x14ac:dyDescent="0.2">
      <c r="A31" s="32" t="s">
        <v>440</v>
      </c>
      <c r="B31" s="20" t="s">
        <v>425</v>
      </c>
      <c r="C31" s="20"/>
      <c r="D31" s="20"/>
      <c r="E31" s="6" t="s">
        <v>441</v>
      </c>
    </row>
    <row r="32" spans="1:5" ht="21" customHeight="1" x14ac:dyDescent="0.2">
      <c r="A32" s="32" t="s">
        <v>442</v>
      </c>
      <c r="B32" s="20" t="s">
        <v>425</v>
      </c>
      <c r="C32" s="20"/>
      <c r="D32" s="20"/>
      <c r="E32" s="6" t="s">
        <v>443</v>
      </c>
    </row>
    <row r="33" spans="1:5" ht="21" customHeight="1" x14ac:dyDescent="0.2">
      <c r="A33" s="32" t="s">
        <v>444</v>
      </c>
      <c r="B33" s="20" t="s">
        <v>425</v>
      </c>
      <c r="C33" s="20"/>
      <c r="D33" s="20"/>
      <c r="E33" s="6" t="s">
        <v>445</v>
      </c>
    </row>
    <row r="34" spans="1:5" ht="21" customHeight="1" x14ac:dyDescent="0.2">
      <c r="A34" s="32" t="s">
        <v>446</v>
      </c>
      <c r="B34" s="20" t="s">
        <v>425</v>
      </c>
      <c r="C34" s="20"/>
      <c r="D34" s="20"/>
      <c r="E34" s="6" t="s">
        <v>447</v>
      </c>
    </row>
    <row r="35" spans="1:5" ht="21" customHeight="1" x14ac:dyDescent="0.2">
      <c r="A35" s="32" t="s">
        <v>448</v>
      </c>
      <c r="B35" s="20" t="s">
        <v>425</v>
      </c>
      <c r="C35" s="20"/>
      <c r="D35" s="20"/>
      <c r="E35" s="6" t="s">
        <v>449</v>
      </c>
    </row>
    <row r="36" spans="1:5" ht="21" customHeight="1" x14ac:dyDescent="0.2">
      <c r="A36" s="31" t="s">
        <v>450</v>
      </c>
      <c r="B36" s="20" t="s">
        <v>425</v>
      </c>
      <c r="C36" s="20"/>
      <c r="D36" s="20"/>
      <c r="E36" s="6" t="s">
        <v>451</v>
      </c>
    </row>
    <row r="38" spans="1:5" ht="21" customHeight="1" x14ac:dyDescent="0.2">
      <c r="A38" s="1"/>
      <c r="B38" s="1"/>
      <c r="C38" s="1"/>
    </row>
    <row r="39" spans="1:5" ht="21" customHeight="1" x14ac:dyDescent="0.2">
      <c r="A39" s="44" t="s">
        <v>452</v>
      </c>
      <c r="B39" s="44"/>
      <c r="C39" s="44"/>
      <c r="D39" s="44"/>
      <c r="E39" s="44"/>
    </row>
    <row r="40" spans="1:5" ht="21" customHeight="1" x14ac:dyDescent="0.2">
      <c r="A40" s="2" t="s">
        <v>453</v>
      </c>
      <c r="B40" s="2" t="s">
        <v>454</v>
      </c>
      <c r="C40" s="2" t="s">
        <v>477</v>
      </c>
      <c r="D40" s="2" t="s">
        <v>477</v>
      </c>
      <c r="E40" s="2" t="s">
        <v>343</v>
      </c>
    </row>
    <row r="41" spans="1:5" ht="21" customHeight="1" x14ac:dyDescent="0.2">
      <c r="A41" s="33" t="s">
        <v>455</v>
      </c>
      <c r="B41" s="24">
        <f>COUNTIF(B19:B24,"Not Started")</f>
        <v>6</v>
      </c>
      <c r="C41" s="51"/>
      <c r="D41" s="51"/>
      <c r="E41" s="34" t="s">
        <v>456</v>
      </c>
    </row>
    <row r="42" spans="1:5" ht="21" customHeight="1" x14ac:dyDescent="0.2">
      <c r="A42" s="33" t="s">
        <v>457</v>
      </c>
      <c r="B42" s="24">
        <f>COUNTIF(B19:B24,"In Progress")</f>
        <v>0</v>
      </c>
      <c r="C42" s="51"/>
      <c r="D42" s="51"/>
      <c r="E42" s="34" t="s">
        <v>458</v>
      </c>
    </row>
    <row r="43" spans="1:5" ht="21" customHeight="1" x14ac:dyDescent="0.2">
      <c r="A43" s="33" t="s">
        <v>459</v>
      </c>
      <c r="B43" s="24">
        <f>COUNTIF(B19:B24,"Done")</f>
        <v>0</v>
      </c>
      <c r="C43" s="51"/>
      <c r="D43" s="51"/>
      <c r="E43" s="34" t="s">
        <v>460</v>
      </c>
    </row>
    <row r="44" spans="1:5" ht="21" customHeight="1" x14ac:dyDescent="0.2">
      <c r="A44" s="33" t="s">
        <v>461</v>
      </c>
      <c r="B44" s="24">
        <f>COUNTIF(B19:B24,"Blocked")</f>
        <v>0</v>
      </c>
      <c r="C44" s="51"/>
      <c r="D44" s="51"/>
      <c r="E44" s="34" t="s">
        <v>462</v>
      </c>
    </row>
    <row r="45" spans="1:5" ht="21" customHeight="1" x14ac:dyDescent="0.2">
      <c r="A45" s="33" t="s">
        <v>463</v>
      </c>
      <c r="B45" s="24">
        <f>COUNTIF(B19:B24,"Skipped")</f>
        <v>0</v>
      </c>
      <c r="C45" s="51"/>
      <c r="D45" s="51"/>
      <c r="E45" s="34" t="s">
        <v>464</v>
      </c>
    </row>
    <row r="46" spans="1:5" ht="21" customHeight="1" x14ac:dyDescent="0.2">
      <c r="A46" s="33" t="s">
        <v>465</v>
      </c>
      <c r="B46" s="24">
        <f>COUNTIF(B29:B36,"Done")</f>
        <v>0</v>
      </c>
      <c r="C46" s="51"/>
      <c r="D46" s="51"/>
      <c r="E46" s="34" t="s">
        <v>466</v>
      </c>
    </row>
    <row r="47" spans="1:5" ht="21" customHeight="1" x14ac:dyDescent="0.2">
      <c r="A47" s="33" t="s">
        <v>467</v>
      </c>
      <c r="B47" s="24">
        <f>COUNTIF(B29:B36,"In Progress")</f>
        <v>0</v>
      </c>
      <c r="C47" s="51"/>
      <c r="D47" s="51"/>
      <c r="E47" s="34" t="s">
        <v>468</v>
      </c>
    </row>
    <row r="48" spans="1:5" ht="21" customHeight="1" x14ac:dyDescent="0.2">
      <c r="A48" s="33" t="s">
        <v>469</v>
      </c>
      <c r="B48" s="24">
        <f>COUNTIF(B29:B36,"Not Started")</f>
        <v>8</v>
      </c>
      <c r="C48" s="51"/>
      <c r="D48" s="51"/>
      <c r="E48" s="34" t="s">
        <v>470</v>
      </c>
    </row>
    <row r="49" spans="1:5" ht="21" customHeight="1" x14ac:dyDescent="0.2">
      <c r="A49" s="33" t="s">
        <v>471</v>
      </c>
      <c r="B49" s="24">
        <f>COUNTA(E4:E13)</f>
        <v>0</v>
      </c>
      <c r="C49" s="51"/>
      <c r="D49" s="51"/>
      <c r="E49" s="48" t="s">
        <v>472</v>
      </c>
    </row>
    <row r="50" spans="1:5" ht="21" customHeight="1" x14ac:dyDescent="0.2">
      <c r="A50" s="33" t="s">
        <v>473</v>
      </c>
      <c r="B50" s="24" t="str">
        <f>IF(COUNTA(E4:E13)=0,"Empty",IF(COUNTA(E4:E13)&lt;10,"Partial","Complete"))</f>
        <v>Empty</v>
      </c>
      <c r="C50" s="51"/>
      <c r="D50" s="51"/>
      <c r="E50" s="34" t="s">
        <v>474</v>
      </c>
    </row>
    <row r="51" spans="1:5" ht="21" customHeight="1" x14ac:dyDescent="0.2">
      <c r="A51" s="33" t="s">
        <v>475</v>
      </c>
      <c r="B51" s="24" t="str">
        <f>IF(COUNTIF(B19:B24,"In Progress")&gt;0,INDEX(A19:A24,MATCH("In Progress",B19:B24,0)),IF(COUNTIF(B19:B24,"Done")=6,"All phases done — wrap-up phase","Not started"))</f>
        <v>Not started</v>
      </c>
      <c r="C51" s="51"/>
      <c r="D51" s="51"/>
      <c r="E51" s="34" t="s">
        <v>476</v>
      </c>
    </row>
  </sheetData>
  <mergeCells count="1">
    <mergeCell ref="A38:C38"/>
  </mergeCells>
  <dataValidations count="2">
    <dataValidation type="list" allowBlank="1" sqref="B18:B23" xr:uid="{00000000-0002-0000-0500-000000000000}">
      <formula1>"Not Started,In Progress,Done,Blocked,Skipped"</formula1>
      <formula2>0</formula2>
    </dataValidation>
    <dataValidation type="list" allowBlank="1" sqref="B28:B35" xr:uid="{00000000-0002-0000-0500-000001000000}">
      <formula1>"Not Started,In Progress,Done,Skipped,Not Applicable"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Phase Cycle Overview</vt:lpstr>
      <vt:lpstr>File Index</vt:lpstr>
      <vt:lpstr>Handoff Map</vt:lpstr>
      <vt:lpstr>Package Logic Snapshot</vt:lpstr>
      <vt:lpstr>Mini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maciek szczech</cp:lastModifiedBy>
  <cp:revision>0</cp:revision>
  <dcterms:created xsi:type="dcterms:W3CDTF">2026-06-28T19:27:52Z</dcterms:created>
  <dcterms:modified xsi:type="dcterms:W3CDTF">2026-07-05T11:06:46Z</dcterms:modified>
  <dc:language>en-US</dc:language>
</cp:coreProperties>
</file>