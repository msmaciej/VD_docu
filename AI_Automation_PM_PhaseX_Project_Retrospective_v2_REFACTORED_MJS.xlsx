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Retrospective" sheetId="2" state="visible" r:id="rId4"/>
    <sheet name="Retrospective Archive" sheetId="3" state="visible" r:id="rId5"/>
    <sheet name="Patterns at a Glance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<sst xmlns="http://schemas.openxmlformats.org/spreadsheetml/2006/main" count="204" uniqueCount="162">
  <si>
    <t xml:space="preserve">Project Retrospective</t>
  </si>
  <si>
    <t xml:space="preserve">Run this within 1-2 weeks of project go-live (or wrap-up). Real ROI emerges after your 3rd-5th retro when patterns become visible: pricing benchmarks, scope-creep triggers, which client signals predict difficult projects, etc.</t>
  </si>
  <si>
    <t xml:space="preserve">Recommended workflow</t>
  </si>
  <si>
    <t xml:space="preserve">1. Open the Retrospective sheet. Fill it within 1-2 weeks of project completion. Don't wait — details fade.</t>
  </si>
  <si>
    <t xml:space="preserve">2. Time budget: 30-45 minutes for thorough retro; 15 minutes if quickly.</t>
  </si>
  <si>
    <t xml:space="preserve">3. After filling: copy the summary row into Retrospective Archive (one row per project).</t>
  </si>
  <si>
    <t xml:space="preserve">4. Save this file per project (e.g. "Retro_AcmeCo_2026-11.xlsx") AND maintain a separate "Retros Archive" file aggregating all.</t>
  </si>
  <si>
    <t xml:space="preserve">5. Quarterly: open Patterns at a Glance. Look for recurring themes in "didn't work" and pricing benchmarks.</t>
  </si>
  <si>
    <t xml:space="preserve">Why retros matter</t>
  </si>
  <si>
    <t xml:space="preserve">Area</t>
  </si>
  <si>
    <t xml:space="preserve">Why</t>
  </si>
  <si>
    <t xml:space="preserve">Pricing accuracy</t>
  </si>
  <si>
    <t xml:space="preserve">After 3-5 retros, you know if you're over/underestimating by package type. Adjust before the next quote.</t>
  </si>
  <si>
    <t xml:space="preserve">Scope creep patterns</t>
  </si>
  <si>
    <t xml:space="preserve">Specific triggers become visible — e.g. "client always requests additional data sources or channels after blueprint sign-off", "document format scope expands mid-project", "client adds approval steps not agreed in Phase 2". Pre-empt in the next discovery.</t>
  </si>
  <si>
    <t xml:space="preserve">Bad-fit signals</t>
  </si>
  <si>
    <t xml:space="preserve">Which Fit Check signals correlated with difficult projects? Adjust the fit-check thresholds.</t>
  </si>
  <si>
    <t xml:space="preserve">Framework improvements</t>
  </si>
  <si>
    <t xml:space="preserve">What was missing? What was awkward? Each retro can spawn 1-2 small improvements to the toolkit.</t>
  </si>
  <si>
    <t xml:space="preserve">Client repeat business</t>
  </si>
  <si>
    <t xml:space="preserve">Tracking outcome → repeat rate tells you which packages and engagement types build durable client relationships.</t>
  </si>
  <si>
    <t xml:space="preserve">One project's worth. Fill in fields below. Yellow = your input. Blue = auto-derived. The summary at the bottom is the row you'll copy into the Archive.</t>
  </si>
  <si>
    <t xml:space="preserve">Project metadata</t>
  </si>
  <si>
    <t xml:space="preserve">Client name</t>
  </si>
  <si>
    <t xml:space="preserve">Full name.</t>
  </si>
  <si>
    <t xml:space="preserve">Project name</t>
  </si>
  <si>
    <t xml:space="preserve">Internal identifier.</t>
  </si>
  <si>
    <t xml:space="preserve">Package delivered</t>
  </si>
  <si>
    <t xml:space="preserve">Final package — not the initial guess.</t>
  </si>
  <si>
    <t xml:space="preserve">Project start date</t>
  </si>
  <si>
    <t xml:space="preserve">YYYY-MM-DD.</t>
  </si>
  <si>
    <t xml:space="preserve">Project go-live date</t>
  </si>
  <si>
    <t xml:space="preserve">Project duration</t>
  </si>
  <si>
    <t xml:space="preserve">Calculated externally or rough estimate.</t>
  </si>
  <si>
    <t xml:space="preserve">Final setup price (CHF)</t>
  </si>
  <si>
    <t xml:space="preserve">Actual amount invoiced.</t>
  </si>
  <si>
    <t xml:space="preserve">Final monthly price (CHF)</t>
  </si>
  <si>
    <t xml:space="preserve">If managed service, monthly amount.</t>
  </si>
  <si>
    <t xml:space="preserve">Outcome assessment</t>
  </si>
  <si>
    <t xml:space="preserve">Overall outcome</t>
  </si>
  <si>
    <t xml:space="preserve">Successful = met all goals. Mixed = some goals missed. Difficult = met but with significant friction.</t>
  </si>
  <si>
    <t xml:space="preserve">Profitability</t>
  </si>
  <si>
    <t xml:space="preserve">Net of all costs including your time at target hourly rate.</t>
  </si>
  <si>
    <t xml:space="preserve">Estimation accuracy</t>
  </si>
  <si>
    <t xml:space="preserve">Did the actual effort match the quote?</t>
  </si>
  <si>
    <t xml:space="preserve">Client relationship outcome</t>
  </si>
  <si>
    <t xml:space="preserve">Where does the relationship stand now?</t>
  </si>
  <si>
    <t xml:space="preserve">Repeat business potential</t>
  </si>
  <si>
    <t xml:space="preserve">Likelihood of more work with this client.</t>
  </si>
  <si>
    <t xml:space="preserve">Scope creep observed</t>
  </si>
  <si>
    <t xml:space="preserve">Yes/No + brief description if yes.</t>
  </si>
  <si>
    <t xml:space="preserve">What worked / what didn't</t>
  </si>
  <si>
    <t xml:space="preserve">What worked well (3-5 specific items)</t>
  </si>
  <si>
    <t xml:space="preserve">Specific outcomes, decisions, or patterns. Avoid vague 'good communication'.</t>
  </si>
  <si>
    <t xml:space="preserve">What didn't work (3-5 specific items)</t>
  </si>
  <si>
    <t xml:space="preserve">Specific friction points. Each should be actionable for next time.</t>
  </si>
  <si>
    <t xml:space="preserve">What surprised you</t>
  </si>
  <si>
    <t xml:space="preserve">Things you didn't expect — positive or negative.</t>
  </si>
  <si>
    <t xml:space="preserve">Lessons &amp; forward-looking</t>
  </si>
  <si>
    <t xml:space="preserve">Top lesson learned</t>
  </si>
  <si>
    <t xml:space="preserve">If you only remember one thing from this project, it's...</t>
  </si>
  <si>
    <t xml:space="preserve">Pricing adjustment for similar future projects</t>
  </si>
  <si>
    <t xml:space="preserve">Concrete: 'Charge 20% more for Pro packages with sensitive content,' etc.</t>
  </si>
  <si>
    <t xml:space="preserve">Framework improvement suggestions</t>
  </si>
  <si>
    <t xml:space="preserve">Specific changes to add to the toolkit (helper sheet that would have helped, etc.).</t>
  </si>
  <si>
    <t xml:space="preserve">Discovery process changes</t>
  </si>
  <si>
    <t xml:space="preserve">Questions to add/remove for next discovery. Often the biggest source of avoidable problems.</t>
  </si>
  <si>
    <t xml:space="preserve">Anything to do differently in Phase 1-6</t>
  </si>
  <si>
    <t xml:space="preserve">Phase-specific lessons.</t>
  </si>
  <si>
    <t xml:space="preserve">Archive Row (copy these cells to Retrospective Archive)</t>
  </si>
  <si>
    <t xml:space="preserve">Copy the values below into a new row in the Retrospective Archive sheet (paste as VALUES, not formulas).</t>
  </si>
  <si>
    <t xml:space="preserve">Start date</t>
  </si>
  <si>
    <t xml:space="preserve">Go-live date</t>
  </si>
  <si>
    <t xml:space="preserve">Setup price (CHF)</t>
  </si>
  <si>
    <t xml:space="preserve">Monthly price (CHF)</t>
  </si>
  <si>
    <t xml:space="preserve">Repeat potential</t>
  </si>
  <si>
    <t xml:space="preserve">Pricing adjustment</t>
  </si>
  <si>
    <t xml:space="preserve">Framework improvement</t>
  </si>
  <si>
    <t xml:space="preserve">Retrospective Archive</t>
  </si>
  <si>
    <t xml:space="preserve">One row per completed project. Append a new row whenever you complete a retrospective. Patterns emerge after 5+ entries.</t>
  </si>
  <si>
    <t xml:space="preserve">Package</t>
  </si>
  <si>
    <t xml:space="preserve">Setup CHF</t>
  </si>
  <si>
    <t xml:space="preserve">Monthly CHF</t>
  </si>
  <si>
    <t xml:space="preserve">Outcome</t>
  </si>
  <si>
    <t xml:space="preserve">Estimation</t>
  </si>
  <si>
    <t xml:space="preserve">Relationship</t>
  </si>
  <si>
    <t xml:space="preserve">Repeat</t>
  </si>
  <si>
    <t xml:space="preserve">Scope creep</t>
  </si>
  <si>
    <t xml:space="preserve">Top lesson</t>
  </si>
  <si>
    <t xml:space="preserve">Patterns at a Glance (auto-computed from Archive)</t>
  </si>
  <si>
    <t xml:space="preserve">Cross-project pattern analysis. Counts from the Retrospective Archive. Most useful after 5+ entries — small samples can mislead.</t>
  </si>
  <si>
    <t xml:space="preserve">Project counts</t>
  </si>
  <si>
    <t xml:space="preserve">Category</t>
  </si>
  <si>
    <t xml:space="preserve">Meaning</t>
  </si>
  <si>
    <t xml:space="preserve">Count / Value</t>
  </si>
  <si>
    <t xml:space="preserve">Projects completed</t>
  </si>
  <si>
    <t xml:space="preserve">Total in archive.</t>
  </si>
  <si>
    <t xml:space="preserve">Outcome distribution</t>
  </si>
  <si>
    <t xml:space="preserve">Successful</t>
  </si>
  <si>
    <t xml:space="preserve">Met all goals.</t>
  </si>
  <si>
    <t xml:space="preserve">Mixed</t>
  </si>
  <si>
    <t xml:space="preserve">Some goals missed.</t>
  </si>
  <si>
    <t xml:space="preserve">Difficult</t>
  </si>
  <si>
    <t xml:space="preserve">Met but with friction.</t>
  </si>
  <si>
    <t xml:space="preserve">Failed</t>
  </si>
  <si>
    <t xml:space="preserve">Did not deliver.</t>
  </si>
  <si>
    <t xml:space="preserve">Cancelled</t>
  </si>
  <si>
    <t xml:space="preserve">Stopped mid-project.</t>
  </si>
  <si>
    <t xml:space="preserve">Profitable</t>
  </si>
  <si>
    <t xml:space="preserve">Net positive.</t>
  </si>
  <si>
    <t xml:space="preserve">Break-even</t>
  </si>
  <si>
    <t xml:space="preserve">No profit, no loss.</t>
  </si>
  <si>
    <t xml:space="preserve">Loss</t>
  </si>
  <si>
    <t xml:space="preserve">Net negative.</t>
  </si>
  <si>
    <t xml:space="preserve">Not yet measured</t>
  </si>
  <si>
    <t xml:space="preserve">Pending measurement.</t>
  </si>
  <si>
    <t xml:space="preserve">Pricing right</t>
  </si>
  <si>
    <t xml:space="preserve">Quote matched effort.</t>
  </si>
  <si>
    <t xml:space="preserve">Underestimated (lost money)</t>
  </si>
  <si>
    <t xml:space="preserve">Quoted too low.</t>
  </si>
  <si>
    <t xml:space="preserve">Overestimated (good margin)</t>
  </si>
  <si>
    <t xml:space="preserve">Quoted high; healthy margin.</t>
  </si>
  <si>
    <t xml:space="preserve">Significantly off</t>
  </si>
  <si>
    <t xml:space="preserve">Way off either direction.</t>
  </si>
  <si>
    <t xml:space="preserve">Client relationship outcomes</t>
  </si>
  <si>
    <t xml:space="preserve">Strong — active referrer</t>
  </si>
  <si>
    <t xml:space="preserve">Sending you leads.</t>
  </si>
  <si>
    <t xml:space="preserve">Good — might return</t>
  </si>
  <si>
    <t xml:space="preserve">Open to next project.</t>
  </si>
  <si>
    <t xml:space="preserve">OK — delivered cleanly</t>
  </si>
  <si>
    <t xml:space="preserve">Transactional success.</t>
  </si>
  <si>
    <t xml:space="preserve">Strained</t>
  </si>
  <si>
    <t xml:space="preserve">Tension remains.</t>
  </si>
  <si>
    <t xml:space="preserve">Lost</t>
  </si>
  <si>
    <t xml:space="preserve">Won't work with them again.</t>
  </si>
  <si>
    <t xml:space="preserve">High — already discussing</t>
  </si>
  <si>
    <t xml:space="preserve">Next project in flight.</t>
  </si>
  <si>
    <t xml:space="preserve">Possible — good rapport</t>
  </si>
  <si>
    <t xml:space="preserve">Possible later.</t>
  </si>
  <si>
    <t xml:space="preserve">Unlikely</t>
  </si>
  <si>
    <t xml:space="preserve">One and done.</t>
  </si>
  <si>
    <t xml:space="preserve">No</t>
  </si>
  <si>
    <t xml:space="preserve">Confirmed no repeat.</t>
  </si>
  <si>
    <t xml:space="preserve">Scope creep frequency</t>
  </si>
  <si>
    <t xml:space="preserve">No creep</t>
  </si>
  <si>
    <t xml:space="preserve">Scope held.</t>
  </si>
  <si>
    <t xml:space="preserve">Minor (absorbed)</t>
  </si>
  <si>
    <t xml:space="preserve">Small creep, absorbed.</t>
  </si>
  <si>
    <t xml:space="preserve">Significant (negotiated)</t>
  </si>
  <si>
    <t xml:space="preserve">Material creep, renegotiated scope.</t>
  </si>
  <si>
    <t xml:space="preserve">Major (renegotiated price)</t>
  </si>
  <si>
    <t xml:space="preserve">Big creep, renegotiated commercials.</t>
  </si>
  <si>
    <t xml:space="preserve">Pricing benchmarks (across all archive entries)</t>
  </si>
  <si>
    <t xml:space="preserve">Average setup (CHF)</t>
  </si>
  <si>
    <t xml:space="preserve">Across all projects.</t>
  </si>
  <si>
    <t xml:space="preserve">Average monthly (CHF)</t>
  </si>
  <si>
    <t xml:space="preserve">Managed-service projects only.</t>
  </si>
  <si>
    <t xml:space="preserve">Highest setup</t>
  </si>
  <si>
    <t xml:space="preserve">Top project.</t>
  </si>
  <si>
    <t xml:space="preserve">Lowest setup</t>
  </si>
  <si>
    <t xml:space="preserve">Floor.</t>
  </si>
  <si>
    <t xml:space="preserve">Pattern-spotting tip: when you have 5+ entries, sort the Archive by Outcome or Profitability and read the 'What didn't work' / 'Top lesson' columns of the difficult/loss projects. Common themes there are your most valuable signals.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</si>
</sst>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00000"/>
      <name val="Calibri"/>
      <family val="0"/>
      <charset val="1"/>
    </font>
    <font>
      <i val="true"/>
      <sz val="11"/>
      <color rgb="FF000000"/>
      <name val="Calibri"/>
      <family val="0"/>
      <charset val="1"/>
    </font>
    <font>
      <b val="true"/>
      <sz val="13"/>
      <color rgb="FF000000"/>
      <name val="Calibri"/>
      <family val="0"/>
      <charset val="1"/>
    </font>
    <font>
      <sz val="11"/>
      <color rgb="FF000000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sz val="11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E2F0D9"/>
      </patternFill>
    </fill>
    <fill>
      <patternFill patternType="solid">
        <fgColor rgb="FFE7E6E6"/>
        <bgColor rgb="FFE2F0D9"/>
      </patternFill>
    </fill>
    <fill>
      <patternFill patternType="solid">
        <fgColor rgb="FFD9EAF7"/>
        <bgColor rgb="FFE7E6E6"/>
      </patternFill>
    </fill>
    <fill>
      <patternFill patternType="solid">
        <fgColor rgb="FFE2F0D9"/>
        <bgColor rgb="FFE7E6E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9EA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60"/>
  </cols>
  <sheetData>
    <row r="1" customFormat="false" ht="24" hidden="false" customHeight="true" outlineLevel="0" collapsed="false">
      <c r="A1" s="2" t="s">
        <v>0</v>
      </c>
      <c r="B1" s="2"/>
    </row>
    <row r="2" customFormat="false" ht="60" hidden="false" customHeight="true" outlineLevel="0" collapsed="false">
      <c r="A2" s="3" t="s">
        <v>1</v>
      </c>
      <c r="B2" s="3"/>
    </row>
    <row r="4" customFormat="false" ht="21.75" hidden="false" customHeight="true" outlineLevel="0" collapsed="false">
      <c r="A4" s="4" t="s">
        <v>2</v>
      </c>
      <c r="B4" s="4"/>
    </row>
    <row r="5" customFormat="false" ht="27.75" hidden="false" customHeight="true" outlineLevel="0" collapsed="false">
      <c r="A5" s="5" t="s">
        <v>3</v>
      </c>
      <c r="B5" s="5"/>
    </row>
    <row r="6" customFormat="false" ht="27.75" hidden="false" customHeight="true" outlineLevel="0" collapsed="false">
      <c r="A6" s="5" t="s">
        <v>4</v>
      </c>
      <c r="B6" s="5"/>
    </row>
    <row r="7" customFormat="false" ht="27.75" hidden="false" customHeight="true" outlineLevel="0" collapsed="false">
      <c r="A7" s="5" t="s">
        <v>5</v>
      </c>
      <c r="B7" s="5"/>
    </row>
    <row r="8" customFormat="false" ht="27.75" hidden="false" customHeight="true" outlineLevel="0" collapsed="false">
      <c r="A8" s="5" t="s">
        <v>6</v>
      </c>
      <c r="B8" s="5"/>
    </row>
    <row r="9" customFormat="false" ht="27.75" hidden="false" customHeight="true" outlineLevel="0" collapsed="false">
      <c r="A9" s="5" t="s">
        <v>7</v>
      </c>
      <c r="B9" s="5"/>
    </row>
    <row r="11" customFormat="false" ht="21.75" hidden="false" customHeight="true" outlineLevel="0" collapsed="false">
      <c r="A11" s="4" t="s">
        <v>8</v>
      </c>
      <c r="B11" s="4"/>
    </row>
    <row r="12" customFormat="false" ht="21.75" hidden="false" customHeight="true" outlineLevel="0" collapsed="false">
      <c r="A12" s="6" t="s">
        <v>9</v>
      </c>
      <c r="B12" s="6" t="s">
        <v>10</v>
      </c>
    </row>
    <row r="13" customFormat="false" ht="34.5" hidden="false" customHeight="true" outlineLevel="0" collapsed="false">
      <c r="A13" s="7" t="s">
        <v>11</v>
      </c>
      <c r="B13" s="8" t="s">
        <v>12</v>
      </c>
    </row>
    <row r="14" customFormat="false" ht="34.5" hidden="false" customHeight="true" outlineLevel="0" collapsed="false">
      <c r="A14" s="7" t="s">
        <v>13</v>
      </c>
      <c r="B14" s="9" t="s">
        <v>14</v>
      </c>
    </row>
    <row r="15" customFormat="false" ht="34.5" hidden="false" customHeight="true" outlineLevel="0" collapsed="false">
      <c r="A15" s="7" t="s">
        <v>15</v>
      </c>
      <c r="B15" s="8" t="s">
        <v>16</v>
      </c>
    </row>
    <row r="16" customFormat="false" ht="34.5" hidden="false" customHeight="true" outlineLevel="0" collapsed="false">
      <c r="A16" s="7" t="s">
        <v>17</v>
      </c>
      <c r="B16" s="8" t="s">
        <v>18</v>
      </c>
    </row>
    <row r="17" customFormat="false" ht="34.5" hidden="false" customHeight="true" outlineLevel="0" collapsed="false">
      <c r="A17" s="7" t="s">
        <v>19</v>
      </c>
      <c r="B17" s="8" t="s">
        <v>20</v>
      </c>
    </row>
  </sheetData>
  <mergeCells count="9">
    <mergeCell ref="A1:B1"/>
    <mergeCell ref="A2:B2"/>
    <mergeCell ref="A4:B4"/>
    <mergeCell ref="A5:B5"/>
    <mergeCell ref="A6:B6"/>
    <mergeCell ref="A7:B7"/>
    <mergeCell ref="A8:B8"/>
    <mergeCell ref="A9:B9"/>
    <mergeCell ref="A11:B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40"/>
    <col collapsed="false" customWidth="true" hidden="false" outlineLevel="0" max="3" min="3" style="1" width="50"/>
  </cols>
  <sheetData>
    <row r="1" customFormat="false" ht="24" hidden="false" customHeight="true" outlineLevel="0" collapsed="false">
      <c r="A1" s="2" t="s">
        <v>0</v>
      </c>
      <c r="B1" s="2"/>
      <c r="C1" s="2"/>
    </row>
    <row r="2" customFormat="false" ht="36" hidden="false" customHeight="true" outlineLevel="0" collapsed="false">
      <c r="A2" s="3" t="s">
        <v>21</v>
      </c>
      <c r="B2" s="3"/>
      <c r="C2" s="3"/>
    </row>
    <row r="4" customFormat="false" ht="21.75" hidden="false" customHeight="true" outlineLevel="0" collapsed="false">
      <c r="A4" s="4" t="s">
        <v>22</v>
      </c>
      <c r="B4" s="4"/>
      <c r="C4" s="4"/>
    </row>
    <row r="5" customFormat="false" ht="24" hidden="false" customHeight="true" outlineLevel="0" collapsed="false">
      <c r="A5" s="7" t="s">
        <v>23</v>
      </c>
      <c r="B5" s="10"/>
      <c r="C5" s="11" t="s">
        <v>24</v>
      </c>
    </row>
    <row r="6" customFormat="false" ht="24" hidden="false" customHeight="true" outlineLevel="0" collapsed="false">
      <c r="A6" s="7" t="s">
        <v>25</v>
      </c>
      <c r="B6" s="10"/>
      <c r="C6" s="11" t="s">
        <v>26</v>
      </c>
    </row>
    <row r="7" customFormat="false" ht="24" hidden="false" customHeight="true" outlineLevel="0" collapsed="false">
      <c r="A7" s="7" t="s">
        <v>27</v>
      </c>
      <c r="B7" s="10"/>
      <c r="C7" s="11" t="s">
        <v>28</v>
      </c>
    </row>
    <row r="8" customFormat="false" ht="24" hidden="false" customHeight="true" outlineLevel="0" collapsed="false">
      <c r="A8" s="7" t="s">
        <v>29</v>
      </c>
      <c r="B8" s="10"/>
      <c r="C8" s="11" t="s">
        <v>30</v>
      </c>
    </row>
    <row r="9" customFormat="false" ht="24" hidden="false" customHeight="true" outlineLevel="0" collapsed="false">
      <c r="A9" s="7" t="s">
        <v>31</v>
      </c>
      <c r="B9" s="10"/>
      <c r="C9" s="11" t="s">
        <v>30</v>
      </c>
    </row>
    <row r="10" customFormat="false" ht="24" hidden="false" customHeight="true" outlineLevel="0" collapsed="false">
      <c r="A10" s="7" t="s">
        <v>32</v>
      </c>
      <c r="B10" s="10"/>
      <c r="C10" s="11" t="s">
        <v>33</v>
      </c>
    </row>
    <row r="11" customFormat="false" ht="24" hidden="false" customHeight="true" outlineLevel="0" collapsed="false">
      <c r="A11" s="7" t="s">
        <v>34</v>
      </c>
      <c r="B11" s="10"/>
      <c r="C11" s="11" t="s">
        <v>35</v>
      </c>
    </row>
    <row r="12" customFormat="false" ht="24" hidden="false" customHeight="true" outlineLevel="0" collapsed="false">
      <c r="A12" s="7" t="s">
        <v>36</v>
      </c>
      <c r="B12" s="10"/>
      <c r="C12" s="11" t="s">
        <v>37</v>
      </c>
    </row>
    <row r="14" customFormat="false" ht="21.75" hidden="false" customHeight="true" outlineLevel="0" collapsed="false">
      <c r="A14" s="4" t="s">
        <v>38</v>
      </c>
      <c r="B14" s="4"/>
      <c r="C14" s="4"/>
    </row>
    <row r="15" customFormat="false" ht="31.5" hidden="false" customHeight="true" outlineLevel="0" collapsed="false">
      <c r="A15" s="7" t="s">
        <v>39</v>
      </c>
      <c r="B15" s="10"/>
      <c r="C15" s="11" t="s">
        <v>40</v>
      </c>
    </row>
    <row r="16" customFormat="false" ht="24" hidden="false" customHeight="true" outlineLevel="0" collapsed="false">
      <c r="A16" s="7" t="s">
        <v>41</v>
      </c>
      <c r="B16" s="10"/>
      <c r="C16" s="11" t="s">
        <v>42</v>
      </c>
    </row>
    <row r="17" customFormat="false" ht="31.5" hidden="false" customHeight="true" outlineLevel="0" collapsed="false">
      <c r="A17" s="7" t="s">
        <v>43</v>
      </c>
      <c r="B17" s="10"/>
      <c r="C17" s="11" t="s">
        <v>44</v>
      </c>
    </row>
    <row r="18" customFormat="false" ht="31.5" hidden="false" customHeight="true" outlineLevel="0" collapsed="false">
      <c r="A18" s="7" t="s">
        <v>45</v>
      </c>
      <c r="B18" s="10"/>
      <c r="C18" s="11" t="s">
        <v>46</v>
      </c>
    </row>
    <row r="19" customFormat="false" ht="24" hidden="false" customHeight="true" outlineLevel="0" collapsed="false">
      <c r="A19" s="7" t="s">
        <v>47</v>
      </c>
      <c r="B19" s="10"/>
      <c r="C19" s="11" t="s">
        <v>48</v>
      </c>
    </row>
    <row r="20" customFormat="false" ht="31.5" hidden="false" customHeight="true" outlineLevel="0" collapsed="false">
      <c r="A20" s="7" t="s">
        <v>49</v>
      </c>
      <c r="B20" s="10"/>
      <c r="C20" s="11" t="s">
        <v>50</v>
      </c>
    </row>
    <row r="22" customFormat="false" ht="21.75" hidden="false" customHeight="true" outlineLevel="0" collapsed="false">
      <c r="A22" s="4" t="s">
        <v>51</v>
      </c>
      <c r="B22" s="4"/>
      <c r="C22" s="4"/>
    </row>
    <row r="23" customFormat="false" ht="69.75" hidden="false" customHeight="true" outlineLevel="0" collapsed="false">
      <c r="A23" s="7" t="s">
        <v>52</v>
      </c>
      <c r="B23" s="10"/>
      <c r="C23" s="11" t="s">
        <v>53</v>
      </c>
    </row>
    <row r="24" customFormat="false" ht="69.75" hidden="false" customHeight="true" outlineLevel="0" collapsed="false">
      <c r="A24" s="7" t="s">
        <v>54</v>
      </c>
      <c r="B24" s="10"/>
      <c r="C24" s="11" t="s">
        <v>55</v>
      </c>
    </row>
    <row r="25" customFormat="false" ht="49.5" hidden="false" customHeight="true" outlineLevel="0" collapsed="false">
      <c r="A25" s="7" t="s">
        <v>56</v>
      </c>
      <c r="B25" s="10"/>
      <c r="C25" s="11" t="s">
        <v>57</v>
      </c>
    </row>
    <row r="27" customFormat="false" ht="21.75" hidden="false" customHeight="true" outlineLevel="0" collapsed="false">
      <c r="A27" s="4" t="s">
        <v>58</v>
      </c>
      <c r="B27" s="4"/>
      <c r="C27" s="4"/>
    </row>
    <row r="28" customFormat="false" ht="49.5" hidden="false" customHeight="true" outlineLevel="0" collapsed="false">
      <c r="A28" s="7" t="s">
        <v>59</v>
      </c>
      <c r="B28" s="10"/>
      <c r="C28" s="11" t="s">
        <v>60</v>
      </c>
    </row>
    <row r="29" customFormat="false" ht="49.5" hidden="false" customHeight="true" outlineLevel="0" collapsed="false">
      <c r="A29" s="7" t="s">
        <v>61</v>
      </c>
      <c r="B29" s="10"/>
      <c r="C29" s="11" t="s">
        <v>62</v>
      </c>
    </row>
    <row r="30" customFormat="false" ht="49.5" hidden="false" customHeight="true" outlineLevel="0" collapsed="false">
      <c r="A30" s="7" t="s">
        <v>63</v>
      </c>
      <c r="B30" s="10"/>
      <c r="C30" s="11" t="s">
        <v>64</v>
      </c>
    </row>
    <row r="31" customFormat="false" ht="49.5" hidden="false" customHeight="true" outlineLevel="0" collapsed="false">
      <c r="A31" s="7" t="s">
        <v>65</v>
      </c>
      <c r="B31" s="10"/>
      <c r="C31" s="11" t="s">
        <v>66</v>
      </c>
    </row>
    <row r="32" customFormat="false" ht="49.5" hidden="false" customHeight="true" outlineLevel="0" collapsed="false">
      <c r="A32" s="7" t="s">
        <v>67</v>
      </c>
      <c r="B32" s="10"/>
      <c r="C32" s="11" t="s">
        <v>68</v>
      </c>
    </row>
    <row r="35" customFormat="false" ht="21.75" hidden="false" customHeight="true" outlineLevel="0" collapsed="false">
      <c r="A35" s="4" t="s">
        <v>69</v>
      </c>
      <c r="B35" s="4"/>
      <c r="C35" s="4"/>
    </row>
    <row r="36" customFormat="false" ht="30" hidden="false" customHeight="true" outlineLevel="0" collapsed="false">
      <c r="A36" s="3" t="s">
        <v>70</v>
      </c>
      <c r="B36" s="3"/>
      <c r="C36" s="3"/>
    </row>
    <row r="37" customFormat="false" ht="21.75" hidden="false" customHeight="true" outlineLevel="0" collapsed="false">
      <c r="A37" s="7" t="s">
        <v>23</v>
      </c>
      <c r="B37" s="12" t="n">
        <f aca="false">B5</f>
        <v>0</v>
      </c>
      <c r="C37" s="12"/>
    </row>
    <row r="38" customFormat="false" ht="21.75" hidden="false" customHeight="true" outlineLevel="0" collapsed="false">
      <c r="A38" s="7" t="s">
        <v>25</v>
      </c>
      <c r="B38" s="12" t="n">
        <f aca="false">B6</f>
        <v>0</v>
      </c>
      <c r="C38" s="12"/>
    </row>
    <row r="39" customFormat="false" ht="21.75" hidden="false" customHeight="true" outlineLevel="0" collapsed="false">
      <c r="A39" s="7" t="s">
        <v>27</v>
      </c>
      <c r="B39" s="12" t="n">
        <f aca="false">B7</f>
        <v>0</v>
      </c>
      <c r="C39" s="12"/>
    </row>
    <row r="40" customFormat="false" ht="21.75" hidden="false" customHeight="true" outlineLevel="0" collapsed="false">
      <c r="A40" s="7" t="s">
        <v>71</v>
      </c>
      <c r="B40" s="12" t="n">
        <f aca="false">B8</f>
        <v>0</v>
      </c>
      <c r="C40" s="12"/>
    </row>
    <row r="41" customFormat="false" ht="21.75" hidden="false" customHeight="true" outlineLevel="0" collapsed="false">
      <c r="A41" s="7" t="s">
        <v>72</v>
      </c>
      <c r="B41" s="12" t="n">
        <f aca="false">B9</f>
        <v>0</v>
      </c>
      <c r="C41" s="12"/>
    </row>
    <row r="42" customFormat="false" ht="21.75" hidden="false" customHeight="true" outlineLevel="0" collapsed="false">
      <c r="A42" s="7" t="s">
        <v>73</v>
      </c>
      <c r="B42" s="12" t="n">
        <f aca="false">B11</f>
        <v>0</v>
      </c>
      <c r="C42" s="12"/>
    </row>
    <row r="43" customFormat="false" ht="21.75" hidden="false" customHeight="true" outlineLevel="0" collapsed="false">
      <c r="A43" s="7" t="s">
        <v>74</v>
      </c>
      <c r="B43" s="12" t="n">
        <f aca="false">B12</f>
        <v>0</v>
      </c>
      <c r="C43" s="12"/>
    </row>
    <row r="44" customFormat="false" ht="21.75" hidden="false" customHeight="true" outlineLevel="0" collapsed="false">
      <c r="A44" s="7" t="s">
        <v>39</v>
      </c>
      <c r="B44" s="12" t="n">
        <f aca="false">B15</f>
        <v>0</v>
      </c>
      <c r="C44" s="12"/>
    </row>
    <row r="45" customFormat="false" ht="21.75" hidden="false" customHeight="true" outlineLevel="0" collapsed="false">
      <c r="A45" s="7" t="s">
        <v>41</v>
      </c>
      <c r="B45" s="12" t="n">
        <f aca="false">B16</f>
        <v>0</v>
      </c>
      <c r="C45" s="12"/>
    </row>
    <row r="46" customFormat="false" ht="21.75" hidden="false" customHeight="true" outlineLevel="0" collapsed="false">
      <c r="A46" s="7" t="s">
        <v>43</v>
      </c>
      <c r="B46" s="12" t="n">
        <f aca="false">B17</f>
        <v>0</v>
      </c>
      <c r="C46" s="12"/>
    </row>
    <row r="47" customFormat="false" ht="21.75" hidden="false" customHeight="true" outlineLevel="0" collapsed="false">
      <c r="A47" s="7" t="s">
        <v>45</v>
      </c>
      <c r="B47" s="12" t="n">
        <f aca="false">B18</f>
        <v>0</v>
      </c>
      <c r="C47" s="12"/>
    </row>
    <row r="48" customFormat="false" ht="21.75" hidden="false" customHeight="true" outlineLevel="0" collapsed="false">
      <c r="A48" s="7" t="s">
        <v>75</v>
      </c>
      <c r="B48" s="12" t="n">
        <f aca="false">B19</f>
        <v>0</v>
      </c>
      <c r="C48" s="12"/>
    </row>
    <row r="49" customFormat="false" ht="21.75" hidden="false" customHeight="true" outlineLevel="0" collapsed="false">
      <c r="A49" s="7" t="s">
        <v>49</v>
      </c>
      <c r="B49" s="12" t="n">
        <f aca="false">B20</f>
        <v>0</v>
      </c>
      <c r="C49" s="12"/>
    </row>
    <row r="50" customFormat="false" ht="21.75" hidden="false" customHeight="true" outlineLevel="0" collapsed="false">
      <c r="A50" s="7" t="s">
        <v>59</v>
      </c>
      <c r="B50" s="12" t="n">
        <f aca="false">B28</f>
        <v>0</v>
      </c>
      <c r="C50" s="12"/>
    </row>
    <row r="51" customFormat="false" ht="21.75" hidden="false" customHeight="true" outlineLevel="0" collapsed="false">
      <c r="A51" s="7" t="s">
        <v>76</v>
      </c>
      <c r="B51" s="12" t="n">
        <f aca="false">B29</f>
        <v>0</v>
      </c>
      <c r="C51" s="12"/>
    </row>
    <row r="52" customFormat="false" ht="21.75" hidden="false" customHeight="true" outlineLevel="0" collapsed="false">
      <c r="A52" s="7" t="s">
        <v>77</v>
      </c>
      <c r="B52" s="12" t="n">
        <f aca="false">B30</f>
        <v>0</v>
      </c>
      <c r="C52" s="12"/>
    </row>
  </sheetData>
  <mergeCells count="24">
    <mergeCell ref="A1:C1"/>
    <mergeCell ref="A2:C2"/>
    <mergeCell ref="A4:C4"/>
    <mergeCell ref="A14:C14"/>
    <mergeCell ref="A22:C22"/>
    <mergeCell ref="A27:C27"/>
    <mergeCell ref="A35:C35"/>
    <mergeCell ref="A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</mergeCells>
  <dataValidations count="7">
    <dataValidation allowBlank="true" errorStyle="stop" operator="between" showDropDown="false" showErrorMessage="false" showInputMessage="false" sqref="B7" type="list">
      <formula1>"Basic Intake,Basic+ AI Triage,Pro Multi-Channel,Managed Operations,Agentic Automation,Build-and-Transfer,Mixed"</formula1>
      <formula2>0</formula2>
    </dataValidation>
    <dataValidation allowBlank="true" errorStyle="stop" operator="between" showDropDown="false" showErrorMessage="false" showInputMessage="false" sqref="B15" type="list">
      <formula1>"Successful,Mixed,Difficult,Failed,Cancelled"</formula1>
      <formula2>0</formula2>
    </dataValidation>
    <dataValidation allowBlank="true" errorStyle="stop" operator="between" showDropDown="false" showErrorMessage="false" showInputMessage="false" sqref="B16" type="list">
      <formula1>"Profitable,Break-even,Loss,Not yet measured"</formula1>
      <formula2>0</formula2>
    </dataValidation>
    <dataValidation allowBlank="true" errorStyle="stop" operator="between" showDropDown="false" showErrorMessage="false" showInputMessage="false" sqref="B17" type="list">
      <formula1>"Pricing right,Underestimated (lost money),Overestimated (good margin),Significantly off"</formula1>
      <formula2>0</formula2>
    </dataValidation>
    <dataValidation allowBlank="true" errorStyle="stop" operator="between" showDropDown="false" showErrorMessage="false" showInputMessage="false" sqref="B18" type="list">
      <formula1>"Strong - active referrer,Good - might return,OK - delivered cleanly,Strained,Lost"</formula1>
      <formula2>0</formula2>
    </dataValidation>
    <dataValidation allowBlank="true" errorStyle="stop" operator="between" showDropDown="false" showErrorMessage="false" showInputMessage="false" sqref="B19" type="list">
      <formula1>"High - already discussing,Possible - good rapport,Unlikely,No"</formula1>
      <formula2>0</formula2>
    </dataValidation>
    <dataValidation allowBlank="true" errorStyle="stop" operator="between" showDropDown="false" showErrorMessage="false" showInputMessage="false" sqref="B20" type="list">
      <formula1>"No,Minor (absorbed),Significant (negotiated),Major (renegotiated price)"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25"/>
    <col collapsed="false" customWidth="true" hidden="false" outlineLevel="0" max="3" min="3" style="1" width="22"/>
    <col collapsed="false" customWidth="true" hidden="false" outlineLevel="0" max="7" min="4" style="1" width="12"/>
    <col collapsed="false" customWidth="true" hidden="false" outlineLevel="0" max="9" min="8" style="1" width="14"/>
    <col collapsed="false" customWidth="true" hidden="false" outlineLevel="0" max="13" min="10" style="1" width="18"/>
    <col collapsed="false" customWidth="true" hidden="false" outlineLevel="0" max="16" min="14" style="1" width="30"/>
  </cols>
  <sheetData>
    <row r="1" customFormat="false" ht="24" hidden="false" customHeight="true" outlineLevel="0" collapsed="false">
      <c r="A1" s="2" t="s">
        <v>78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customFormat="false" ht="27.75" hidden="false" customHeight="true" outlineLevel="0" collapsed="false">
      <c r="A2" s="3" t="s">
        <v>79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4" customFormat="false" ht="30" hidden="false" customHeight="true" outlineLevel="0" collapsed="false">
      <c r="A4" s="6" t="s">
        <v>23</v>
      </c>
      <c r="B4" s="6" t="s">
        <v>25</v>
      </c>
      <c r="C4" s="6" t="s">
        <v>80</v>
      </c>
      <c r="D4" s="6" t="s">
        <v>71</v>
      </c>
      <c r="E4" s="6" t="s">
        <v>72</v>
      </c>
      <c r="F4" s="6" t="s">
        <v>81</v>
      </c>
      <c r="G4" s="6" t="s">
        <v>82</v>
      </c>
      <c r="H4" s="6" t="s">
        <v>83</v>
      </c>
      <c r="I4" s="6" t="s">
        <v>41</v>
      </c>
      <c r="J4" s="6" t="s">
        <v>84</v>
      </c>
      <c r="K4" s="6" t="s">
        <v>85</v>
      </c>
      <c r="L4" s="6" t="s">
        <v>86</v>
      </c>
      <c r="M4" s="6" t="s">
        <v>87</v>
      </c>
      <c r="N4" s="6" t="s">
        <v>88</v>
      </c>
      <c r="O4" s="6" t="s">
        <v>76</v>
      </c>
      <c r="P4" s="6" t="s">
        <v>77</v>
      </c>
    </row>
    <row r="5" customFormat="false" ht="27.75" hidden="false" customHeight="true" outlineLevel="0" collapsed="false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</row>
    <row r="6" customFormat="false" ht="27.75" hidden="false" customHeight="true" outlineLevel="0" collapsed="false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</row>
    <row r="7" customFormat="false" ht="27.75" hidden="false" customHeight="true" outlineLevel="0" collapsed="false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</row>
    <row r="8" customFormat="false" ht="27.75" hidden="false" customHeight="true" outlineLevel="0" collapsed="false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</row>
    <row r="9" customFormat="false" ht="27.75" hidden="false" customHeight="true" outlineLevel="0" collapsed="false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</row>
    <row r="10" customFormat="false" ht="27.75" hidden="false" customHeight="true" outlineLevel="0" collapsed="false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</row>
    <row r="11" customFormat="false" ht="27.75" hidden="false" customHeight="true" outlineLevel="0" collapsed="false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</row>
    <row r="12" customFormat="false" ht="27.75" hidden="false" customHeight="true" outlineLevel="0" collapsed="false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</row>
    <row r="13" customFormat="false" ht="27.75" hidden="false" customHeight="true" outlineLevel="0" collapsed="false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</row>
    <row r="14" customFormat="false" ht="27.75" hidden="false" customHeight="true" outlineLevel="0" collapsed="false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</row>
    <row r="15" customFormat="false" ht="27.75" hidden="false" customHeight="true" outlineLevel="0" collapsed="false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</row>
    <row r="16" customFormat="false" ht="27.75" hidden="false" customHeight="true" outlineLevel="0" collapsed="false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</row>
    <row r="17" customFormat="false" ht="27.75" hidden="false" customHeight="true" outlineLevel="0" collapsed="false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</row>
    <row r="18" customFormat="false" ht="27.75" hidden="false" customHeight="true" outlineLevel="0" collapsed="false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</row>
    <row r="19" customFormat="false" ht="27.75" hidden="false" customHeight="true" outlineLevel="0" collapsed="false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</row>
    <row r="20" customFormat="false" ht="27.75" hidden="false" customHeight="true" outlineLevel="0" collapsed="false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</row>
    <row r="21" customFormat="false" ht="27.75" hidden="false" customHeight="true" outlineLevel="0" collapsed="false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</row>
    <row r="22" customFormat="false" ht="27.75" hidden="false" customHeight="true" outlineLevel="0" collapsed="false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</row>
    <row r="23" customFormat="false" ht="27.75" hidden="false" customHeight="true" outlineLevel="0" collapsed="false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</row>
    <row r="24" customFormat="false" ht="27.75" hidden="false" customHeight="true" outlineLevel="0" collapsed="false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</row>
    <row r="25" customFormat="false" ht="27.75" hidden="false" customHeight="true" outlineLevel="0" collapsed="false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</row>
    <row r="26" customFormat="false" ht="27.75" hidden="false" customHeight="true" outlineLevel="0" collapsed="false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</row>
    <row r="27" customFormat="false" ht="27.75" hidden="false" customHeight="true" outlineLevel="0" collapsed="false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</row>
    <row r="28" customFormat="false" ht="27.75" hidden="false" customHeight="true" outlineLevel="0" collapsed="false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</row>
    <row r="29" customFormat="false" ht="27.75" hidden="false" customHeight="true" outlineLevel="0" collapsed="false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</row>
    <row r="30" customFormat="false" ht="27.75" hidden="false" customHeight="true" outlineLevel="0" collapsed="false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</row>
    <row r="31" customFormat="false" ht="27.75" hidden="false" customHeight="true" outlineLevel="0" collapsed="false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</row>
    <row r="32" customFormat="false" ht="27.75" hidden="false" customHeight="true" outlineLevel="0" collapsed="false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</row>
    <row r="33" customFormat="false" ht="27.75" hidden="false" customHeight="true" outlineLevel="0" collapsed="false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</row>
    <row r="34" customFormat="false" ht="27.75" hidden="false" customHeight="true" outlineLevel="0" collapsed="false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</row>
  </sheetData>
  <mergeCells count="2">
    <mergeCell ref="A1:P1"/>
    <mergeCell ref="A2:P2"/>
  </mergeCells>
  <dataValidations count="7">
    <dataValidation allowBlank="true" errorStyle="stop" operator="between" showDropDown="false" showErrorMessage="false" showInputMessage="false" sqref="C5:C34" type="list">
      <formula1>"Basic Intake,Basic+ AI Triage,Pro Multi-Channel,Managed Operations,Agentic Automation,Build-and-Transfer,Mixed"</formula1>
      <formula2>0</formula2>
    </dataValidation>
    <dataValidation allowBlank="true" errorStyle="stop" operator="between" showDropDown="false" showErrorMessage="false" showInputMessage="false" sqref="H5:H34" type="list">
      <formula1>"Successful,Mixed,Difficult,Failed,Cancelled"</formula1>
      <formula2>0</formula2>
    </dataValidation>
    <dataValidation allowBlank="true" errorStyle="stop" operator="between" showDropDown="false" showErrorMessage="false" showInputMessage="false" sqref="I5:I34" type="list">
      <formula1>"Profitable,Break-even,Loss,Not yet measured"</formula1>
      <formula2>0</formula2>
    </dataValidation>
    <dataValidation allowBlank="true" errorStyle="stop" operator="between" showDropDown="false" showErrorMessage="false" showInputMessage="false" sqref="J5:J34" type="list">
      <formula1>"Pricing right,Underestimated (lost money),Overestimated (good margin),Significantly off"</formula1>
      <formula2>0</formula2>
    </dataValidation>
    <dataValidation allowBlank="true" errorStyle="stop" operator="between" showDropDown="false" showErrorMessage="false" showInputMessage="false" sqref="K5:K34" type="list">
      <formula1>"Strong - active referrer,Good - might return,OK - delivered cleanly,Strained,Lost"</formula1>
      <formula2>0</formula2>
    </dataValidation>
    <dataValidation allowBlank="true" errorStyle="stop" operator="between" showDropDown="false" showErrorMessage="false" showInputMessage="false" sqref="L5:L34" type="list">
      <formula1>"High - already discussing,Possible - good rapport,Unlikely,No"</formula1>
      <formula2>0</formula2>
    </dataValidation>
    <dataValidation allowBlank="true" errorStyle="stop" operator="between" showDropDown="false" showErrorMessage="false" showInputMessage="false" sqref="M5:M34" type="list">
      <formula1>"No,Minor (absorbed),Significant (negotiated),Major (renegotiated price)"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42"/>
    <col collapsed="false" customWidth="true" hidden="false" outlineLevel="0" max="3" min="3" style="1" width="16"/>
  </cols>
  <sheetData>
    <row r="1" customFormat="false" ht="24" hidden="false" customHeight="true" outlineLevel="0" collapsed="false">
      <c r="A1" s="2" t="s">
        <v>89</v>
      </c>
      <c r="B1" s="2"/>
      <c r="C1" s="2"/>
    </row>
    <row r="2" customFormat="false" ht="27.75" hidden="false" customHeight="true" outlineLevel="0" collapsed="false">
      <c r="A2" s="3" t="s">
        <v>90</v>
      </c>
      <c r="B2" s="3"/>
      <c r="C2" s="3"/>
    </row>
    <row r="4" customFormat="false" ht="21.75" hidden="false" customHeight="true" outlineLevel="0" collapsed="false">
      <c r="A4" s="4" t="s">
        <v>91</v>
      </c>
      <c r="B4" s="4"/>
      <c r="C4" s="4"/>
    </row>
    <row r="5" customFormat="false" ht="15" hidden="false" customHeight="true" outlineLevel="0" collapsed="false">
      <c r="A5" s="6" t="s">
        <v>92</v>
      </c>
      <c r="B5" s="6" t="s">
        <v>93</v>
      </c>
      <c r="C5" s="6" t="s">
        <v>94</v>
      </c>
    </row>
    <row r="6" customFormat="false" ht="21.75" hidden="false" customHeight="true" outlineLevel="0" collapsed="false">
      <c r="A6" s="14" t="s">
        <v>95</v>
      </c>
      <c r="B6" s="11" t="s">
        <v>96</v>
      </c>
      <c r="C6" s="15" t="n">
        <f aca="false">COUNTA('Retrospective Archive'!A5:A34)</f>
        <v>0</v>
      </c>
    </row>
    <row r="8" customFormat="false" ht="21.75" hidden="false" customHeight="true" outlineLevel="0" collapsed="false">
      <c r="A8" s="4" t="s">
        <v>97</v>
      </c>
      <c r="B8" s="4"/>
      <c r="C8" s="4"/>
    </row>
    <row r="9" customFormat="false" ht="15" hidden="false" customHeight="true" outlineLevel="0" collapsed="false">
      <c r="A9" s="6" t="s">
        <v>92</v>
      </c>
      <c r="B9" s="6" t="s">
        <v>93</v>
      </c>
      <c r="C9" s="6" t="s">
        <v>94</v>
      </c>
    </row>
    <row r="10" customFormat="false" ht="21.75" hidden="false" customHeight="true" outlineLevel="0" collapsed="false">
      <c r="A10" s="14" t="s">
        <v>98</v>
      </c>
      <c r="B10" s="11" t="s">
        <v>99</v>
      </c>
      <c r="C10" s="15" t="n">
        <f aca="false">COUNTIF('Retrospective Archive'!H5:H34,"Successful")</f>
        <v>0</v>
      </c>
    </row>
    <row r="11" customFormat="false" ht="21.75" hidden="false" customHeight="true" outlineLevel="0" collapsed="false">
      <c r="A11" s="14" t="s">
        <v>100</v>
      </c>
      <c r="B11" s="11" t="s">
        <v>101</v>
      </c>
      <c r="C11" s="15" t="n">
        <f aca="false">COUNTIF('Retrospective Archive'!H5:H34,"Mixed")</f>
        <v>0</v>
      </c>
    </row>
    <row r="12" customFormat="false" ht="21.75" hidden="false" customHeight="true" outlineLevel="0" collapsed="false">
      <c r="A12" s="14" t="s">
        <v>102</v>
      </c>
      <c r="B12" s="11" t="s">
        <v>103</v>
      </c>
      <c r="C12" s="15" t="n">
        <f aca="false">COUNTIF('Retrospective Archive'!H5:H34,"Difficult")</f>
        <v>0</v>
      </c>
    </row>
    <row r="13" customFormat="false" ht="21.75" hidden="false" customHeight="true" outlineLevel="0" collapsed="false">
      <c r="A13" s="14" t="s">
        <v>104</v>
      </c>
      <c r="B13" s="11" t="s">
        <v>105</v>
      </c>
      <c r="C13" s="15" t="n">
        <f aca="false">COUNTIF('Retrospective Archive'!H5:H34,"Failed")</f>
        <v>0</v>
      </c>
    </row>
    <row r="14" customFormat="false" ht="21.75" hidden="false" customHeight="true" outlineLevel="0" collapsed="false">
      <c r="A14" s="14" t="s">
        <v>106</v>
      </c>
      <c r="B14" s="11" t="s">
        <v>107</v>
      </c>
      <c r="C14" s="15" t="n">
        <f aca="false">COUNTIF('Retrospective Archive'!H5:H34,"Cancelled")</f>
        <v>0</v>
      </c>
    </row>
    <row r="16" customFormat="false" ht="21.75" hidden="false" customHeight="true" outlineLevel="0" collapsed="false">
      <c r="A16" s="4" t="s">
        <v>41</v>
      </c>
      <c r="B16" s="4"/>
      <c r="C16" s="4"/>
    </row>
    <row r="17" customFormat="false" ht="15" hidden="false" customHeight="true" outlineLevel="0" collapsed="false">
      <c r="A17" s="6" t="s">
        <v>92</v>
      </c>
      <c r="B17" s="6" t="s">
        <v>93</v>
      </c>
      <c r="C17" s="6" t="s">
        <v>94</v>
      </c>
    </row>
    <row r="18" customFormat="false" ht="21.75" hidden="false" customHeight="true" outlineLevel="0" collapsed="false">
      <c r="A18" s="14" t="s">
        <v>108</v>
      </c>
      <c r="B18" s="11" t="s">
        <v>109</v>
      </c>
      <c r="C18" s="15" t="n">
        <f aca="false">COUNTIF('Retrospective Archive'!I5:I34,"Profitable")</f>
        <v>0</v>
      </c>
    </row>
    <row r="19" customFormat="false" ht="21.75" hidden="false" customHeight="true" outlineLevel="0" collapsed="false">
      <c r="A19" s="14" t="s">
        <v>110</v>
      </c>
      <c r="B19" s="11" t="s">
        <v>111</v>
      </c>
      <c r="C19" s="15" t="n">
        <f aca="false">COUNTIF('Retrospective Archive'!I5:I34,"Break-even")</f>
        <v>0</v>
      </c>
    </row>
    <row r="20" customFormat="false" ht="21.75" hidden="false" customHeight="true" outlineLevel="0" collapsed="false">
      <c r="A20" s="14" t="s">
        <v>112</v>
      </c>
      <c r="B20" s="11" t="s">
        <v>113</v>
      </c>
      <c r="C20" s="15" t="n">
        <f aca="false">COUNTIF('Retrospective Archive'!I5:I34,"Loss")</f>
        <v>0</v>
      </c>
    </row>
    <row r="21" customFormat="false" ht="21.75" hidden="false" customHeight="true" outlineLevel="0" collapsed="false">
      <c r="A21" s="14" t="s">
        <v>114</v>
      </c>
      <c r="B21" s="11" t="s">
        <v>115</v>
      </c>
      <c r="C21" s="15" t="n">
        <f aca="false">COUNTIF('Retrospective Archive'!I5:I34,"Not yet measured")</f>
        <v>0</v>
      </c>
    </row>
    <row r="23" customFormat="false" ht="21.75" hidden="false" customHeight="true" outlineLevel="0" collapsed="false">
      <c r="A23" s="4" t="s">
        <v>43</v>
      </c>
      <c r="B23" s="4"/>
      <c r="C23" s="4"/>
    </row>
    <row r="24" customFormat="false" ht="15" hidden="false" customHeight="true" outlineLevel="0" collapsed="false">
      <c r="A24" s="6" t="s">
        <v>92</v>
      </c>
      <c r="B24" s="6" t="s">
        <v>93</v>
      </c>
      <c r="C24" s="6" t="s">
        <v>94</v>
      </c>
    </row>
    <row r="25" customFormat="false" ht="21.75" hidden="false" customHeight="true" outlineLevel="0" collapsed="false">
      <c r="A25" s="14" t="s">
        <v>116</v>
      </c>
      <c r="B25" s="11" t="s">
        <v>117</v>
      </c>
      <c r="C25" s="15" t="n">
        <f aca="false">COUNTIF('Retrospective Archive'!J5:J34,"Pricing right")</f>
        <v>0</v>
      </c>
    </row>
    <row r="26" customFormat="false" ht="21.75" hidden="false" customHeight="true" outlineLevel="0" collapsed="false">
      <c r="A26" s="14" t="s">
        <v>118</v>
      </c>
      <c r="B26" s="11" t="s">
        <v>119</v>
      </c>
      <c r="C26" s="15" t="n">
        <f aca="false">COUNTIF('Retrospective Archive'!J5:J34,"Underestimated (lost money)")</f>
        <v>0</v>
      </c>
    </row>
    <row r="27" customFormat="false" ht="21.75" hidden="false" customHeight="true" outlineLevel="0" collapsed="false">
      <c r="A27" s="14" t="s">
        <v>120</v>
      </c>
      <c r="B27" s="11" t="s">
        <v>121</v>
      </c>
      <c r="C27" s="15" t="n">
        <f aca="false">COUNTIF('Retrospective Archive'!J5:J34,"Overestimated (good margin)")</f>
        <v>0</v>
      </c>
    </row>
    <row r="28" customFormat="false" ht="21.75" hidden="false" customHeight="true" outlineLevel="0" collapsed="false">
      <c r="A28" s="14" t="s">
        <v>122</v>
      </c>
      <c r="B28" s="11" t="s">
        <v>123</v>
      </c>
      <c r="C28" s="15" t="n">
        <f aca="false">COUNTIF('Retrospective Archive'!J5:J34,"Significantly off")</f>
        <v>0</v>
      </c>
    </row>
    <row r="30" customFormat="false" ht="21.75" hidden="false" customHeight="true" outlineLevel="0" collapsed="false">
      <c r="A30" s="4" t="s">
        <v>124</v>
      </c>
      <c r="B30" s="4"/>
      <c r="C30" s="4"/>
    </row>
    <row r="31" customFormat="false" ht="15" hidden="false" customHeight="true" outlineLevel="0" collapsed="false">
      <c r="A31" s="6" t="s">
        <v>92</v>
      </c>
      <c r="B31" s="6" t="s">
        <v>93</v>
      </c>
      <c r="C31" s="6" t="s">
        <v>94</v>
      </c>
    </row>
    <row r="32" customFormat="false" ht="21.75" hidden="false" customHeight="true" outlineLevel="0" collapsed="false">
      <c r="A32" s="14" t="s">
        <v>125</v>
      </c>
      <c r="B32" s="11" t="s">
        <v>126</v>
      </c>
      <c r="C32" s="15" t="n">
        <f aca="false">COUNTIF('Retrospective Archive'!K5:K34,"Strong - active referrer")</f>
        <v>0</v>
      </c>
    </row>
    <row r="33" customFormat="false" ht="21.75" hidden="false" customHeight="true" outlineLevel="0" collapsed="false">
      <c r="A33" s="14" t="s">
        <v>127</v>
      </c>
      <c r="B33" s="11" t="s">
        <v>128</v>
      </c>
      <c r="C33" s="15" t="n">
        <f aca="false">COUNTIF('Retrospective Archive'!K5:K34,"Good - might return")</f>
        <v>0</v>
      </c>
    </row>
    <row r="34" customFormat="false" ht="21.75" hidden="false" customHeight="true" outlineLevel="0" collapsed="false">
      <c r="A34" s="14" t="s">
        <v>129</v>
      </c>
      <c r="B34" s="11" t="s">
        <v>130</v>
      </c>
      <c r="C34" s="15" t="n">
        <f aca="false">COUNTIF('Retrospective Archive'!K5:K34,"OK - delivered cleanly")</f>
        <v>0</v>
      </c>
    </row>
    <row r="35" customFormat="false" ht="21.75" hidden="false" customHeight="true" outlineLevel="0" collapsed="false">
      <c r="A35" s="14" t="s">
        <v>131</v>
      </c>
      <c r="B35" s="11" t="s">
        <v>132</v>
      </c>
      <c r="C35" s="15" t="n">
        <f aca="false">COUNTIF('Retrospective Archive'!K5:K34,"Strained")</f>
        <v>0</v>
      </c>
    </row>
    <row r="36" customFormat="false" ht="21.75" hidden="false" customHeight="true" outlineLevel="0" collapsed="false">
      <c r="A36" s="14" t="s">
        <v>133</v>
      </c>
      <c r="B36" s="11" t="s">
        <v>134</v>
      </c>
      <c r="C36" s="15" t="n">
        <f aca="false">COUNTIF('Retrospective Archive'!K5:K34,"Lost")</f>
        <v>0</v>
      </c>
    </row>
    <row r="38" customFormat="false" ht="21.75" hidden="false" customHeight="true" outlineLevel="0" collapsed="false">
      <c r="A38" s="4" t="s">
        <v>47</v>
      </c>
      <c r="B38" s="4"/>
      <c r="C38" s="4"/>
    </row>
    <row r="39" customFormat="false" ht="15" hidden="false" customHeight="true" outlineLevel="0" collapsed="false">
      <c r="A39" s="6" t="s">
        <v>92</v>
      </c>
      <c r="B39" s="6" t="s">
        <v>93</v>
      </c>
      <c r="C39" s="6" t="s">
        <v>94</v>
      </c>
    </row>
    <row r="40" customFormat="false" ht="21.75" hidden="false" customHeight="true" outlineLevel="0" collapsed="false">
      <c r="A40" s="14" t="s">
        <v>135</v>
      </c>
      <c r="B40" s="11" t="s">
        <v>136</v>
      </c>
      <c r="C40" s="15" t="n">
        <f aca="false">COUNTIF('Retrospective Archive'!L5:L34,"High - already discussing")</f>
        <v>0</v>
      </c>
    </row>
    <row r="41" customFormat="false" ht="21.75" hidden="false" customHeight="true" outlineLevel="0" collapsed="false">
      <c r="A41" s="14" t="s">
        <v>137</v>
      </c>
      <c r="B41" s="11" t="s">
        <v>138</v>
      </c>
      <c r="C41" s="15" t="n">
        <f aca="false">COUNTIF('Retrospective Archive'!L5:L34,"Possible - good rapport")</f>
        <v>0</v>
      </c>
    </row>
    <row r="42" customFormat="false" ht="21.75" hidden="false" customHeight="true" outlineLevel="0" collapsed="false">
      <c r="A42" s="14" t="s">
        <v>139</v>
      </c>
      <c r="B42" s="11" t="s">
        <v>140</v>
      </c>
      <c r="C42" s="15" t="n">
        <f aca="false">COUNTIF('Retrospective Archive'!L5:L34,"Unlikely")</f>
        <v>0</v>
      </c>
    </row>
    <row r="43" customFormat="false" ht="21.75" hidden="false" customHeight="true" outlineLevel="0" collapsed="false">
      <c r="A43" s="14" t="s">
        <v>141</v>
      </c>
      <c r="B43" s="11" t="s">
        <v>142</v>
      </c>
      <c r="C43" s="15" t="n">
        <f aca="false">COUNTIF('Retrospective Archive'!L5:L34,"No")</f>
        <v>0</v>
      </c>
    </row>
    <row r="45" customFormat="false" ht="21.75" hidden="false" customHeight="true" outlineLevel="0" collapsed="false">
      <c r="A45" s="4" t="s">
        <v>143</v>
      </c>
      <c r="B45" s="4"/>
      <c r="C45" s="4"/>
    </row>
    <row r="46" customFormat="false" ht="15" hidden="false" customHeight="true" outlineLevel="0" collapsed="false">
      <c r="A46" s="6" t="s">
        <v>92</v>
      </c>
      <c r="B46" s="6" t="s">
        <v>93</v>
      </c>
      <c r="C46" s="6" t="s">
        <v>94</v>
      </c>
    </row>
    <row r="47" customFormat="false" ht="21.75" hidden="false" customHeight="true" outlineLevel="0" collapsed="false">
      <c r="A47" s="14" t="s">
        <v>144</v>
      </c>
      <c r="B47" s="11" t="s">
        <v>145</v>
      </c>
      <c r="C47" s="15" t="n">
        <f aca="false">COUNTIF('Retrospective Archive'!M5:M34,"No")</f>
        <v>0</v>
      </c>
    </row>
    <row r="48" customFormat="false" ht="21.75" hidden="false" customHeight="true" outlineLevel="0" collapsed="false">
      <c r="A48" s="14" t="s">
        <v>146</v>
      </c>
      <c r="B48" s="11" t="s">
        <v>147</v>
      </c>
      <c r="C48" s="15" t="n">
        <f aca="false">COUNTIF('Retrospective Archive'!M5:M34,"Minor (absorbed)")</f>
        <v>0</v>
      </c>
    </row>
    <row r="49" customFormat="false" ht="21.75" hidden="false" customHeight="true" outlineLevel="0" collapsed="false">
      <c r="A49" s="14" t="s">
        <v>148</v>
      </c>
      <c r="B49" s="11" t="s">
        <v>149</v>
      </c>
      <c r="C49" s="15" t="n">
        <f aca="false">COUNTIF('Retrospective Archive'!M5:M34,"Significant (negotiated)")</f>
        <v>0</v>
      </c>
    </row>
    <row r="50" customFormat="false" ht="21.75" hidden="false" customHeight="true" outlineLevel="0" collapsed="false">
      <c r="A50" s="14" t="s">
        <v>150</v>
      </c>
      <c r="B50" s="11" t="s">
        <v>151</v>
      </c>
      <c r="C50" s="15" t="n">
        <f aca="false">COUNTIF('Retrospective Archive'!M5:M34,"Major (renegotiated price)")</f>
        <v>0</v>
      </c>
    </row>
    <row r="52" customFormat="false" ht="21.75" hidden="false" customHeight="true" outlineLevel="0" collapsed="false">
      <c r="A52" s="4" t="s">
        <v>152</v>
      </c>
      <c r="B52" s="4"/>
      <c r="C52" s="4"/>
    </row>
    <row r="53" customFormat="false" ht="15" hidden="false" customHeight="true" outlineLevel="0" collapsed="false">
      <c r="A53" s="6" t="s">
        <v>92</v>
      </c>
      <c r="B53" s="6" t="s">
        <v>93</v>
      </c>
      <c r="C53" s="6" t="s">
        <v>94</v>
      </c>
    </row>
    <row r="54" customFormat="false" ht="21.75" hidden="false" customHeight="true" outlineLevel="0" collapsed="false">
      <c r="A54" s="14" t="s">
        <v>153</v>
      </c>
      <c r="B54" s="11" t="s">
        <v>154</v>
      </c>
      <c r="C54" s="15" t="str">
        <f aca="false">IFERROR(AVERAGE('Retrospective Archive'!F5:F34),"-")</f>
        <v>-</v>
      </c>
    </row>
    <row r="55" customFormat="false" ht="21.75" hidden="false" customHeight="true" outlineLevel="0" collapsed="false">
      <c r="A55" s="14" t="s">
        <v>155</v>
      </c>
      <c r="B55" s="11" t="s">
        <v>156</v>
      </c>
      <c r="C55" s="15" t="str">
        <f aca="false">IFERROR(AVERAGE('Retrospective Archive'!G5:G34),"-")</f>
        <v>-</v>
      </c>
    </row>
    <row r="56" customFormat="false" ht="21.75" hidden="false" customHeight="true" outlineLevel="0" collapsed="false">
      <c r="A56" s="14" t="s">
        <v>157</v>
      </c>
      <c r="B56" s="11" t="s">
        <v>158</v>
      </c>
      <c r="C56" s="15" t="n">
        <f aca="false">IFERROR(MAX('Retrospective Archive'!F5:F34),"-")</f>
        <v>0</v>
      </c>
    </row>
    <row r="57" customFormat="false" ht="21.75" hidden="false" customHeight="true" outlineLevel="0" collapsed="false">
      <c r="A57" s="14" t="s">
        <v>159</v>
      </c>
      <c r="B57" s="11" t="s">
        <v>160</v>
      </c>
      <c r="C57" s="15" t="n">
        <f aca="false">IFERROR(MIN('Retrospective Archive'!F5:F34),"-")</f>
        <v>0</v>
      </c>
    </row>
    <row r="60" customFormat="false" ht="41.25" hidden="false" customHeight="true" outlineLevel="0" collapsed="false">
      <c r="A60" s="3" t="s">
        <v>161</v>
      </c>
      <c r="B60" s="3"/>
      <c r="C60" s="3"/>
    </row>
  </sheetData>
  <mergeCells count="11">
    <mergeCell ref="A1:C1"/>
    <mergeCell ref="A2:C2"/>
    <mergeCell ref="A4:C4"/>
    <mergeCell ref="A8:C8"/>
    <mergeCell ref="A16:C16"/>
    <mergeCell ref="A23:C23"/>
    <mergeCell ref="A30:C30"/>
    <mergeCell ref="A38:C38"/>
    <mergeCell ref="A45:C45"/>
    <mergeCell ref="A52:C52"/>
    <mergeCell ref="A60:C6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2026-06-28T18:58:19Z</dcterms:created>
  <dc:creator>openpyxl</dc:creator>
  <dc:description/>
  <dc:language>en-US</dc:language>
  <cp:lastModifiedBy/>
  <dcterms:modified xsi:type="dcterms:W3CDTF">2026-07-05T13:32:36Z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