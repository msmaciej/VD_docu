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ms/Documents/_VORTEXDEEP_DOCU/VD_AI_Automation_Excel/_VDAIA_MAIN_v2/"/>
    </mc:Choice>
  </mc:AlternateContent>
  <xr:revisionPtr revIDLastSave="0" documentId="13_ncr:1_{17096CF2-4563-DD40-8725-3BA9ADF2D75B}" xr6:coauthVersionLast="47" xr6:coauthVersionMax="47" xr10:uidLastSave="{00000000-0000-0000-0000-000000000000}"/>
  <bookViews>
    <workbookView xWindow="980" yWindow="660" windowWidth="27080" windowHeight="20320" tabRatio="500" firstSheet="2" activeTab="4" xr2:uid="{00000000-000D-0000-FFFF-FFFF00000000}"/>
  </bookViews>
  <sheets>
    <sheet name="START HERE" sheetId="1" r:id="rId1"/>
    <sheet name="Package Reference" sheetId="2" r:id="rId2"/>
    <sheet name="Complexity Reference" sheetId="3" r:id="rId3"/>
    <sheet name="Quote Calculator" sheetId="4" r:id="rId4"/>
    <sheet name="ROI App" sheetId="5" r:id="rId5"/>
    <sheet name="ROI App_v1" sheetId="6" r:id="rId6"/>
    <sheet name="ROI App_v0" sheetId="7" r:id="rId7"/>
    <sheet name="Example Quotes" sheetId="8" r:id="rId8"/>
    <sheet name="Access Models" sheetId="9" r:id="rId9"/>
    <sheet name="Client Quote Summary" sheetId="10" r:id="rId10"/>
    <sheet name="Pricing Logic" sheetId="11" r:id="rId11"/>
    <sheet name="AI Aut Logic" sheetId="12" r:id="rId12"/>
    <sheet name="AUDIT Pricing" sheetId="13" r:id="rId13"/>
    <sheet name="B&amp;T Matrix" sheetId="14" r:id="rId14"/>
    <sheet name="Numerologia" sheetId="15" r:id="rId15"/>
    <sheet name="Numertologia VD"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3" i="15" l="1"/>
  <c r="M52" i="15"/>
  <c r="R51" i="15"/>
  <c r="Q51" i="15"/>
  <c r="P51" i="15"/>
  <c r="M54" i="15" s="1"/>
  <c r="M45" i="15"/>
  <c r="M44" i="15"/>
  <c r="M43" i="15"/>
  <c r="P42" i="15"/>
  <c r="Q42" i="15" s="1"/>
  <c r="O42" i="15"/>
  <c r="M42" i="15" s="1"/>
  <c r="M36" i="15"/>
  <c r="M35" i="15"/>
  <c r="M34" i="15"/>
  <c r="R33" i="15"/>
  <c r="P33" i="15"/>
  <c r="Q33" i="15" s="1"/>
  <c r="O33" i="15"/>
  <c r="M33" i="15"/>
  <c r="M27" i="15"/>
  <c r="M26" i="15"/>
  <c r="M25" i="15"/>
  <c r="P24" i="15"/>
  <c r="O24" i="15" s="1"/>
  <c r="M24" i="15" s="1"/>
  <c r="M18" i="15"/>
  <c r="M17" i="15"/>
  <c r="M16" i="15"/>
  <c r="R15" i="15"/>
  <c r="Q15" i="15"/>
  <c r="P15" i="15"/>
  <c r="O15" i="15"/>
  <c r="M15" i="15"/>
  <c r="M8" i="15"/>
  <c r="M7" i="15"/>
  <c r="P6" i="15"/>
  <c r="M9" i="15" s="1"/>
  <c r="G29" i="7"/>
  <c r="C29" i="7"/>
  <c r="G27" i="7"/>
  <c r="C27" i="7"/>
  <c r="G26" i="7"/>
  <c r="C26" i="7"/>
  <c r="C28" i="7" s="1"/>
  <c r="C30" i="7" s="1"/>
  <c r="G25" i="7"/>
  <c r="G28" i="7" s="1"/>
  <c r="G30" i="7" s="1"/>
  <c r="C25" i="7"/>
  <c r="G32" i="6"/>
  <c r="C32" i="6"/>
  <c r="G29" i="6"/>
  <c r="C29" i="6"/>
  <c r="G27" i="6"/>
  <c r="C27" i="6"/>
  <c r="G26" i="6"/>
  <c r="C26" i="6"/>
  <c r="G25" i="6"/>
  <c r="C25" i="6"/>
  <c r="C28" i="6" s="1"/>
  <c r="C30" i="6" s="1"/>
  <c r="D49" i="4"/>
  <c r="C49" i="4"/>
  <c r="D48" i="4"/>
  <c r="C48" i="4"/>
  <c r="D47" i="4"/>
  <c r="C47" i="4"/>
  <c r="D46" i="4"/>
  <c r="C46" i="4"/>
  <c r="D44" i="4"/>
  <c r="C44" i="4"/>
  <c r="C33" i="4"/>
  <c r="C32" i="4"/>
  <c r="C14" i="4"/>
  <c r="C29" i="4" s="1"/>
  <c r="C37" i="4" s="1"/>
  <c r="C13" i="4"/>
  <c r="C28" i="4" s="1"/>
  <c r="C12" i="4"/>
  <c r="C11" i="4"/>
  <c r="C10" i="4"/>
  <c r="C31" i="4" s="1"/>
  <c r="C35" i="4" s="1"/>
  <c r="N9" i="4"/>
  <c r="C9" i="4"/>
  <c r="D43" i="4" s="1"/>
  <c r="N8" i="4"/>
  <c r="L8" i="4"/>
  <c r="J8" i="4"/>
  <c r="N7" i="4"/>
  <c r="L7" i="4"/>
  <c r="J7" i="4"/>
  <c r="G7" i="4"/>
  <c r="N6" i="4"/>
  <c r="L6" i="4"/>
  <c r="J6" i="4"/>
  <c r="G6" i="4"/>
  <c r="N5" i="4"/>
  <c r="L5" i="4"/>
  <c r="J5" i="4"/>
  <c r="G5" i="4"/>
  <c r="N4" i="4"/>
  <c r="L4" i="4"/>
  <c r="J4" i="4"/>
  <c r="G4" i="4"/>
  <c r="G43" i="5"/>
  <c r="C43" i="5"/>
  <c r="G32" i="5"/>
  <c r="C32" i="5"/>
  <c r="G29" i="5"/>
  <c r="C29" i="5"/>
  <c r="G27" i="5"/>
  <c r="C27" i="5"/>
  <c r="G26" i="5"/>
  <c r="G28" i="5" s="1"/>
  <c r="G30" i="5" s="1"/>
  <c r="C26" i="5"/>
  <c r="C28" i="5" s="1"/>
  <c r="C30" i="5" s="1"/>
  <c r="G25" i="5"/>
  <c r="C25" i="5"/>
  <c r="G28" i="6" l="1"/>
  <c r="G30" i="6" s="1"/>
  <c r="G33" i="6" s="1"/>
  <c r="G32" i="7"/>
  <c r="G31" i="7"/>
  <c r="G33" i="7"/>
  <c r="G31" i="6"/>
  <c r="G34" i="6" s="1"/>
  <c r="G35" i="6"/>
  <c r="G35" i="5"/>
  <c r="G31" i="5"/>
  <c r="G34" i="5" s="1"/>
  <c r="G33" i="5"/>
  <c r="C35" i="5"/>
  <c r="C31" i="5"/>
  <c r="C34" i="5" s="1"/>
  <c r="C33" i="5"/>
  <c r="C36" i="4"/>
  <c r="C31" i="7"/>
  <c r="C32" i="7"/>
  <c r="C33" i="7"/>
  <c r="C33" i="6"/>
  <c r="C31" i="6"/>
  <c r="C34" i="6" s="1"/>
  <c r="C35" i="6"/>
  <c r="C38" i="5"/>
  <c r="C39" i="5" s="1"/>
  <c r="C45" i="4"/>
  <c r="R24" i="15"/>
  <c r="G38" i="5"/>
  <c r="G39" i="5" s="1"/>
  <c r="Q24" i="15"/>
  <c r="D45" i="4"/>
  <c r="O6" i="15"/>
  <c r="M6" i="15" s="1"/>
  <c r="O51" i="15"/>
  <c r="M51" i="15" s="1"/>
  <c r="Q6" i="15"/>
  <c r="R6" i="15"/>
  <c r="C30" i="4"/>
  <c r="C34" i="4" s="1"/>
  <c r="C43" i="4"/>
  <c r="R42" i="15"/>
  <c r="C38" i="4" l="1"/>
  <c r="G10" i="4" s="1"/>
  <c r="G8" i="4"/>
  <c r="C39" i="4"/>
  <c r="G11" i="4" s="1"/>
  <c r="G9" i="4"/>
</calcChain>
</file>

<file path=xl/sharedStrings.xml><?xml version="1.0" encoding="utf-8"?>
<sst xmlns="http://schemas.openxmlformats.org/spreadsheetml/2006/main" count="1826" uniqueCount="1266">
  <si>
    <t xml:space="preserve">   ROI Automation Calculator</t>
  </si>
  <si>
    <t>Field</t>
  </si>
  <si>
    <t>Value</t>
  </si>
  <si>
    <t>Unit / Notes</t>
  </si>
  <si>
    <t xml:space="preserve"> 1. CLIENT INPUTS</t>
  </si>
  <si>
    <t>MGREDSHIFT</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</si>
  <si>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</si>
  <si>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</si>
  <si>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</si>
  <si>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</si>
  <si>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</si>
  <si>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</si>
  <si>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</si>
  <si>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</si>
  <si>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</si>
  <si>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</si>
  <si>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</si>
  <si>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</si>
  <si>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</si>
  <si>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</si>
  <si>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</si>
  <si>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</si>
  <si>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</si>
  <si>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</si>
  <si>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</si>
  <si>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</si>
  <si>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</si>
  <si>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</si>
  <si>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</si>
  <si>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</si>
  <si>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</si>
  <si>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</si>
  <si>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</si>
  <si>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</si>
  <si>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</si>
  <si>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</si>
  <si>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</si>
  <si>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</si>
  <si>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</si>
  <si>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</si>
  <si>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</si>
  <si>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</si>
  <si>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</si>
  <si>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</si>
  <si>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</si>
  <si>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</si>
  <si>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</si>
  <si>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</si>
  <si>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</si>
  <si>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</si>
  <si>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</si>
  <si>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</si>
  <si>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</si>
  <si>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</si>
  <si>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</si>
  <si>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</si>
  <si>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</si>
  <si>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</si>
  <si>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</si>
  <si>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</si>
  <si>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</si>
  <si>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</si>
  <si>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</si>
  <si>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</si>
  <si>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</si>
  <si>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</si>
  <si>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</si>
  <si>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</si>
  <si>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</si>
  <si>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</si>
  <si>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</si>
  <si>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</si>
  <si>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</si>
  <si>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</si>
  <si>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</si>
  <si>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</si>
  <si>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</si>
  <si>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</si>
  <si>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</si>
  <si>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</si>
  <si>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</si>
  <si>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</si>
  <si>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</si>
  <si>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</si>
  <si>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</si>
  <si>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</si>
  <si>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</si>
  <si>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</si>
  <si>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</si>
  <si>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</si>
  <si>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</si>
  <si>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</si>
  <si>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</si>
  <si>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</si>
  <si>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Internal note</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</si>
  <si>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</si>
  <si>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</si>
  <si>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</si>
  <si>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</si>
  <si>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</si>
  <si>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</si>
  <si>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</si>
  <si>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</si>
  <si>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</si>
  <si>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</si>
  <si>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</si>
  <si>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</si>
  <si>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</si>
  <si>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</si>
  <si>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</si>
  <si>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</si>
  <si>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</si>
  <si>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</si>
  <si>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</si>
  <si>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</si>
  <si>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</si>
  <si>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</si>
  <si>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</si>
  <si>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</si>
  <si>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</si>
  <si>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</si>
  <si>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</si>
  <si>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</si>
  <si>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</si>
  <si>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</si>
  <si>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</si>
  <si>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</si>
  <si>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</si>
  <si>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</si>
  <si>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</si>
  <si>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</si>
  <si>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</si>
  <si>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</si>
  <si>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</si>
  <si>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</si>
  <si>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</si>
  <si>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</si>
  <si>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</si>
  <si>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</si>
  <si>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</si>
  <si>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</si>
  <si>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</si>
  <si>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</si>
  <si>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</si>
  <si>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</si>
  <si>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</si>
  <si>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</si>
  <si>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</si>
  <si>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</si>
  <si>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</si>
  <si>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</si>
  <si>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</si>
  <si>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</si>
  <si>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</si>
  <si>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</si>
  <si>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</si>
  <si>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</si>
  <si>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</si>
  <si>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</si>
  <si>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</si>
  <si>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</si>
  <si>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</si>
  <si>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</si>
  <si>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</si>
  <si>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</si>
  <si>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</si>
  <si>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</si>
  <si>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</si>
  <si>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</si>
  <si>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</si>
  <si>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</si>
  <si>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</si>
  <si>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</si>
  <si>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</si>
  <si>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</si>
  <si>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</si>
  <si>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</si>
  <si>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</si>
  <si>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</si>
  <si>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</si>
  <si>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</si>
  <si>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</si>
  <si>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</si>
  <si>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</si>
  <si>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</si>
  <si>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</si>
  <si>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</si>
  <si>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</si>
  <si>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</si>
  <si>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</si>
  <si>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</si>
  <si>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</si>
  <si>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</si>
  <si>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</si>
  <si>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</si>
  <si>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</si>
  <si>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</si>
  <si>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</si>
  <si>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</si>
  <si>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</si>
  <si>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Managed service</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</si>
  <si>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</si>
  <si>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</si>
  <si>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</si>
  <si>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</si>
  <si>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</si>
  <si>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</si>
  <si>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</si>
  <si>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</si>
  <si>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</si>
  <si>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</si>
  <si>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</si>
  <si>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</si>
  <si>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</si>
  <si>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</si>
  <si>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</si>
  <si>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</si>
  <si>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</si>
  <si>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</si>
  <si>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</si>
  <si>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</si>
  <si>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</si>
  <si>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</si>
  <si>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</si>
  <si>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</si>
  <si>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Build-and-transfer</t>
  </si>
  <si>
    <t>own Make workspace</t>
  </si>
  <si>
    <t>Monthly support model</t>
  </si>
  <si>
    <t>Monthly multiplier</t>
  </si>
  <si>
    <t>Typical monthly logic</t>
  </si>
  <si>
    <t>Use when</t>
  </si>
  <si>
    <t>Client receives</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</si>
  <si>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</si>
  <si>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</si>
  <si>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</si>
  <si>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</si>
  <si>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</si>
  <si>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</si>
  <si>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</si>
  <si>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</si>
  <si>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</si>
  <si>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</si>
  <si>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</si>
  <si>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</si>
  <si>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</si>
  <si>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</si>
  <si>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</si>
  <si>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</si>
  <si>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</si>
  <si>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</si>
  <si>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</si>
  <si>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</si>
  <si>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</si>
  <si>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Default</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</si>
  <si>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</si>
  <si>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</si>
  <si>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</si>
  <si>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</si>
  <si>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</si>
  <si>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</si>
  <si>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</si>
  <si>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</si>
  <si>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</si>
  <si>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</si>
  <si>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</si>
  <si>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</si>
  <si>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</si>
  <si>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</si>
  <si>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</si>
  <si>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</si>
  <si>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</si>
  <si>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</si>
  <si>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</si>
  <si>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</si>
  <si>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</si>
  <si>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</si>
  <si>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</si>
  <si>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</si>
  <si>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</si>
  <si>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</si>
  <si>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</si>
  <si>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</si>
  <si>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</si>
  <si>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</si>
  <si>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</si>
  <si>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</si>
  <si>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</si>
  <si>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</si>
  <si>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</si>
  <si>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</si>
  <si>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</si>
  <si>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</si>
  <si>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</si>
  <si>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</si>
  <si>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</si>
  <si>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</si>
  <si>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</si>
  <si>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</si>
  <si>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</si>
  <si>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</si>
  <si>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</si>
  <si>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</si>
  <si>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</si>
  <si>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</si>
  <si>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</si>
  <si>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</si>
  <si>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</si>
  <si>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</si>
  <si>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</si>
  <si>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</si>
  <si>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</si>
  <si>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</si>
  <si>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</si>
  <si>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</si>
  <si>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</si>
  <si>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</si>
  <si>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</si>
  <si>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</si>
  <si>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</si>
  <si>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</si>
  <si>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</si>
  <si>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</si>
  <si>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</si>
  <si>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</si>
  <si>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</si>
  <si>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</si>
  <si>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</si>
  <si>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</si>
  <si>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</si>
  <si>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</si>
  <si>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</si>
  <si>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</si>
  <si>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</si>
  <si>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</si>
  <si>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</si>
  <si>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</si>
  <si>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</si>
  <si>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</si>
  <si>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</si>
  <si>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</si>
  <si>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</si>
  <si>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</si>
  <si>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</si>
  <si>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</si>
  <si>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</si>
  <si>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</si>
  <si>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</si>
  <si>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</si>
  <si>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</si>
  <si>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</si>
  <si>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</si>
  <si>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</si>
  <si>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</si>
  <si>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</si>
  <si>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</si>
  <si>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</si>
  <si>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</si>
  <si>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</si>
  <si>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</si>
  <si>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</si>
  <si>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</si>
  <si>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</si>
  <si>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</si>
  <si>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</si>
  <si>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</si>
  <si>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</si>
  <si>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</si>
  <si>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</si>
  <si>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</si>
  <si>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</si>
  <si>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</si>
  <si>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</si>
  <si>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</si>
  <si>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</si>
  <si>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</si>
  <si>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</si>
  <si>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</si>
  <si>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</si>
  <si>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</si>
  <si>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</si>
  <si>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</si>
  <si>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</si>
  <si>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</si>
  <si>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</si>
  <si>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</si>
  <si>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</si>
  <si>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</si>
  <si>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</si>
  <si>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</si>
  <si>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</si>
  <si>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</si>
  <si>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</si>
  <si>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</si>
  <si>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</si>
  <si>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</si>
  <si>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</si>
  <si>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</si>
  <si>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</si>
  <si>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</si>
  <si>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</si>
  <si>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</si>
  <si>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</si>
  <si>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</si>
  <si>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</si>
  <si>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</si>
  <si>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</si>
  <si>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</si>
  <si>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</si>
  <si>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</si>
  <si>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</si>
  <si>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</si>
  <si>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</si>
  <si>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</si>
  <si>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</si>
  <si>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</si>
  <si>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</si>
  <si>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</si>
  <si>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</si>
  <si>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</si>
  <si>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</si>
  <si>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</si>
  <si>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</si>
  <si>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</si>
  <si>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</si>
  <si>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</si>
  <si>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</si>
  <si>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</si>
  <si>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</si>
  <si>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</si>
  <si>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</si>
  <si>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</si>
  <si>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(over Year 1)</t>
  </si>
  <si>
    <t>Tip: Monthly Managed AI Ops (C20) should match 'Recommended monthly quote' from the Quote Calculator tab (cell C39). Yellow = edit, light blue = calculated.</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</si>
  <si>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</si>
  <si>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</si>
  <si>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</si>
  <si>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</si>
  <si>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</si>
  <si>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</si>
  <si>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</si>
  <si>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</si>
  <si>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</si>
  <si>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</si>
  <si>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</si>
  <si>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</si>
  <si>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</si>
  <si>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</si>
  <si>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</si>
  <si>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</si>
  <si>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</si>
  <si>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</si>
  <si>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</si>
  <si>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</si>
  <si>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</si>
  <si>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</si>
  <si>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</si>
  <si>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</si>
  <si>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</si>
  <si>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</si>
  <si>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</si>
  <si>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</si>
  <si>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</si>
  <si>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</si>
  <si>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Access &amp; Ownership Pricing Logic</t>
  </si>
  <si>
    <t>Model</t>
  </si>
  <si>
    <t>You retain</t>
  </si>
  <si>
    <t>Pricing effect</t>
  </si>
  <si>
    <t>Monthly effect</t>
  </si>
  <si>
    <t>Risk</t>
  </si>
  <si>
    <t>Client wording</t>
  </si>
  <si>
    <t>Default setup multiplier</t>
  </si>
  <si>
    <t>Typical range</t>
  </si>
  <si>
    <t>Pricing use in FIXED calculator</t>
  </si>
  <si>
    <t>Results, dashboards, reports, approval queue</t>
  </si>
  <si>
    <t>Make logic, prompts, reusable blueprints</t>
  </si>
  <si>
    <t>Normal</t>
  </si>
  <si>
    <t>x1.0 monthly</t>
  </si>
  <si>
    <t>Low</t>
  </si>
  <si>
    <t>We manage the automation and provide outputs/support.</t>
  </si>
  <si>
    <t>Best default model</t>
  </si>
  <si>
    <t>x1.0</t>
  </si>
  <si>
    <t>Managed service: no handover premium.</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</si>
  <si>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</si>
  <si>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</si>
  <si>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</si>
  <si>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</si>
  <si>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</si>
  <si>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</si>
  <si>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</si>
  <si>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</si>
  <si>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</si>
  <si>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</si>
  <si>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</si>
  <si>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</si>
  <si>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</si>
  <si>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</si>
  <si>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</si>
  <si>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</si>
  <si>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</si>
  <si>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</si>
  <si>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</si>
  <si>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</si>
  <si>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</si>
  <si>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</si>
  <si>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</si>
  <si>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</si>
  <si>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</si>
  <si>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</si>
  <si>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</si>
  <si>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</si>
  <si>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</si>
  <si>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</si>
  <si>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Full Make scenario, export, documentation</t>
  </si>
  <si>
    <t>General know-how only</t>
  </si>
  <si>
    <t>x1.5–x3 setup</t>
  </si>
  <si>
    <t>x0–x3 monthly depending support</t>
  </si>
  <si>
    <t>High</t>
  </si>
  <si>
    <t>Client insists on ownership</t>
  </si>
  <si>
    <t>We build and hand over the automation asset.</t>
  </si>
  <si>
    <t>Premium only</t>
  </si>
  <si>
    <t>x1.5–x3.0</t>
  </si>
  <si>
    <t>Build-and-transfer default; override if needed.</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</si>
  <si>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</si>
  <si>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</si>
  <si>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</si>
  <si>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</si>
  <si>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</si>
  <si>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</si>
  <si>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</si>
  <si>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</si>
  <si>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</si>
  <si>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</si>
  <si>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</si>
  <si>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</si>
  <si>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</si>
  <si>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</si>
  <si>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</si>
  <si>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</si>
  <si>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</si>
  <si>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</si>
  <si>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</si>
  <si>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</si>
  <si>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</si>
  <si>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</si>
  <si>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</si>
  <si>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</si>
  <si>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</si>
  <si>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</si>
  <si>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</si>
  <si>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</si>
  <si>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</si>
  <si>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</si>
  <si>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</si>
  <si>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</si>
  <si>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</si>
  <si>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</si>
  <si>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</si>
  <si>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</si>
  <si>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</si>
  <si>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</si>
  <si>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</si>
  <si>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</si>
  <si>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</si>
  <si>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</si>
  <si>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</si>
  <si>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</si>
  <si>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</si>
  <si>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</si>
  <si>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</si>
  <si>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</si>
  <si>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</si>
  <si>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</si>
  <si>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</si>
  <si>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</si>
  <si>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</si>
  <si>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</si>
  <si>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</si>
  <si>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</si>
  <si>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</si>
  <si>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</si>
  <si>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</si>
  <si>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</si>
  <si>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</si>
  <si>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</si>
  <si>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</si>
  <si>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</si>
  <si>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</si>
  <si>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</si>
  <si>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</si>
  <si>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</si>
  <si>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</si>
  <si>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</si>
  <si>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</si>
  <si>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</si>
  <si>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</si>
  <si>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</si>
  <si>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</si>
  <si>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</si>
  <si>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</si>
  <si>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</si>
  <si>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</si>
  <si>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</si>
  <si>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</si>
  <si>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</si>
  <si>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</si>
  <si>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</si>
  <si>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</si>
  <si>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</si>
  <si>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</si>
  <si>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</si>
  <si>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</si>
  <si>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</si>
  <si>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</si>
  <si>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</si>
  <si>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</si>
  <si>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</si>
  <si>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</si>
  <si>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</si>
  <si>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</si>
  <si>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</si>
  <si>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</si>
  <si>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</si>
  <si>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</si>
  <si>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</si>
  <si>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</si>
  <si>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</si>
  <si>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</si>
  <si>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</si>
  <si>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</si>
  <si>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</si>
  <si>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</si>
  <si>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</si>
  <si>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</si>
  <si>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</si>
  <si>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</si>
  <si>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</si>
  <si>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</si>
  <si>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</si>
  <si>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</si>
  <si>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</si>
  <si>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</si>
  <si>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</si>
  <si>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</si>
  <si>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</si>
  <si>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</si>
  <si>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</si>
  <si>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</si>
  <si>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</si>
  <si>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</si>
  <si>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</si>
  <si>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</si>
  <si>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</si>
  <si>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</si>
  <si>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</si>
  <si>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</si>
  <si>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</si>
  <si>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</si>
  <si>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</si>
  <si>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</si>
  <si>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</si>
  <si>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</si>
  <si>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</si>
  <si>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</si>
  <si>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</si>
  <si>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</si>
  <si>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</si>
  <si>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</si>
  <si>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</si>
  <si>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</si>
  <si>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</si>
  <si>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</si>
  <si>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</si>
  <si>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</si>
  <si>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</si>
  <si>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</si>
  <si>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</si>
  <si>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</si>
  <si>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</si>
  <si>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</si>
  <si>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</si>
  <si>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</si>
  <si>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</si>
  <si>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</si>
  <si>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</si>
  <si>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</si>
  <si>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</si>
  <si>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</si>
  <si>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</si>
  <si>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</si>
  <si>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</si>
  <si>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</si>
  <si>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</si>
  <si>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</si>
  <si>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</si>
  <si>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</si>
  <si>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</si>
  <si>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</si>
  <si>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</si>
  <si>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</si>
  <si>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</si>
  <si>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</si>
  <si>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</si>
  <si>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</si>
  <si>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</si>
  <si>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</si>
  <si>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</si>
  <si>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</si>
  <si>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</si>
  <si>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</si>
  <si>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</si>
  <si>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</si>
  <si>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</si>
  <si>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</si>
  <si>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</si>
  <si>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</si>
  <si>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</si>
  <si>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</si>
  <si>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</si>
  <si>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</si>
  <si>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</si>
  <si>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</si>
  <si>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</si>
  <si>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</si>
  <si>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</si>
  <si>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</si>
  <si>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</si>
  <si>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</si>
  <si>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</si>
  <si>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</si>
  <si>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</si>
  <si>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</si>
  <si>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</si>
  <si>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</si>
  <si>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</si>
  <si>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</si>
  <si>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</si>
  <si>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</si>
  <si>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</si>
  <si>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</si>
  <si>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</si>
  <si>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</si>
  <si>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</si>
  <si>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</si>
  <si>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</si>
  <si>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</si>
  <si>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</si>
  <si>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</si>
  <si>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</si>
  <si>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</si>
  <si>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</si>
  <si>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</si>
  <si>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</si>
  <si>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</si>
  <si>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</si>
  <si>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</si>
  <si>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</si>
  <si>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</si>
  <si>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</si>
  <si>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</si>
  <si>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</si>
  <si>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</si>
  <si>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</si>
  <si>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</si>
  <si>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</si>
  <si>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</si>
  <si>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</si>
  <si>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</si>
  <si>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</si>
  <si>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</si>
  <si>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</si>
  <si>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</si>
  <si>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</si>
  <si>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</si>
  <si>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</si>
  <si>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</si>
  <si>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</si>
  <si>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</si>
  <si>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</si>
  <si>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</si>
  <si>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</si>
  <si>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</si>
  <si>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</si>
  <si>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</si>
  <si>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</si>
  <si>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</si>
  <si>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</si>
  <si>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</si>
  <si>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</si>
  <si>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</si>
  <si>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</si>
  <si>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</si>
  <si>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</si>
  <si>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</si>
  <si>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</si>
  <si>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</si>
  <si>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</si>
  <si>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</si>
  <si>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</si>
  <si>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</si>
  <si>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</si>
  <si>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</si>
  <si>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</si>
  <si>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</si>
  <si>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</si>
  <si>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</si>
  <si>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</si>
  <si>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</si>
  <si>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</si>
  <si>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</si>
  <si>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</si>
  <si>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</si>
  <si>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</si>
  <si>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</si>
  <si>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</si>
  <si>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</si>
  <si>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</si>
  <si>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</si>
  <si>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</si>
  <si>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</si>
  <si>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</si>
  <si>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</si>
  <si>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</si>
  <si>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</si>
  <si>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</si>
  <si>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</si>
  <si>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</si>
  <si>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</si>
  <si>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</si>
  <si>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</si>
  <si>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</si>
  <si>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</si>
  <si>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</si>
  <si>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</si>
  <si>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</si>
  <si>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</si>
  <si>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</si>
  <si>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</si>
  <si>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</si>
  <si>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</si>
  <si>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</si>
  <si>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</si>
  <si>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</si>
  <si>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</si>
  <si>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</si>
  <si>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</si>
  <si>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</si>
  <si>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</si>
  <si>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</si>
  <si>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</si>
  <si>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</si>
  <si>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</si>
  <si>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</si>
  <si>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</si>
  <si>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</si>
  <si>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</si>
  <si>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</si>
  <si>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</si>
  <si>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</si>
  <si>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</si>
  <si>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</si>
  <si>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</si>
  <si>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</si>
  <si>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</si>
  <si>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</si>
  <si>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</si>
  <si>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</si>
  <si>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</si>
  <si>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</si>
  <si>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</si>
  <si>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</si>
  <si>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</si>
  <si>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</si>
  <si>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</si>
  <si>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</si>
  <si>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</si>
  <si>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</si>
  <si>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</si>
  <si>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</si>
  <si>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</si>
  <si>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</si>
  <si>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</si>
  <si>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</si>
  <si>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</si>
  <si>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</si>
  <si>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</si>
  <si>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</si>
  <si>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</si>
  <si>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</si>
  <si>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</si>
  <si>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</si>
  <si>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</si>
  <si>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</si>
  <si>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</si>
  <si>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</si>
  <si>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</si>
  <si>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</si>
  <si>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</si>
  <si>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</si>
  <si>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</si>
  <si>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</si>
  <si>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</si>
  <si>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</si>
  <si>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</si>
  <si>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</si>
  <si>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</si>
  <si>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</si>
  <si>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</si>
  <si>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</si>
  <si>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</si>
  <si>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</si>
  <si>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</si>
  <si>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</si>
  <si>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</si>
  <si>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</si>
  <si>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</si>
  <si>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</si>
  <si>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</si>
  <si>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</si>
  <si>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</si>
  <si>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</si>
  <si>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</si>
  <si>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</si>
  <si>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</si>
  <si>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</si>
  <si>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</si>
  <si>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</si>
  <si>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</si>
  <si>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</si>
  <si>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</si>
  <si>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</si>
  <si>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</si>
  <si>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</si>
  <si>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</si>
  <si>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</si>
  <si>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</si>
  <si>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</si>
  <si>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</si>
  <si>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</si>
  <si>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</si>
  <si>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</si>
  <si>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</si>
  <si>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</si>
  <si>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</si>
  <si>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</si>
  <si>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</si>
  <si>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</si>
  <si>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</si>
  <si>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</si>
  <si>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</si>
  <si>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</si>
  <si>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</si>
  <si>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</si>
  <si>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</si>
  <si>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</si>
  <si>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</si>
  <si>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</si>
  <si>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</si>
  <si>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</si>
  <si>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</si>
  <si>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</si>
  <si>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</si>
  <si>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</si>
  <si>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</si>
  <si>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</si>
  <si>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</si>
  <si>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</si>
  <si>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</si>
  <si>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</si>
  <si>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MGREDSHIFT v4.0 vs Direct Email Intake Expansion</t>
  </si>
  <si>
    <t>Area</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</si>
  <si>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</si>
  <si>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</si>
  <si>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</si>
  <si>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</si>
  <si>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</si>
  <si>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</si>
  <si>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</si>
  <si>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</si>
  <si>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</si>
  <si>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</si>
  <si>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</si>
  <si>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</si>
  <si>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</si>
  <si>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</si>
  <si>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</si>
  <si>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</si>
  <si>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</si>
  <si>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</si>
  <si>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</si>
  <si>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</si>
  <si>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</si>
  <si>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</si>
  <si>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</si>
  <si>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</si>
  <si>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</si>
  <si>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</si>
  <si>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</si>
  <si>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</si>
  <si>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</si>
  <si>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</si>
  <si>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</si>
  <si>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</si>
  <si>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</si>
  <si>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</si>
  <si>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</si>
  <si>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</si>
  <si>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</si>
  <si>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</si>
  <si>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</si>
  <si>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</si>
  <si>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</si>
  <si>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</si>
  <si>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</si>
  <si>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</si>
  <si>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</si>
  <si>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</si>
  <si>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</si>
  <si>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</si>
  <si>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</si>
  <si>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</si>
  <si>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</si>
  <si>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</si>
  <si>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</si>
  <si>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</si>
  <si>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</si>
  <si>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</si>
  <si>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</si>
  <si>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</si>
  <si>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</si>
  <si>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</si>
  <si>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</si>
  <si>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</si>
  <si>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</si>
  <si>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</si>
  <si>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</si>
  <si>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</si>
  <si>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</si>
  <si>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</si>
  <si>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</si>
  <si>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</si>
  <si>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</si>
  <si>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</si>
  <si>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</si>
  <si>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</si>
  <si>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</si>
  <si>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</si>
  <si>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</si>
  <si>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</si>
  <si>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</si>
  <si>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</si>
  <si>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</si>
  <si>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</si>
  <si>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</si>
  <si>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</si>
  <si>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</si>
  <si>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</si>
  <si>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</si>
  <si>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</si>
  <si>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</si>
  <si>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</si>
  <si>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</si>
  <si>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</si>
  <si>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</si>
  <si>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</si>
  <si>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</si>
  <si>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</si>
  <si>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</si>
  <si>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</si>
  <si>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</si>
  <si>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</si>
  <si>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</si>
  <si>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</si>
  <si>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</si>
  <si>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</si>
  <si>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</si>
  <si>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</si>
  <si>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</si>
  <si>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</si>
  <si>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</si>
  <si>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</si>
  <si>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</si>
  <si>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</si>
  <si>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</si>
  <si>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</si>
  <si>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</si>
  <si>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</si>
  <si>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</si>
  <si>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</si>
  <si>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</si>
  <si>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</si>
  <si>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</si>
  <si>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</si>
  <si>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</si>
  <si>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</si>
  <si>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</si>
  <si>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</si>
  <si>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</si>
  <si>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</si>
  <si>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</si>
  <si>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</si>
  <si>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</si>
  <si>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</si>
  <si>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</si>
  <si>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</si>
  <si>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</si>
  <si>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</si>
  <si>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</si>
  <si>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</si>
  <si>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</si>
  <si>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</si>
  <si>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</si>
  <si>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</si>
  <si>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</si>
  <si>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</si>
  <si>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</si>
  <si>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</si>
  <si>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</si>
  <si>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</si>
  <si>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</si>
  <si>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</si>
  <si>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</si>
  <si>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</si>
  <si>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</si>
  <si>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</si>
  <si>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</si>
  <si>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</si>
  <si>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SSA</t>
  </si>
  <si>
    <t>Name</t>
  </si>
  <si>
    <t>V</t>
  </si>
  <si>
    <t>o</t>
  </si>
  <si>
    <t>r</t>
  </si>
  <si>
    <t>t</t>
  </si>
  <si>
    <t>e</t>
  </si>
  <si>
    <t>x</t>
  </si>
  <si>
    <t>D</t>
  </si>
  <si>
    <t>p</t>
  </si>
  <si>
    <t>SSP</t>
  </si>
  <si>
    <t>SCA</t>
  </si>
  <si>
    <t>Date</t>
  </si>
  <si>
    <t>=</t>
  </si>
  <si>
    <t>M</t>
  </si>
  <si>
    <t>PW (PodWibracja)</t>
  </si>
  <si>
    <t>l</t>
  </si>
  <si>
    <t>i</t>
  </si>
  <si>
    <t>d</t>
  </si>
  <si>
    <t>a</t>
  </si>
  <si>
    <t>m</t>
  </si>
  <si>
    <t>n</t>
  </si>
  <si>
    <t>k</t>
  </si>
  <si>
    <t>w</t>
  </si>
  <si>
    <t>s</t>
  </si>
  <si>
    <t>c</t>
  </si>
  <si>
    <t>j</t>
  </si>
  <si>
    <t>z</t>
  </si>
  <si>
    <t>y</t>
  </si>
  <si>
    <t>h</t>
  </si>
  <si>
    <t>u</t>
  </si>
  <si>
    <t>b</t>
  </si>
  <si>
    <t>f</t>
  </si>
  <si>
    <t>Alfabet Numerologiczny</t>
  </si>
  <si>
    <t>Gladys Loobos</t>
  </si>
  <si>
    <t>System Pitagorejski</t>
  </si>
  <si>
    <t>B</t>
  </si>
  <si>
    <t>C</t>
  </si>
  <si>
    <t>E</t>
  </si>
  <si>
    <t>F</t>
  </si>
  <si>
    <t>G</t>
  </si>
  <si>
    <t>H</t>
  </si>
  <si>
    <t>I</t>
  </si>
  <si>
    <t>J</t>
  </si>
  <si>
    <t>K</t>
  </si>
  <si>
    <t>L</t>
  </si>
  <si>
    <t>N</t>
  </si>
  <si>
    <t>O</t>
  </si>
  <si>
    <t>P</t>
  </si>
  <si>
    <t>R</t>
  </si>
  <si>
    <t>S</t>
  </si>
  <si>
    <t>T</t>
  </si>
  <si>
    <t>U</t>
  </si>
  <si>
    <t>W</t>
  </si>
  <si>
    <t>X</t>
  </si>
  <si>
    <t>Y</t>
  </si>
  <si>
    <t>Z</t>
  </si>
  <si>
    <t>Suma samoglosek</t>
  </si>
  <si>
    <t>Suma spolglosek</t>
  </si>
  <si>
    <t>Suma calosci</t>
  </si>
  <si>
    <t>Dzisiejszy układ sił na niebie daje Ci zielone światło i potężne wsparcie energetyczne dla Twojego niszowego projektu. Twoja niezłomna wiara i przygotowanie idealnie rezonują z kosmicznym klimatem tego dnia.</t>
  </si>
  <si>
    <t>Kosmiczny układ sił na 6 lipca 2026 roku</t>
  </si>
  <si>
    <t>    •    Przełomowy nów Księżyca: Wchodzimy w fazę nowiu, która jest absolutnie najlepszym momentem w całym cyklu na zasiewanie nowych idei i start autorskich projektów.</t>
  </si>
  <si>
    <t>    •    Potęga Twojej Siódemki: Dzisiejsza wibracja dnia sprzyja głębokiej intuicji, dzięki czemu bezbłędnie wyczujesz intencje rozmówców i obronisz swoją niszową koncepcję.</t>
  </si>
  <si>
    <t>    •    Aspekt Merkurego i Saturna: Ten układ planetarny daje strukturę i trwałość, co oznacza, że omawiane dziś pomysły mają szansę przetrwać lata i przynieść realne zyski.</t>
  </si>
  <si>
    <t>Jak wykorzystać tę energię podczas rozmowy?</t>
  </si>
  <si>
    <t>    •    Emanuj pewnością: Twój wewnętrzny spokój zadziała na rozmówców magnetycznie, budując w ich oczach obraz profesjonalisty.</t>
  </si>
  <si>
    <t>    •    Mów językiem wizjonera: Ponieważ nów sprzyja nowym początkom, zaraź innych swoją pasją, ale nie trać z oczu twardych realiów rynkowych.</t>
  </si>
  <si>
    <t>    •    Zaufaj pierwszemu impulsowi: Pierwsza myśl, jaka pojawi się w Twojej głowie podczas negocjacji, będzie tą najwłaściwszą i podyktowaną czystą intuicją.</t>
  </si>
  <si>
    <t>Masz w rękach wszystkie atuty, a wszechświat pcha Cię do przodu – wejdź tam i weź to, co Twoje.</t>
  </si>
  <si>
    <t>    •    Prawo rezonansu: Twoje wysokie wibracje i wiara w projekt przyciągną ludzi, którzy myślą podobnie i docenią niszowy charakter Twojej idei.</t>
  </si>
  <si>
    <t>    •    Stabilizacja przez niezależność: Dzisiejsza energia nowiu buduje trwałe fundamenty, co oznacza, że ten krok odetnie stare, niepewne schematy i da Ci upragnione poczucie bezpieczeństwa.</t>
  </si>
  <si>
    <t>    •    Misja wspierania innych: Siódemki realizują się najlepiej, gdy ich praca ma głębszy sens. Twoja chęć pomagania innym wraca do Ciebie w postaci stabilizacji finansowej.</t>
  </si>
  <si>
    <t>Twoja osobista mantra na to spotkanie</t>
  </si>
  <si>
    <t>Wejdź na tę rozmowę z pełną świadomością swojej wartości i powiedz sobie w duchu:</t>
  </si>
  <si>
    <t>"Mój projekt niesie wartość, moje intencje są czyste, a świat wspiera mój nowy początek."</t>
  </si>
  <si>
    <t>Zrób głęboki oddech, zaufaj swojej intuicji i ruszaj po to, co Twoje. Jesteś na to w pełni gotowy.</t>
  </si>
  <si>
    <t>Dla nowej drogi zawodowej wyłania się karta Mag (The Magician), która oznacza, że masz teraz w rękach wszystkie narzędzia, talenty i zasoby, aby ten pomysł przekuć w sukces. W połączeniu z energią Głupca, która pchnęła Cię do tej zmiany, Mag reprezentuje moment, w którym wizja spotyka się z konkretnym działaniem i manifestacją.</t>
  </si>
  <si>
    <t>Nowy kierunek zawodowy w praktyce:</t>
  </si>
  <si>
    <t>    •    Pełna kontrola: Masz już odpowiednie umiejętności (lub zdobędziesz je błyskawicznie) – czas uwierzyć we własne kompetencje.</t>
  </si>
  <si>
    <t>    •    Inicjatywa: Sukces zależy od Twojej aktywności i komunikacji; to świetny moment na negocjacje, marketing czy sprzedaż swoich pomysłów.</t>
  </si>
  <si>
    <t>    •    Innowacja: Karta sprzyja nowoczesnym rozwiązaniom, technologii, pracy na własny rachunek i unikalnym projektom.</t>
  </si>
  <si>
    <t>    •    Siła woli: Przejmujesz stery – to Ty kreujesz tę nową rzeczywistość zawodową, a nie ślepy los.</t>
  </si>
  <si>
    <t>Karta wskazująca pierwszy krok dla Twojego biznesu to As Mieczy, który symbolizuje absolutną jasność umysłu, genialny plan oraz odcięcie się od dotychczasowych wątpliwości. Ta karta wzywa do podjęcia radykalnej, intelektualnej decyzji i precyzyjnego działania.</t>
  </si>
  <si>
    <t>Dla gotowego projektu w branży AI wyłania się karta Cesarz (The Emperor), która oznacza, że Twoim pierwszym krokiem po dopracowaniu szczegółów jest oficjalne przejęcie kontroli, formalizacja i natychmiastowe wdrożenie struktury na rynku. Skoro projekt jest gotowy, czas przestać planować, a zacząć bezwzględnie rządzić i budować swoją pozycję lidera.</t>
  </si>
  <si>
    <t>Pierwszy krok dla biznesu AI:</t>
  </si>
  <si>
    <t>    •    Ustrukturyzuj biznes: Przekuj gotowy projekt w oficjalną formę prawną, zadbaj o patenty, prawa autorskie do kodu/modeli i umowy.</t>
  </si>
  <si>
    <t>    •    Zbuduj autorytet: Zaprezentuj projekt z pozycji eksperta, który oferuje stabilne, niezawodne i potężne rozwiązanie technologiczne.</t>
  </si>
  <si>
    <t>    •    Zarządzaj twardą ręką: Wprowadź jasne procedury wdrożenia, cenniki i harmonogramy – rynek AI wymaga teraz konkretu i dyscypliny.</t>
  </si>
  <si>
    <t>    •    Zabezpiecz fundamenty: Skup się na stabilności infrastruktury oraz skalowalności systemu, aby wytrzymał pierwsze zderzenie z klientami.</t>
  </si>
  <si>
    <t>Dla Twojego gotowego projektu AI, na te dwa kluczowe pytania wyłaniają się dwie niezwykle silne karty: Gwiazda (The Star) dla reakcji rynku oraz As Monet (Ace of Pentacles) dla potencjału finansowego. To wybitny układ dla innowacyjnego biznesu.</t>
  </si>
  <si>
    <t>Reakcja pierwszych klientów i rynku: Gwiazda (The Star)</t>
  </si>
  <si>
    <t>Rynek przyjmie Twoje AI z ogromnym entuzjazmem, nadzieją i poczuciem świeżości.</t>
  </si>
  <si>
    <t>    •    Wizerunek: Klienci zobaczą w Twoim projekcie rozwiązanie przyszłościowe, nowoczesne i niosące realną ulgę w ich codziennych problemach.</t>
  </si>
  <si>
    <t>    •    Zaufanie: Gwiazda to karta czystych intencji i autentyczności. Twoje AI zyska miano narzędzia godnego zaufania i wyznaczającego nowe standardy.</t>
  </si>
  <si>
    <t>    •    Rozgłos: Produkt ma ogromny potencjał, aby stać się "wiralem" lub zyskać bardzo dobre opinie organiczne (szeptane) na samym starcie.</t>
  </si>
  <si>
    <t>2. Potencjał finansowy i zyski: As Monet (Ace of Pentacles)</t>
  </si>
  <si>
    <t>W kwestii materialnej wyciągasz najlepszą możliwą kartę w całym Tarocie – to gwarancja ogromnego sukcesu finansowego i stabilności.</t>
  </si>
  <si>
    <t>    •    Maksymalny zysk: Karta ta oznacza realny, fizyczny napływ gotówki, duże kontrakty lub pozyskanie silnego inwestora na samym początku drogi.</t>
  </si>
  <si>
    <t>    •    Długofalowy wzrost: To nie jest jednorazowy strzał. As Monet symbolizuje zasianie ziarna, które wyrośnie na potężne, dochodowe drzewo. Biznes ma genialne fundamenty do skalowania.</t>
  </si>
  <si>
    <t>    •    Zwrot z inwestycji: Środki i czas włożone w dopracowanie projektu zwrócą się z nawiązką szybciej, niż się spodziewasz.</t>
  </si>
  <si>
    <t>Podsumowanie energii:</t>
  </si>
  <si>
    <t>Połączenie Cesarza (Twoja struktura), Gwiazdy (wizja i zachwyt rynku) oraz Asa Monet (wielkie pieniądze) daje zielone światło. Wszystko jest dopracowane, rynek czeka na innowacje, a finanse są zabezpieczone potężną energią sukcesu. Czas startować!</t>
  </si>
  <si>
    <t>Dla Twojego projektu AI wyłania się karta Król Mieczy (King of Swords). To bardzo precyzyjny wizerunek Twojego idealnego klienta na start. Rynek AI wymaga konkretu, a ta karta idealnie definiuje profil odbiorcy docelowego.</t>
  </si>
  <si>
    <t>Profil idealnego klienta dla Twojego AI: Król Mieczy</t>
  </si>
  <si>
    <t>    •    Profesjonalista i analityk: To osoba wysoko postawiona – dyrektor, manager, właściciel firmy lub ekspert w swojej dziedzinie. Myśli chłodno i logicznie.</t>
  </si>
  <si>
    <t>    •    Szuka optymalizacji: Nie kupuje oczami ani obietnicami bez pokrycia. Interesują go twarde dane: o ile wzrośnie efektywność, ile czasu zaoszczędzi i jaki będzie zwrot z inwestycji (ROI).</t>
  </si>
  <si>
    <t>    •    Decydent techniczny lub biznesowy: Osoba, która ma władzę i budżet, by wdrożyć Twoje narzędzie w strukturach firmy.</t>
  </si>
  <si>
    <t>    •    Wymagający odbiorca: Doceni bezbłędne działanie, bezpieczeństwo danych i precyzję Twojego AI. Odrzuci marketingowy "bełkot" – oczekuje konkretnych faktów.</t>
  </si>
  <si>
    <t>Jak do niego dotrzeć (Wskazówka):</t>
  </si>
  <si>
    <t>W marketingu i ofertach zrezygnuj z przesadnych emocji. Pokaż mu liczby, wykresy, case studies lub czyste techniczne możliwości Twojego systemu. Rozmawiaj z nim jak ekspert z ekspertem.</t>
  </si>
  <si>
    <t>1. Najlepszy czas na oficjalne uderzenie: Rydwan (The Chariot)</t>
  </si>
  <si>
    <t>Karta ta nakazuje natychmiastowe, dynamiczne i bezkompromisowe działanie.</t>
  </si>
  <si>
    <t>    •    Czas: Nie czekaj na "idealniejszy" moment. Rydwan to zielone światło – czas na uderzenie jest teraz. Każdy tydzień zwłoki to strata impetu.</t>
  </si>
  <si>
    <t>    •    Strategia: Ruszaj z pełną siłą marketingową i sprzedażową. Ta karta symbolizuje triumf, parcie naprzód i szybkie przejmowanie rynku. Kontroluj kierunek, ale nie zdejmuj nogi z gazu.</t>
  </si>
  <si>
    <t>2. Ostrzeżenie przy rozmowach z Królem Mieczy: 7 Mieczy (7 of Swords)</t>
  </si>
  <si>
    <t>To kluczowa przestroga przy zderzeniu Twojego AI z tak wymagającym i analitycznym klientem.</t>
  </si>
  <si>
    <t>    •    Chroń swoją własność intelektualną: Król Mieczy będzie chciał rozłożyć Twoje AI na czynniki pierwsze. Karta ostrzega przed ludźmi, którzy mogą próbować "podkraść" Twój pomysł, algorytm lub know-how pod pozorem "testów" czy szczegółowych pytań ofertowych. Zabezpiecz kod i prawa autorskie (zgodnie z energią wcześniejszego Cesarza).</t>
  </si>
  <si>
    <t>    •    Bądź sprytny, ale transparentny: Nie daj się podejść negocjacyjnie. Taki klient może próbować zbić cenę, wytykając drobne luki. Miej przygotowane twarde riposty i nie odsłaniaj od razu wszystkich kart swojej technologii.</t>
  </si>
  <si>
    <t>    •    Unikaj niedomówień: Wszystkie warunki współpracy, licencje i zakresy odpowiedzialności za działanie AI muszą być precyzyjnie spisane w umowie. Żadnych ustnych ustaleń.</t>
  </si>
  <si>
    <t>Podsumowanie końcowe:</t>
  </si>
  <si>
    <t>Masz genialny, dopracowany projekt AI z potencjałem na ogromny sukces finansowy (As Monet) i świetne przyjęcie (Gwiazda). Twój klient to konkretny profesjonalista. Ruszaj natychmiast (Rydwan), ale zapięty pod broń prawną i biznesową (7 Mieczy). Sukces jest na wyciągnięcie ręki!</t>
  </si>
  <si>
    <t>Twoja finałowa karta na ten wielki start to Świat (The World). To najwyższa, najbardziej spełniona karta w całej talii Tarotu, która oznacza całkowity sukces, globalny zasięg i perfekcyjne domknięcie etapu przygotowań.</t>
  </si>
  <si>
    <t>Przesłanie karty Świat dla Twojego biznesu AI:</t>
  </si>
  <si>
    <t>    •    Globalne możliwości: Branża AI nie zna granic, a ta karta mówi wprost: nie ograniczaj się do lokalnego rynku. Twój projekt ma potencjał, by wyjść szeroko na świat i zdobyć uznanie międzynarodowe.</t>
  </si>
  <si>
    <t>    •    Właściwe miejsce i czas: Wszystko, co działo się w Twoim życiu do tej pory – w tym data urodzenia z wibracją 3 (kreatywność) – doprowadziło Cię dokładnie do tego momentu. Jesteś gotowy(a).</t>
  </si>
  <si>
    <t>    •    Pełna realizacja: Ta karta to gwarancja, że projekt, który uważałeś(aś) za dopracowany, zrealizuje swój pełny potencjał. Osiągniesz cel, który sobie założyłeś(aś).</t>
  </si>
  <si>
    <t>Biznesowa Mapa Drogowa AI</t>
  </si>
  <si>
    <t>    •    Twoja Siła (Cesarz): Projekt jest gotowy. Czas na oficjalny start, formalizację prawną i budowanie silnej struktury firmy.</t>
  </si>
  <si>
    <t>    •    Pierwszy Krok (As Mieczy): Odetnij wątpliwości. Oprzyj start na chłodnej logice, faktach i precyzyjnym planie działania.</t>
  </si>
  <si>
    <t>    •    Idealny Klient (Król Mieczy): Celuj w decydentów i analityków. Rozmawiaj liczbami, konkretami i pokazuj realny zwrot z inwestycji.</t>
  </si>
  <si>
    <t>    •    Czas na Uderzenie (Rydwan): Ruszaj natychmiast i z pełną dynamiką. Rynek czeka, a zwłoka osłabi Twój impet.</t>
  </si>
  <si>
    <t>    •    Ostrzeżenie (7 Mieczy): Chroń swój kod i know-how. Zabezpiecz umowy prawne i nie odsłaniaj wszystkich kart technologicznych na start.</t>
  </si>
  <si>
    <t>    •    Nagroda (Gwiazda, As Monet, Świat): Rynek przyjmie projekt z zachwytem, finanse przyniosą ogromny sukces, a biznes ma potencjał globalny.</t>
  </si>
  <si>
    <t>Masz pełne, kosmiczne zielone światło. Ruszaj po swoje!</t>
  </si>
  <si>
    <t>Twoją szczęśliwą liczbą na ten tydzień (i cały proces startu biznesu) jest 3.</t>
  </si>
  <si>
    <t>Ta cyfra ma dla Ciebie w tym momencie podwójne, wyjątkowo silne znaczenie:</t>
  </si>
  <si>
    <t>    •    Twoja wibracja urodzeniowa: Wynika bezpośrednio z Twojej daty urodzenia (11.04.1968 = 30 = 3). To Twoja naturalna energia życiowa.</t>
  </si>
  <si>
    <t>    •    Symbolika biznesowa: W numerologii i tarocie trójka to liczba kreacji, ekspansji, optymizmu oraz rozwoju. Oznacza moment, w którym pomysł (1) i plan (2) łączą się, dając realny owoc (3) – czyli Twój działający biznes AI.</t>
  </si>
  <si>
    <t>Wykorzystaj tę liczbę przy planowaniu ważnych wydarzeń, np. oficjalnego uruchomienia strony lub wysyłki pierwszych ofert (dobrym momentem może być np. godzina 12:00, czyli 1+2=3, lub 3. dzień tygodnia/miesiąca).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</si>
</sst>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font>
      <sz val="11"/>
      <name val="Calibri"/>
      <charset val="1"/>
    </font>
    <font>
      <b/>
      <sz val="11"/>
      <color rgb="FFFFFFFF"/>
      <name val="Calibri"/>
      <family val="2"/>
      <charset val="1"/>
    </font>
    <font>
      <b/>
      <sz val="11"/>
      <name val="Calibri"/>
      <family val="2"/>
      <charset val="1"/>
    </font>
    <font>
      <b/>
      <sz val="12"/>
      <color rgb="FFFFFFFF"/>
      <name val="Calibri"/>
      <family val="2"/>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1"/>
      <color rgb="FFFF0000"/>
      <name val="Calibri"/>
      <family val="2"/>
    </font>
    <font>
      <b/>
      <sz val="18"/>
      <name val="Calibri"/>
      <family val="2"/>
    </font>
    <font>
      <i/>
      <sz val="11"/>
      <name val="Calibri"/>
      <family val="2"/>
    </font>
    <font>
      <sz val="13"/>
      <name val=".SF NS"/>
    </font>
    <font>
      <b/>
      <sz val="13"/>
      <name val=".SF NS"/>
    </font>
    <font>
      <i/>
      <sz val="13"/>
      <name val=".SF NS"/>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s>
  <fills count="28">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s>
  <borders count="2">
    <border>
      <left/>
      <right/>
      <top/>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135">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4"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6"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7" fillId="0" borderId="0" xfId="0" applyFont="1"/>
    <xf numFmtId="0" fontId="8" fillId="2" borderId="0" xfId="0" applyFont="1" applyFill="1" applyAlignment="1">
      <alignment horizontal="left" vertical="center"/>
    </xf>
    <xf numFmtId="0" fontId="8" fillId="5" borderId="0" xfId="0" applyFont="1" applyFill="1" applyAlignment="1">
      <alignment horizontal="center" vertical="center"/>
    </xf>
    <xf numFmtId="0" fontId="7" fillId="0" borderId="0" xfId="0" applyFont="1" applyAlignment="1">
      <alignment horizontal="center" vertical="center"/>
    </xf>
    <xf numFmtId="0" fontId="7" fillId="5" borderId="0" xfId="0" applyFont="1" applyFill="1" applyAlignment="1">
      <alignment horizontal="center" vertical="center"/>
    </xf>
    <xf numFmtId="0" fontId="8" fillId="5" borderId="0" xfId="0" applyFont="1" applyFill="1" applyAlignment="1">
      <alignment horizontal="left" vertical="center"/>
    </xf>
    <xf numFmtId="0" fontId="9" fillId="0" borderId="0" xfId="0" applyFont="1"/>
    <xf numFmtId="0" fontId="7" fillId="4" borderId="0" xfId="0" applyFont="1" applyFill="1"/>
    <xf numFmtId="0" fontId="9" fillId="3" borderId="0" xfId="0" applyFont="1" applyFill="1"/>
    <xf numFmtId="0" fontId="7" fillId="3" borderId="0" xfId="0" applyFont="1" applyFill="1"/>
    <xf numFmtId="0" fontId="7" fillId="6" borderId="0" xfId="0" applyFont="1" applyFill="1"/>
    <xf numFmtId="0" fontId="7" fillId="7" borderId="0" xfId="0" applyFont="1" applyFill="1"/>
    <xf numFmtId="0" fontId="7" fillId="8" borderId="0" xfId="0" applyFont="1" applyFill="1"/>
    <xf numFmtId="0" fontId="7" fillId="9" borderId="0" xfId="0" applyFont="1" applyFill="1"/>
    <xf numFmtId="0" fontId="10" fillId="10" borderId="0" xfId="0" applyFont="1" applyFill="1"/>
    <xf numFmtId="0" fontId="7" fillId="11" borderId="0" xfId="0" applyFont="1" applyFill="1"/>
    <xf numFmtId="0" fontId="10" fillId="12" borderId="0" xfId="0" applyFont="1" applyFill="1"/>
    <xf numFmtId="0" fontId="7" fillId="0" borderId="0" xfId="0" applyFont="1" applyAlignment="1">
      <alignment horizontal="left"/>
    </xf>
    <xf numFmtId="0" fontId="9" fillId="4" borderId="0" xfId="0" applyFont="1" applyFill="1"/>
    <xf numFmtId="0" fontId="9" fillId="0" borderId="0" xfId="0" applyFont="1" applyAlignment="1">
      <alignment horizontal="left"/>
    </xf>
    <xf numFmtId="0" fontId="9" fillId="13" borderId="0" xfId="0" applyFont="1" applyFill="1"/>
    <xf numFmtId="0" fontId="9" fillId="14" borderId="0" xfId="0" applyFont="1" applyFill="1"/>
    <xf numFmtId="0" fontId="9" fillId="15" borderId="0" xfId="0" applyFont="1" applyFill="1"/>
    <xf numFmtId="0" fontId="7" fillId="15" borderId="0" xfId="0" applyFont="1" applyFill="1"/>
    <xf numFmtId="0" fontId="9" fillId="16" borderId="0" xfId="0" applyFont="1" applyFill="1" applyAlignment="1">
      <alignment horizontal="right"/>
    </xf>
    <xf numFmtId="0" fontId="11" fillId="0" borderId="0" xfId="0" applyFont="1"/>
    <xf numFmtId="0" fontId="12" fillId="3" borderId="0" xfId="0" applyFont="1" applyFill="1"/>
    <xf numFmtId="0" fontId="12" fillId="0" borderId="0" xfId="0" applyFont="1"/>
    <xf numFmtId="0" fontId="13" fillId="0" borderId="0" xfId="0" applyFont="1"/>
    <xf numFmtId="0" fontId="13" fillId="17" borderId="0" xfId="0" applyFont="1" applyFill="1"/>
    <xf numFmtId="0" fontId="15" fillId="5" borderId="0" xfId="0" applyFont="1" applyFill="1" applyAlignment="1">
      <alignment horizontal="left" vertical="center"/>
    </xf>
    <xf numFmtId="0" fontId="17" fillId="20" borderId="0" xfId="0" applyFont="1" applyFill="1"/>
    <xf numFmtId="0" fontId="13" fillId="20" borderId="0" xfId="0" applyFont="1" applyFill="1"/>
    <xf numFmtId="0" fontId="18" fillId="21" borderId="0" xfId="0" applyFont="1" applyFill="1" applyAlignment="1">
      <alignment horizontal="left" vertical="center"/>
    </xf>
    <xf numFmtId="0" fontId="13" fillId="21" borderId="0" xfId="0" applyFont="1" applyFill="1"/>
    <xf numFmtId="0" fontId="19" fillId="21" borderId="0" xfId="0" applyFont="1" applyFill="1" applyAlignment="1">
      <alignment horizontal="left" vertical="center"/>
    </xf>
    <xf numFmtId="3" fontId="19" fillId="4" borderId="0" xfId="0" applyNumberFormat="1" applyFont="1" applyFill="1" applyAlignment="1">
      <alignment horizontal="right" vertical="center"/>
    </xf>
    <xf numFmtId="0" fontId="20" fillId="21" borderId="0" xfId="0" applyFont="1" applyFill="1" applyAlignment="1">
      <alignment horizontal="left" vertical="center"/>
    </xf>
    <xf numFmtId="3" fontId="19" fillId="11" borderId="0" xfId="0" applyNumberFormat="1" applyFont="1" applyFill="1" applyAlignment="1">
      <alignment horizontal="right" vertical="center"/>
    </xf>
    <xf numFmtId="3" fontId="21" fillId="13" borderId="0" xfId="0" applyNumberFormat="1" applyFont="1" applyFill="1" applyAlignment="1">
      <alignment horizontal="right" vertical="center"/>
    </xf>
    <xf numFmtId="3" fontId="22" fillId="11" borderId="0" xfId="0" applyNumberFormat="1" applyFont="1" applyFill="1" applyAlignment="1">
      <alignment horizontal="right" vertical="center"/>
    </xf>
    <xf numFmtId="3" fontId="23" fillId="13" borderId="0" xfId="0" applyNumberFormat="1" applyFont="1" applyFill="1" applyAlignment="1">
      <alignment horizontal="right" vertical="center"/>
    </xf>
    <xf numFmtId="3" fontId="24" fillId="22" borderId="0" xfId="0" applyNumberFormat="1" applyFont="1" applyFill="1" applyAlignment="1">
      <alignment horizontal="right" vertical="center"/>
    </xf>
    <xf numFmtId="164" fontId="24" fillId="22" borderId="0" xfId="0" applyNumberFormat="1" applyFont="1" applyFill="1" applyAlignment="1">
      <alignment horizontal="right" vertical="center"/>
    </xf>
    <xf numFmtId="165" fontId="23" fillId="13" borderId="0" xfId="0" applyNumberFormat="1" applyFont="1" applyFill="1" applyAlignment="1">
      <alignment horizontal="right" vertical="center"/>
    </xf>
    <xf numFmtId="0" fontId="2" fillId="3" borderId="0" xfId="0" applyFont="1" applyFill="1"/>
    <xf numFmtId="0" fontId="26" fillId="0" borderId="0" xfId="0" applyFont="1"/>
    <xf numFmtId="0" fontId="27" fillId="0" borderId="0" xfId="0" applyFont="1"/>
    <xf numFmtId="0" fontId="2" fillId="0" borderId="0" xfId="0" applyFont="1"/>
    <xf numFmtId="0" fontId="28" fillId="23" borderId="0" xfId="0" applyFont="1" applyFill="1" applyAlignment="1">
      <alignment horizontal="left" vertical="center"/>
    </xf>
    <xf numFmtId="0" fontId="29" fillId="16" borderId="0" xfId="0" applyFont="1" applyFill="1" applyAlignment="1">
      <alignment horizontal="center" vertical="center" wrapText="1"/>
    </xf>
    <xf numFmtId="0" fontId="30" fillId="14" borderId="0" xfId="0" applyFont="1" applyFill="1" applyAlignment="1">
      <alignment horizontal="left" vertical="top" wrapText="1"/>
    </xf>
    <xf numFmtId="0" fontId="31" fillId="0" borderId="0" xfId="0" applyFont="1"/>
    <xf numFmtId="0" fontId="32" fillId="0" borderId="0" xfId="0" applyFont="1"/>
    <xf numFmtId="0" fontId="32" fillId="0" borderId="0" xfId="0" applyFont="1" applyAlignment="1">
      <alignment horizontal="left"/>
    </xf>
    <xf numFmtId="0" fontId="33" fillId="0" borderId="0" xfId="0" applyFont="1"/>
    <xf numFmtId="0" fontId="34" fillId="0" borderId="0" xfId="0" applyFont="1"/>
    <xf numFmtId="0" fontId="35"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6" fillId="10" borderId="0" xfId="0" applyFont="1" applyFill="1"/>
    <xf numFmtId="0" fontId="0" fillId="0" borderId="0" xfId="0" applyAlignment="1">
      <alignment vertical="top"/>
    </xf>
    <xf numFmtId="0" fontId="0" fillId="0" borderId="0" xfId="0" applyAlignment="1">
      <alignment vertical="top" wrapText="1"/>
    </xf>
    <xf numFmtId="0" fontId="1" fillId="25" borderId="0" xfId="0" applyFont="1" applyFill="1" applyAlignment="1">
      <alignment vertical="top" wrapText="1"/>
    </xf>
    <xf numFmtId="0" fontId="2" fillId="19" borderId="0" xfId="0" applyFont="1" applyFill="1" applyAlignment="1">
      <alignment vertical="top" wrapText="1"/>
    </xf>
    <xf numFmtId="3" fontId="2" fillId="19" borderId="0" xfId="0" applyNumberFormat="1" applyFont="1" applyFill="1" applyAlignment="1">
      <alignment vertical="top" wrapText="1"/>
    </xf>
    <xf numFmtId="3" fontId="0" fillId="0" borderId="0" xfId="0" applyNumberFormat="1" applyAlignment="1">
      <alignment vertical="top" wrapText="1"/>
    </xf>
    <xf numFmtId="0" fontId="2" fillId="19" borderId="0" xfId="0" applyFont="1" applyFill="1" applyAlignment="1">
      <alignment vertical="top"/>
    </xf>
    <xf numFmtId="3" fontId="0" fillId="0" borderId="0" xfId="0" applyNumberFormat="1" applyAlignment="1">
      <alignment vertical="top"/>
    </xf>
    <xf numFmtId="0" fontId="0" fillId="0" borderId="0" xfId="0" applyAlignment="1">
      <alignment wrapText="1"/>
    </xf>
    <xf numFmtId="0" fontId="1" fillId="25" borderId="0" xfId="0" applyFont="1" applyFill="1" applyAlignment="1">
      <alignment wrapText="1"/>
    </xf>
    <xf numFmtId="0" fontId="37" fillId="0" borderId="0" xfId="0" applyFont="1" applyAlignment="1">
      <alignment vertical="top"/>
    </xf>
    <xf numFmtId="0" fontId="37" fillId="0" borderId="0" xfId="0" applyFont="1"/>
    <xf numFmtId="0" fontId="38" fillId="3" borderId="0" xfId="0" applyFont="1" applyFill="1" applyAlignment="1">
      <alignment horizontal="left"/>
    </xf>
    <xf numFmtId="0" fontId="39" fillId="0" borderId="0" xfId="0" quotePrefix="1" applyFont="1"/>
    <xf numFmtId="0" fontId="39" fillId="0" borderId="0" xfId="0" applyFont="1"/>
    <xf numFmtId="0" fontId="39" fillId="0" borderId="0" xfId="0" applyFont="1" applyAlignment="1">
      <alignment horizontal="right"/>
    </xf>
    <xf numFmtId="0" fontId="0" fillId="0" borderId="0" xfId="0" applyAlignment="1">
      <alignment horizontal="right"/>
    </xf>
    <xf numFmtId="0" fontId="40" fillId="0" borderId="0" xfId="0" applyFont="1"/>
    <xf numFmtId="0" fontId="37" fillId="0" borderId="0" xfId="0" applyFont="1" applyAlignment="1">
      <alignment horizontal="right"/>
    </xf>
    <xf numFmtId="0" fontId="37" fillId="0" borderId="0" xfId="0" quotePrefix="1" applyFont="1" applyAlignment="1">
      <alignment horizontal="right"/>
    </xf>
    <xf numFmtId="0" fontId="40" fillId="0" borderId="1" xfId="0" applyFont="1" applyBorder="1"/>
    <xf numFmtId="0" fontId="0" fillId="0" borderId="1" xfId="0" applyBorder="1" applyAlignment="1">
      <alignment horizontal="right"/>
    </xf>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5" fillId="21" borderId="0" xfId="0" applyFont="1" applyFill="1" applyAlignment="1">
      <alignment horizontal="left" vertical="center" wrapText="1"/>
    </xf>
    <xf numFmtId="0" fontId="5" fillId="11" borderId="0" xfId="0" applyFont="1" applyFill="1" applyAlignment="1">
      <alignment horizontal="left" vertical="center" wrapText="1"/>
    </xf>
    <xf numFmtId="9" fontId="5"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5" fillId="22" borderId="0" xfId="0" applyNumberFormat="1" applyFont="1" applyFill="1" applyAlignment="1">
      <alignment horizontal="left" vertical="center" wrapText="1"/>
    </xf>
    <xf numFmtId="0" fontId="48" fillId="0" borderId="0" xfId="0" applyFont="1"/>
    <xf numFmtId="0" fontId="47" fillId="0" borderId="0" xfId="0" applyFont="1"/>
    <xf numFmtId="0" fontId="5" fillId="21" borderId="0" xfId="0" applyFont="1" applyFill="1" applyAlignment="1">
      <alignment horizontal="left" vertical="center"/>
    </xf>
    <xf numFmtId="3" fontId="24" fillId="26" borderId="0" xfId="0" applyNumberFormat="1" applyFont="1" applyFill="1" applyAlignment="1">
      <alignment horizontal="right" vertical="center"/>
    </xf>
    <xf numFmtId="164" fontId="24" fillId="26" borderId="0" xfId="0" applyNumberFormat="1" applyFont="1" applyFill="1" applyAlignment="1">
      <alignment horizontal="right" vertical="center"/>
    </xf>
    <xf numFmtId="9" fontId="0" fillId="26" borderId="0" xfId="0" applyNumberFormat="1" applyFill="1" applyAlignment="1">
      <alignment horizontal="left" vertical="center" wrapText="1"/>
    </xf>
    <xf numFmtId="9" fontId="5" fillId="26" borderId="0" xfId="0" applyNumberFormat="1" applyFont="1" applyFill="1" applyAlignment="1">
      <alignment horizontal="left" vertical="center" wrapText="1"/>
    </xf>
    <xf numFmtId="3" fontId="5" fillId="26" borderId="0" xfId="0" applyNumberFormat="1" applyFont="1" applyFill="1" applyAlignment="1">
      <alignment horizontal="left" vertical="center" wrapText="1"/>
    </xf>
    <xf numFmtId="0" fontId="49" fillId="19" borderId="0" xfId="0" applyFont="1" applyFill="1" applyAlignment="1">
      <alignment horizontal="left" vertical="center" wrapText="1"/>
    </xf>
    <xf numFmtId="3" fontId="5" fillId="4" borderId="0" xfId="0" applyNumberFormat="1" applyFont="1" applyFill="1" applyAlignment="1">
      <alignment horizontal="left" vertical="center" wrapText="1"/>
    </xf>
    <xf numFmtId="3" fontId="5" fillId="11" borderId="0" xfId="0" applyNumberFormat="1" applyFont="1" applyFill="1" applyAlignment="1">
      <alignment horizontal="left" vertical="center"/>
    </xf>
    <xf numFmtId="0" fontId="51" fillId="0" borderId="0" xfId="0" applyFont="1"/>
    <xf numFmtId="0" fontId="16" fillId="19" borderId="0" xfId="0" applyFont="1" applyFill="1" applyAlignment="1">
      <alignment horizontal="left" vertical="center"/>
    </xf>
    <xf numFmtId="0" fontId="13" fillId="0" borderId="0" xfId="0" applyFont="1"/>
    <xf numFmtId="0" fontId="43" fillId="19" borderId="0" xfId="0" applyFont="1" applyFill="1" applyAlignment="1">
      <alignment horizontal="left" vertical="center" wrapText="1"/>
    </xf>
    <xf numFmtId="0" fontId="14" fillId="18" borderId="0" xfId="0" applyFont="1" applyFill="1" applyAlignment="1">
      <alignment vertical="center"/>
    </xf>
    <xf numFmtId="0" fontId="1" fillId="2" borderId="0" xfId="0" applyFont="1" applyFill="1" applyAlignment="1">
      <alignment horizontal="left" vertical="center"/>
    </xf>
    <xf numFmtId="0" fontId="0" fillId="0" borderId="0" xfId="0"/>
    <xf numFmtId="0" fontId="3" fillId="2" borderId="0" xfId="0" applyFont="1" applyFill="1" applyAlignment="1">
      <alignment horizontal="left" vertical="center" wrapText="1"/>
    </xf>
    <xf numFmtId="0" fontId="1" fillId="2" borderId="0" xfId="0" applyFont="1" applyFill="1" applyAlignment="1">
      <alignment horizontal="left" vertical="center" wrapText="1"/>
    </xf>
    <xf numFmtId="0" fontId="5" fillId="19" borderId="0" xfId="0" applyFont="1" applyFill="1" applyAlignment="1">
      <alignment horizontal="left" vertical="center" wrapText="1"/>
    </xf>
    <xf numFmtId="0" fontId="25" fillId="19" borderId="0" xfId="0" applyFont="1" applyFill="1" applyAlignment="1">
      <alignment horizontal="left" vertical="center" wrapText="1"/>
    </xf>
    <xf numFmtId="0" fontId="1" fillId="24" borderId="0" xfId="0" applyFont="1" applyFill="1" applyAlignment="1">
      <alignment horizontal="center" vertical="top" wrapText="1"/>
    </xf>
    <xf numFmtId="0" fontId="1" fillId="24" borderId="0" xfId="0" applyFont="1" applyFill="1" applyAlignment="1">
      <alignment horizontal="center" wrapText="1"/>
    </xf>
    <xf numFmtId="0" fontId="13" fillId="0" borderId="0" xfId="0" applyFont="1" applyAlignment="1"/>
    <xf numFmtId="0" fontId="50" fillId="2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zoomScale="120" zoomScaleNormal="120" workbookViewId="0">
      <selection activeCell="A3" sqref="A3"/>
    </sheetView>
  </sheetViews>
  <sheetFormatPr baseColWidth="10" defaultColWidth="8.83203125" defaultRowHeight="15"/>
  <cols>
    <col min="1" max="8" width="13.83203125" customWidth="1"/>
  </cols>
  <sheetData>
    <row r="1" spans="1:8" ht="60.75" customHeight="1">
      <c r="A1" s="125" t="s">
        <v>61</v>
      </c>
      <c r="B1" s="126"/>
      <c r="C1" s="126"/>
      <c r="D1" s="126"/>
      <c r="E1" s="126"/>
      <c r="F1" s="126"/>
      <c r="G1" s="126"/>
      <c r="H1" s="126"/>
    </row>
    <row r="3" spans="1:8" ht="21" customHeight="1">
      <c r="A3" s="1" t="s">
        <v>62</v>
      </c>
      <c r="B3" s="2" t="s">
        <v>63</v>
      </c>
    </row>
    <row r="4" spans="1:8" ht="21" customHeight="1">
      <c r="A4" s="1" t="s">
        <v>64</v>
      </c>
      <c r="B4" s="2" t="s">
        <v>65</v>
      </c>
    </row>
    <row r="5" spans="1:8" ht="21" customHeight="1">
      <c r="A5" s="1" t="s">
        <v>66</v>
      </c>
      <c r="B5" s="2" t="s">
        <v>67</v>
      </c>
    </row>
    <row r="6" spans="1:8" ht="21" customHeight="1">
      <c r="A6" s="1" t="s">
        <v>68</v>
      </c>
      <c r="B6" s="2" t="s">
        <v>69</v>
      </c>
    </row>
    <row r="7" spans="1:8" ht="21" customHeight="1">
      <c r="A7" s="1" t="s">
        <v>70</v>
      </c>
      <c r="B7" s="2" t="s">
        <v>71</v>
      </c>
    </row>
    <row r="8" spans="1:8" ht="21" customHeight="1">
      <c r="A8" s="1" t="s">
        <v>72</v>
      </c>
      <c r="B8" s="2" t="s">
        <v>73</v>
      </c>
    </row>
    <row r="9" spans="1:8" ht="21" customHeight="1">
      <c r="A9" s="1" t="s">
        <v>74</v>
      </c>
      <c r="B9" s="2" t="s">
        <v>75</v>
      </c>
    </row>
    <row r="10" spans="1:8" ht="21" customHeight="1">
      <c r="A10" s="1" t="s">
        <v>76</v>
      </c>
      <c r="B10" s="2" t="s">
        <v>77</v>
      </c>
    </row>
    <row r="11" spans="1:8" ht="21" customHeight="1">
      <c r="A11" s="1" t="s">
        <v>78</v>
      </c>
      <c r="B11" s="2" t="s">
        <v>79</v>
      </c>
    </row>
    <row r="12" spans="1:8" ht="21" customHeight="1">
      <c r="A12" s="1" t="s">
        <v>80</v>
      </c>
      <c r="B12" s="2" t="s">
        <v>81</v>
      </c>
    </row>
    <row r="13" spans="1:8" ht="21" customHeight="1">
      <c r="A13" s="2" t="s">
        <v>82</v>
      </c>
      <c r="B13" s="2" t="s">
        <v>83</v>
      </c>
    </row>
  </sheetData>
  <mergeCells count="1">
    <mergeCell ref="A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zoomScale="120" zoomScaleNormal="120" workbookViewId="0">
      <selection activeCell="A3" sqref="A3"/>
    </sheetView>
  </sheetViews>
  <sheetFormatPr baseColWidth="10" defaultColWidth="8.83203125" defaultRowHeight="15"/>
  <cols>
    <col min="1" max="11" width="13.83203125" customWidth="1"/>
  </cols>
  <sheetData>
    <row r="1" spans="1:11" ht="60.75" customHeight="1">
      <c r="A1" s="127" t="s">
        <v>84</v>
      </c>
      <c r="B1" s="126"/>
      <c r="C1" s="126"/>
      <c r="D1" s="126"/>
      <c r="E1" s="126"/>
      <c r="F1" s="126"/>
      <c r="G1" s="126"/>
      <c r="H1" s="126"/>
      <c r="I1" s="126"/>
      <c r="J1" s="126"/>
      <c r="K1" s="126"/>
    </row>
    <row r="2" spans="1:11" ht="21" customHeight="1">
      <c r="A2" s="3" t="s">
        <v>85</v>
      </c>
      <c r="B2" s="4"/>
      <c r="C2" s="4"/>
      <c r="D2" s="4"/>
      <c r="E2" s="4"/>
      <c r="F2" s="4"/>
      <c r="G2" s="4"/>
      <c r="H2" s="4"/>
      <c r="I2" s="4"/>
      <c r="J2" s="4"/>
    </row>
    <row r="3" spans="1:11" ht="21" customHeight="1">
      <c r="A3" s="5" t="s">
        <v>86</v>
      </c>
      <c r="B3" s="5" t="s">
        <v>87</v>
      </c>
      <c r="C3" s="5" t="s">
        <v>88</v>
      </c>
      <c r="D3" s="5" t="s">
        <v>89</v>
      </c>
      <c r="E3" s="5" t="s">
        <v>90</v>
      </c>
      <c r="F3" s="5" t="s">
        <v>91</v>
      </c>
      <c r="G3" s="5" t="s">
        <v>92</v>
      </c>
      <c r="H3" s="5" t="s">
        <v>93</v>
      </c>
      <c r="I3" s="5" t="s">
        <v>94</v>
      </c>
      <c r="J3" s="5" t="s">
        <v>95</v>
      </c>
      <c r="K3" s="6" t="s">
        <v>96</v>
      </c>
    </row>
    <row r="4" spans="1:11" ht="33.75" customHeight="1">
      <c r="A4" s="7" t="s">
        <v>97</v>
      </c>
      <c r="B4" s="7">
        <v>750</v>
      </c>
      <c r="C4" s="7">
        <v>1800</v>
      </c>
      <c r="D4" s="7">
        <v>150</v>
      </c>
      <c r="E4" s="7">
        <v>450</v>
      </c>
      <c r="F4" s="8" t="s">
        <v>98</v>
      </c>
      <c r="G4" s="8" t="s">
        <v>99</v>
      </c>
      <c r="H4" s="8" t="s">
        <v>100</v>
      </c>
      <c r="I4" s="8" t="s">
        <v>101</v>
      </c>
      <c r="J4" s="8" t="s">
        <v>102</v>
      </c>
      <c r="K4" s="8" t="s">
        <v>103</v>
      </c>
    </row>
    <row r="5" spans="1:11" ht="33.75" customHeight="1">
      <c r="A5" s="7" t="s">
        <v>104</v>
      </c>
      <c r="B5" s="7">
        <v>1500</v>
      </c>
      <c r="C5" s="7">
        <v>3500</v>
      </c>
      <c r="D5" s="7">
        <v>300</v>
      </c>
      <c r="E5" s="7">
        <v>750</v>
      </c>
      <c r="F5" s="8" t="s">
        <v>105</v>
      </c>
      <c r="G5" s="8" t="s">
        <v>106</v>
      </c>
      <c r="H5" s="8" t="s">
        <v>107</v>
      </c>
      <c r="I5" s="8" t="s">
        <v>108</v>
      </c>
      <c r="J5" s="8" t="s">
        <v>109</v>
      </c>
      <c r="K5" s="8" t="s">
        <v>110</v>
      </c>
    </row>
    <row r="6" spans="1:11" ht="33.75" customHeight="1">
      <c r="A6" s="7" t="s">
        <v>111</v>
      </c>
      <c r="B6" s="7">
        <v>3500</v>
      </c>
      <c r="C6" s="7">
        <v>7500</v>
      </c>
      <c r="D6" s="7">
        <v>750</v>
      </c>
      <c r="E6" s="7">
        <v>1500</v>
      </c>
      <c r="F6" s="8" t="s">
        <v>112</v>
      </c>
      <c r="G6" s="8" t="s">
        <v>113</v>
      </c>
      <c r="H6" s="8" t="s">
        <v>114</v>
      </c>
      <c r="I6" s="8" t="s">
        <v>115</v>
      </c>
      <c r="J6" s="8" t="s">
        <v>116</v>
      </c>
      <c r="K6" s="8" t="s">
        <v>117</v>
      </c>
    </row>
    <row r="7" spans="1:11" ht="33.75" customHeight="1">
      <c r="A7" s="7" t="s">
        <v>118</v>
      </c>
      <c r="B7" s="7">
        <v>7500</v>
      </c>
      <c r="C7" s="7">
        <v>15000</v>
      </c>
      <c r="D7" s="7">
        <v>1500</v>
      </c>
      <c r="E7" s="7">
        <v>3500</v>
      </c>
      <c r="F7" s="8" t="s">
        <v>119</v>
      </c>
      <c r="G7" s="8" t="s">
        <v>120</v>
      </c>
      <c r="H7" s="8" t="s">
        <v>121</v>
      </c>
      <c r="I7" s="8" t="s">
        <v>122</v>
      </c>
      <c r="J7" s="8" t="s">
        <v>123</v>
      </c>
      <c r="K7" s="8" t="s">
        <v>124</v>
      </c>
    </row>
    <row r="8" spans="1:11" ht="33.75" customHeight="1">
      <c r="A8" s="7" t="s">
        <v>125</v>
      </c>
      <c r="B8" s="7">
        <v>12000</v>
      </c>
      <c r="C8" s="7">
        <v>30000</v>
      </c>
      <c r="D8" s="7">
        <v>2500</v>
      </c>
      <c r="E8" s="7">
        <v>6000</v>
      </c>
      <c r="F8" s="8" t="s">
        <v>126</v>
      </c>
      <c r="G8" s="8" t="s">
        <v>127</v>
      </c>
      <c r="H8" s="8" t="s">
        <v>128</v>
      </c>
      <c r="I8" s="8" t="s">
        <v>129</v>
      </c>
      <c r="J8" s="8" t="s">
        <v>130</v>
      </c>
      <c r="K8" s="8" t="s">
        <v>131</v>
      </c>
    </row>
    <row r="9" spans="1:11" ht="33.75" customHeight="1">
      <c r="A9" s="9" t="s">
        <v>132</v>
      </c>
      <c r="B9" s="7">
        <v>4500</v>
      </c>
      <c r="C9" s="7">
        <v>15000</v>
      </c>
      <c r="D9" s="7">
        <v>0</v>
      </c>
      <c r="E9" s="7">
        <v>1000</v>
      </c>
      <c r="F9" s="8" t="s">
        <v>133</v>
      </c>
      <c r="G9" s="8" t="s">
        <v>134</v>
      </c>
      <c r="H9" s="8" t="s">
        <v>135</v>
      </c>
      <c r="I9" s="8" t="s">
        <v>136</v>
      </c>
      <c r="J9" s="8" t="s">
        <v>137</v>
      </c>
      <c r="K9" s="8" t="s">
        <v>138</v>
      </c>
    </row>
  </sheetData>
  <mergeCells count="1">
    <mergeCell ref="A1:K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9"/>
  <sheetViews>
    <sheetView zoomScale="120" zoomScaleNormal="120" workbookViewId="0">
      <selection activeCell="A3" sqref="A3"/>
    </sheetView>
  </sheetViews>
  <sheetFormatPr baseColWidth="10" defaultColWidth="8.83203125" defaultRowHeight="15"/>
  <cols>
    <col min="1" max="2" width="13.83203125" customWidth="1"/>
    <col min="3" max="9" width="21.83203125" customWidth="1"/>
    <col min="11" max="13" width="8.83203125" customWidth="1"/>
    <col min="14" max="18" width="21.83203125" customWidth="1"/>
  </cols>
  <sheetData>
    <row r="1" spans="1:18" ht="60.75" customHeight="1">
      <c r="A1" s="128" t="s">
        <v>139</v>
      </c>
      <c r="B1" s="126"/>
      <c r="C1" s="126"/>
      <c r="D1" s="126"/>
      <c r="E1" s="126"/>
      <c r="F1" s="126"/>
      <c r="G1" s="126"/>
      <c r="H1" s="126"/>
      <c r="I1" s="126"/>
      <c r="K1" s="128" t="s">
        <v>140</v>
      </c>
      <c r="L1" s="126"/>
      <c r="M1" s="126"/>
      <c r="N1" s="126"/>
      <c r="O1" s="126"/>
      <c r="P1" s="126"/>
      <c r="Q1" s="126"/>
      <c r="R1" s="126"/>
    </row>
    <row r="3" spans="1:18" ht="33.75" customHeight="1">
      <c r="A3" s="5" t="s">
        <v>141</v>
      </c>
      <c r="B3" s="5" t="s">
        <v>87</v>
      </c>
      <c r="C3" s="5" t="s">
        <v>88</v>
      </c>
      <c r="D3" s="5" t="s">
        <v>89</v>
      </c>
      <c r="E3" s="5" t="s">
        <v>90</v>
      </c>
      <c r="F3" s="5" t="s">
        <v>142</v>
      </c>
      <c r="G3" s="5" t="s">
        <v>143</v>
      </c>
      <c r="H3" s="5" t="s">
        <v>144</v>
      </c>
      <c r="I3" s="5" t="s">
        <v>145</v>
      </c>
      <c r="K3" s="5" t="s">
        <v>146</v>
      </c>
      <c r="L3" s="5" t="s">
        <v>147</v>
      </c>
      <c r="M3" s="5" t="s">
        <v>148</v>
      </c>
      <c r="N3" s="5" t="s">
        <v>149</v>
      </c>
      <c r="O3" s="5" t="s">
        <v>150</v>
      </c>
      <c r="P3" s="5" t="s">
        <v>151</v>
      </c>
      <c r="Q3" s="5" t="s">
        <v>152</v>
      </c>
      <c r="R3" s="5" t="s">
        <v>153</v>
      </c>
    </row>
    <row r="4" spans="1:18" ht="21" customHeight="1">
      <c r="A4" t="s">
        <v>154</v>
      </c>
      <c r="B4">
        <v>500</v>
      </c>
      <c r="C4">
        <v>1500</v>
      </c>
      <c r="D4">
        <v>100</v>
      </c>
      <c r="E4">
        <v>300</v>
      </c>
      <c r="F4" t="s">
        <v>155</v>
      </c>
      <c r="G4" t="s">
        <v>156</v>
      </c>
      <c r="H4" t="s">
        <v>157</v>
      </c>
      <c r="I4" t="s">
        <v>158</v>
      </c>
      <c r="K4" s="10" t="s">
        <v>159</v>
      </c>
      <c r="L4" s="11">
        <v>0</v>
      </c>
      <c r="M4" s="11">
        <v>1</v>
      </c>
      <c r="N4" t="s">
        <v>160</v>
      </c>
      <c r="O4" t="s">
        <v>161</v>
      </c>
      <c r="P4" t="s">
        <v>162</v>
      </c>
      <c r="Q4" t="s">
        <v>163</v>
      </c>
      <c r="R4" t="s">
        <v>164</v>
      </c>
    </row>
    <row r="5" spans="1:18" ht="21" customHeight="1">
      <c r="A5" t="s">
        <v>165</v>
      </c>
      <c r="B5">
        <v>500</v>
      </c>
      <c r="C5">
        <v>2000</v>
      </c>
      <c r="D5">
        <v>150</v>
      </c>
      <c r="E5">
        <v>500</v>
      </c>
      <c r="F5" t="s">
        <v>166</v>
      </c>
      <c r="G5" t="s">
        <v>167</v>
      </c>
      <c r="H5" t="s">
        <v>168</v>
      </c>
      <c r="I5" t="s">
        <v>169</v>
      </c>
      <c r="K5" s="10" t="s">
        <v>170</v>
      </c>
      <c r="L5" s="11">
        <v>0.5</v>
      </c>
      <c r="M5" s="11">
        <v>1</v>
      </c>
      <c r="N5" t="s">
        <v>171</v>
      </c>
      <c r="O5" t="s">
        <v>172</v>
      </c>
      <c r="P5" t="s">
        <v>173</v>
      </c>
      <c r="Q5" t="s">
        <v>174</v>
      </c>
      <c r="R5" t="s">
        <v>164</v>
      </c>
    </row>
    <row r="6" spans="1:18" ht="21" customHeight="1">
      <c r="A6" t="s">
        <v>175</v>
      </c>
      <c r="B6">
        <v>750</v>
      </c>
      <c r="C6">
        <v>2500</v>
      </c>
      <c r="D6">
        <v>200</v>
      </c>
      <c r="E6">
        <v>600</v>
      </c>
      <c r="F6" t="s">
        <v>176</v>
      </c>
      <c r="G6" t="s">
        <v>177</v>
      </c>
      <c r="H6" t="s">
        <v>178</v>
      </c>
      <c r="I6" t="s">
        <v>179</v>
      </c>
      <c r="K6" s="10" t="s">
        <v>180</v>
      </c>
      <c r="L6" s="11">
        <v>1</v>
      </c>
      <c r="M6" s="11">
        <v>1</v>
      </c>
      <c r="N6" t="s">
        <v>181</v>
      </c>
      <c r="O6" t="s">
        <v>182</v>
      </c>
      <c r="P6" t="s">
        <v>183</v>
      </c>
      <c r="Q6" t="s">
        <v>184</v>
      </c>
      <c r="R6" t="s">
        <v>185</v>
      </c>
    </row>
    <row r="7" spans="1:18" ht="21" customHeight="1">
      <c r="A7" t="s">
        <v>186</v>
      </c>
      <c r="B7">
        <v>750</v>
      </c>
      <c r="C7">
        <v>2000</v>
      </c>
      <c r="D7">
        <v>150</v>
      </c>
      <c r="E7">
        <v>500</v>
      </c>
      <c r="F7" t="s">
        <v>187</v>
      </c>
      <c r="G7" t="s">
        <v>188</v>
      </c>
      <c r="H7" t="s">
        <v>189</v>
      </c>
      <c r="I7" t="s">
        <v>190</v>
      </c>
      <c r="K7" s="10" t="s">
        <v>191</v>
      </c>
      <c r="L7" s="11">
        <v>1.5</v>
      </c>
      <c r="M7" s="11">
        <v>1</v>
      </c>
      <c r="N7" t="s">
        <v>192</v>
      </c>
      <c r="O7" t="s">
        <v>193</v>
      </c>
      <c r="P7" t="s">
        <v>194</v>
      </c>
      <c r="Q7" t="s">
        <v>195</v>
      </c>
      <c r="R7" t="s">
        <v>196</v>
      </c>
    </row>
    <row r="8" spans="1:18" ht="21" customHeight="1">
      <c r="A8" t="s">
        <v>197</v>
      </c>
      <c r="B8">
        <v>500</v>
      </c>
      <c r="C8">
        <v>2000</v>
      </c>
      <c r="D8">
        <v>250</v>
      </c>
      <c r="E8">
        <v>900</v>
      </c>
      <c r="F8" t="s">
        <v>198</v>
      </c>
      <c r="G8" t="s">
        <v>199</v>
      </c>
      <c r="H8" t="s">
        <v>200</v>
      </c>
      <c r="I8" t="s">
        <v>201</v>
      </c>
      <c r="K8" s="10" t="s">
        <v>202</v>
      </c>
      <c r="L8" s="11">
        <v>2</v>
      </c>
      <c r="M8" s="11">
        <v>1</v>
      </c>
      <c r="N8" t="s">
        <v>203</v>
      </c>
      <c r="O8" t="s">
        <v>161</v>
      </c>
      <c r="P8" t="s">
        <v>204</v>
      </c>
      <c r="Q8" t="s">
        <v>205</v>
      </c>
      <c r="R8" t="s">
        <v>206</v>
      </c>
    </row>
    <row r="9" spans="1:18" ht="21" customHeight="1">
      <c r="A9" t="s">
        <v>207</v>
      </c>
      <c r="B9">
        <v>0</v>
      </c>
      <c r="C9">
        <v>0</v>
      </c>
      <c r="D9">
        <v>0</v>
      </c>
      <c r="E9">
        <v>0</v>
      </c>
      <c r="F9" t="s">
        <v>208</v>
      </c>
      <c r="G9" t="s">
        <v>209</v>
      </c>
      <c r="H9" t="s">
        <v>210</v>
      </c>
      <c r="I9" t="s">
        <v>211</v>
      </c>
      <c r="K9" s="10" t="s">
        <v>212</v>
      </c>
      <c r="L9" s="11">
        <v>3</v>
      </c>
      <c r="M9" s="11">
        <v>1</v>
      </c>
      <c r="N9" t="s">
        <v>213</v>
      </c>
      <c r="O9" t="s">
        <v>214</v>
      </c>
      <c r="P9" t="s">
        <v>215</v>
      </c>
      <c r="Q9" t="s">
        <v>216</v>
      </c>
      <c r="R9" t="s">
        <v>217</v>
      </c>
    </row>
    <row r="10" spans="1:18" ht="21" customHeight="1">
      <c r="A10" t="s">
        <v>218</v>
      </c>
      <c r="B10">
        <v>0</v>
      </c>
      <c r="C10">
        <v>0</v>
      </c>
      <c r="D10">
        <v>0</v>
      </c>
      <c r="E10">
        <v>0</v>
      </c>
      <c r="F10" t="s">
        <v>219</v>
      </c>
      <c r="G10" t="s">
        <v>220</v>
      </c>
      <c r="H10" t="s">
        <v>221</v>
      </c>
      <c r="I10" t="s">
        <v>222</v>
      </c>
    </row>
    <row r="11" spans="1:18" ht="21" customHeight="1">
      <c r="A11" t="s">
        <v>161</v>
      </c>
      <c r="B11">
        <v>0</v>
      </c>
      <c r="C11">
        <v>0</v>
      </c>
      <c r="D11">
        <v>0</v>
      </c>
      <c r="E11">
        <v>0</v>
      </c>
      <c r="F11" t="s">
        <v>223</v>
      </c>
      <c r="G11" t="s">
        <v>224</v>
      </c>
      <c r="H11" t="s">
        <v>225</v>
      </c>
      <c r="I11" t="s">
        <v>226</v>
      </c>
    </row>
    <row r="13" spans="1:18" ht="33.75" customHeight="1">
      <c r="A13" s="5" t="s">
        <v>227</v>
      </c>
      <c r="B13" s="5" t="s">
        <v>228</v>
      </c>
      <c r="C13" s="5" t="s">
        <v>229</v>
      </c>
      <c r="D13" s="5" t="s">
        <v>230</v>
      </c>
      <c r="E13" s="5" t="s">
        <v>231</v>
      </c>
      <c r="F13" s="5" t="s">
        <v>232</v>
      </c>
      <c r="G13" s="5" t="s">
        <v>145</v>
      </c>
      <c r="H13" s="5" t="s">
        <v>233</v>
      </c>
      <c r="I13" s="5" t="s">
        <v>234</v>
      </c>
    </row>
    <row r="14" spans="1:18" ht="21" customHeight="1">
      <c r="A14" t="s">
        <v>159</v>
      </c>
      <c r="B14" s="12">
        <v>0</v>
      </c>
      <c r="C14" t="s">
        <v>235</v>
      </c>
      <c r="D14" t="s">
        <v>236</v>
      </c>
      <c r="E14" t="s">
        <v>237</v>
      </c>
      <c r="F14" t="s">
        <v>238</v>
      </c>
      <c r="G14" t="s">
        <v>239</v>
      </c>
      <c r="H14" t="s">
        <v>163</v>
      </c>
      <c r="I14" t="s">
        <v>240</v>
      </c>
    </row>
    <row r="15" spans="1:18" ht="21" customHeight="1">
      <c r="A15" t="s">
        <v>170</v>
      </c>
      <c r="B15" s="12">
        <v>0.5</v>
      </c>
      <c r="C15" t="s">
        <v>241</v>
      </c>
      <c r="D15" t="s">
        <v>242</v>
      </c>
      <c r="E15" t="s">
        <v>243</v>
      </c>
      <c r="F15" t="s">
        <v>244</v>
      </c>
      <c r="G15" t="s">
        <v>245</v>
      </c>
      <c r="H15" t="s">
        <v>246</v>
      </c>
      <c r="I15" t="s">
        <v>247</v>
      </c>
    </row>
    <row r="16" spans="1:18" ht="21" customHeight="1">
      <c r="A16" t="s">
        <v>180</v>
      </c>
      <c r="B16" s="12">
        <v>1</v>
      </c>
      <c r="C16" t="s">
        <v>248</v>
      </c>
      <c r="D16" t="s">
        <v>249</v>
      </c>
      <c r="E16" t="s">
        <v>250</v>
      </c>
      <c r="F16" t="s">
        <v>251</v>
      </c>
      <c r="G16" t="s">
        <v>252</v>
      </c>
      <c r="H16" t="s">
        <v>184</v>
      </c>
      <c r="I16" t="s">
        <v>253</v>
      </c>
    </row>
    <row r="17" spans="1:9" ht="21" customHeight="1">
      <c r="A17" t="s">
        <v>191</v>
      </c>
      <c r="B17" s="12">
        <v>1.5</v>
      </c>
      <c r="C17" t="s">
        <v>254</v>
      </c>
      <c r="D17" t="s">
        <v>255</v>
      </c>
      <c r="E17" t="s">
        <v>256</v>
      </c>
      <c r="F17" t="s">
        <v>257</v>
      </c>
      <c r="G17" t="s">
        <v>258</v>
      </c>
      <c r="H17" t="s">
        <v>259</v>
      </c>
      <c r="I17" t="s">
        <v>260</v>
      </c>
    </row>
    <row r="18" spans="1:9" ht="21" customHeight="1">
      <c r="A18" t="s">
        <v>202</v>
      </c>
      <c r="B18" s="12">
        <v>2</v>
      </c>
      <c r="C18" t="s">
        <v>261</v>
      </c>
      <c r="D18" t="s">
        <v>262</v>
      </c>
      <c r="E18" t="s">
        <v>263</v>
      </c>
      <c r="F18" t="s">
        <v>264</v>
      </c>
      <c r="G18" t="s">
        <v>265</v>
      </c>
      <c r="H18" t="s">
        <v>266</v>
      </c>
      <c r="I18" t="s">
        <v>267</v>
      </c>
    </row>
    <row r="19" spans="1:9" ht="21" customHeight="1">
      <c r="A19" t="s">
        <v>212</v>
      </c>
      <c r="B19" s="12">
        <v>3</v>
      </c>
      <c r="C19" t="s">
        <v>268</v>
      </c>
      <c r="D19" t="s">
        <v>269</v>
      </c>
      <c r="E19" t="s">
        <v>270</v>
      </c>
      <c r="F19" t="s">
        <v>271</v>
      </c>
      <c r="G19" t="s">
        <v>272</v>
      </c>
      <c r="H19" t="s">
        <v>216</v>
      </c>
      <c r="I19" t="s">
        <v>273</v>
      </c>
    </row>
  </sheetData>
  <mergeCells count="2">
    <mergeCell ref="A1:I1"/>
    <mergeCell ref="K1:R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V63"/>
  <sheetViews>
    <sheetView zoomScale="120" zoomScaleNormal="120" workbookViewId="0">
      <selection activeCell="A3" sqref="A3"/>
    </sheetView>
  </sheetViews>
  <sheetFormatPr baseColWidth="10" defaultColWidth="8.6640625" defaultRowHeight="21" customHeight="1"/>
  <cols>
    <col min="1" max="1" width="5.83203125" style="13" customWidth="1"/>
    <col min="2" max="2" width="34.83203125" style="13" customWidth="1"/>
    <col min="3" max="3" width="13.83203125" style="13" customWidth="1"/>
    <col min="4" max="4" width="55.83203125" style="13" customWidth="1"/>
    <col min="5" max="5" width="3.83203125" style="13" customWidth="1"/>
    <col min="6" max="7" width="21.83203125" style="13" customWidth="1"/>
    <col min="8" max="9" width="3.83203125" style="13" customWidth="1"/>
    <col min="10" max="10" width="21.83203125" style="13" customWidth="1"/>
    <col min="11" max="11" width="3.83203125" style="13" customWidth="1"/>
    <col min="12" max="12" width="21.83203125" style="13" customWidth="1"/>
    <col min="13" max="13" width="3.83203125" style="13" customWidth="1"/>
    <col min="14" max="14" width="21.83203125" style="13" customWidth="1"/>
    <col min="15" max="15" width="3.83203125" style="13" customWidth="1"/>
    <col min="16" max="16" width="8.6640625" style="13" customWidth="1"/>
    <col min="17" max="16384" width="8.6640625" style="13"/>
  </cols>
  <sheetData>
    <row r="1" spans="1:22" ht="60.75" customHeight="1">
      <c r="A1" s="14" t="s">
        <v>274</v>
      </c>
      <c r="B1" s="14"/>
      <c r="C1" s="14"/>
      <c r="D1" s="14"/>
    </row>
    <row r="2" spans="1:22" ht="13.5" customHeight="1"/>
    <row r="3" spans="1:22" s="16" customFormat="1" ht="33.75" customHeight="1">
      <c r="A3" s="15" t="s">
        <v>275</v>
      </c>
      <c r="B3" s="15" t="s">
        <v>1</v>
      </c>
      <c r="C3" s="15" t="s">
        <v>2</v>
      </c>
      <c r="D3" s="15" t="s">
        <v>276</v>
      </c>
      <c r="F3" s="15" t="s">
        <v>277</v>
      </c>
      <c r="G3" s="17"/>
      <c r="H3" s="17"/>
      <c r="I3" s="17"/>
      <c r="J3" s="15" t="s">
        <v>278</v>
      </c>
      <c r="K3" s="17"/>
      <c r="L3" s="15" t="s">
        <v>279</v>
      </c>
      <c r="M3" s="17"/>
      <c r="N3" s="15" t="s">
        <v>280</v>
      </c>
      <c r="O3" s="17"/>
      <c r="Q3" s="18" t="s">
        <v>281</v>
      </c>
      <c r="R3" s="15"/>
      <c r="T3" s="18" t="s">
        <v>282</v>
      </c>
      <c r="U3" s="15"/>
      <c r="V3" s="15"/>
    </row>
    <row r="4" spans="1:22" ht="21" customHeight="1">
      <c r="A4" s="19" t="s">
        <v>283</v>
      </c>
      <c r="B4" s="13" t="s">
        <v>284</v>
      </c>
      <c r="C4" s="20"/>
      <c r="D4" s="13" t="s">
        <v>285</v>
      </c>
      <c r="F4" s="21" t="s">
        <v>286</v>
      </c>
      <c r="G4" s="22">
        <f>C4</f>
        <v>0</v>
      </c>
      <c r="J4" s="13" t="str">
        <f>'Package Reference'!A4</f>
        <v>Basic Intake</v>
      </c>
      <c r="L4" s="13" t="str">
        <f>'Access Models'!A5</f>
        <v>Logic visibility</v>
      </c>
      <c r="N4" s="13" t="str">
        <f>'Complexity Reference'!K4</f>
        <v>No support</v>
      </c>
      <c r="Q4" s="23" t="s">
        <v>159</v>
      </c>
      <c r="R4" s="23"/>
      <c r="T4" s="23" t="s">
        <v>287</v>
      </c>
      <c r="U4" s="23"/>
      <c r="V4" s="23"/>
    </row>
    <row r="5" spans="1:22" ht="21" customHeight="1">
      <c r="A5" s="19" t="s">
        <v>288</v>
      </c>
      <c r="B5" s="13" t="s">
        <v>289</v>
      </c>
      <c r="C5" s="24" t="s">
        <v>97</v>
      </c>
      <c r="D5" s="13" t="s">
        <v>290</v>
      </c>
      <c r="E5" s="13" t="s">
        <v>291</v>
      </c>
      <c r="F5" s="21" t="s">
        <v>86</v>
      </c>
      <c r="G5" s="22" t="str">
        <f>C5</f>
        <v>Basic Intake</v>
      </c>
      <c r="J5" s="13" t="str">
        <f>'Package Reference'!A5</f>
        <v>Basic+ AI Triage</v>
      </c>
      <c r="L5" s="13" t="str">
        <f>'Access Models'!A6</f>
        <v>Limited admin</v>
      </c>
      <c r="N5" s="13" t="str">
        <f>'Complexity Reference'!K5</f>
        <v>Light support</v>
      </c>
      <c r="Q5" s="25" t="s">
        <v>170</v>
      </c>
      <c r="R5" s="25"/>
      <c r="T5" s="25" t="s">
        <v>292</v>
      </c>
      <c r="U5" s="25"/>
      <c r="V5" s="25"/>
    </row>
    <row r="6" spans="1:22" ht="21" customHeight="1">
      <c r="A6" s="19" t="s">
        <v>293</v>
      </c>
      <c r="B6" s="13" t="s">
        <v>294</v>
      </c>
      <c r="C6" s="24" t="s">
        <v>200</v>
      </c>
      <c r="D6" s="13" t="s">
        <v>295</v>
      </c>
      <c r="F6" s="21" t="s">
        <v>93</v>
      </c>
      <c r="G6" s="22" t="str">
        <f>C6</f>
        <v>Managed service</v>
      </c>
      <c r="J6" s="13" t="str">
        <f>'Package Reference'!A6</f>
        <v>Pro Multi-Channel</v>
      </c>
      <c r="L6" s="13" t="str">
        <f>'Access Models'!A7</f>
        <v>Client-owned workspace</v>
      </c>
      <c r="N6" s="13" t="str">
        <f>'Complexity Reference'!K6</f>
        <v>Normal managed support</v>
      </c>
      <c r="Q6" s="24" t="s">
        <v>180</v>
      </c>
      <c r="R6" s="24"/>
      <c r="T6" s="24" t="s">
        <v>296</v>
      </c>
      <c r="U6" s="24"/>
      <c r="V6" s="24"/>
    </row>
    <row r="7" spans="1:22" ht="21" customHeight="1">
      <c r="A7" s="19" t="s">
        <v>297</v>
      </c>
      <c r="B7" s="13" t="s">
        <v>281</v>
      </c>
      <c r="C7" s="24" t="s">
        <v>180</v>
      </c>
      <c r="D7" s="13" t="s">
        <v>298</v>
      </c>
      <c r="F7" s="21" t="s">
        <v>281</v>
      </c>
      <c r="G7" s="22" t="str">
        <f>C7</f>
        <v>Normal managed support</v>
      </c>
      <c r="J7" s="13" t="str">
        <f>'Package Reference'!A7</f>
        <v>Managed Operations</v>
      </c>
      <c r="L7" s="13" t="str">
        <f>'Access Models'!A8</f>
        <v>Build-and-transfer</v>
      </c>
      <c r="N7" s="13" t="str">
        <f>'Complexity Reference'!K7</f>
        <v>High-responsibility maintenance</v>
      </c>
      <c r="Q7" s="26" t="s">
        <v>299</v>
      </c>
      <c r="R7" s="26"/>
      <c r="T7" s="26" t="s">
        <v>300</v>
      </c>
      <c r="U7" s="26"/>
      <c r="V7" s="26"/>
    </row>
    <row r="8" spans="1:22" ht="21" customHeight="1">
      <c r="F8" s="21" t="s">
        <v>301</v>
      </c>
      <c r="G8" s="22" t="str">
        <f>"CHF "&amp;ROUND(C34,0)&amp;" - CHF "&amp;ROUND(C35,0)</f>
        <v>CHF 2250 - CHF 6300</v>
      </c>
      <c r="J8" s="13" t="str">
        <f>'Package Reference'!A8</f>
        <v>Agentic Automation</v>
      </c>
      <c r="L8" s="13">
        <f>'Access Models'!A9</f>
        <v>0</v>
      </c>
      <c r="N8" s="13" t="str">
        <f>'Complexity Reference'!K8</f>
        <v>Premium transfer support</v>
      </c>
      <c r="Q8" s="27" t="s">
        <v>125</v>
      </c>
      <c r="R8" s="27"/>
      <c r="T8" s="27" t="s">
        <v>202</v>
      </c>
      <c r="U8" s="27"/>
      <c r="V8" s="27"/>
    </row>
    <row r="9" spans="1:22" ht="21" customHeight="1">
      <c r="A9" s="19" t="s">
        <v>302</v>
      </c>
      <c r="B9" s="13" t="s">
        <v>303</v>
      </c>
      <c r="C9" s="28">
        <f>IFERROR(VLOOKUP(C5,'Package Reference'!$A$4:$E$8,2,FALSE()),0)</f>
        <v>750</v>
      </c>
      <c r="D9" s="13" t="s">
        <v>304</v>
      </c>
      <c r="F9" s="21" t="s">
        <v>305</v>
      </c>
      <c r="G9" s="22" t="str">
        <f>"CHF "&amp;ROUND(C36,0)&amp;" - CHF "&amp;ROUND(C37,0)</f>
        <v>CHF 500 - CHF 1550</v>
      </c>
      <c r="N9" s="13" t="str">
        <f>'Complexity Reference'!K9</f>
        <v>Critical support</v>
      </c>
      <c r="Q9" s="29" t="s">
        <v>212</v>
      </c>
      <c r="R9" s="29"/>
      <c r="T9" s="29" t="s">
        <v>306</v>
      </c>
      <c r="U9" s="29"/>
      <c r="V9" s="29"/>
    </row>
    <row r="10" spans="1:22" ht="21" customHeight="1">
      <c r="A10" s="19" t="s">
        <v>307</v>
      </c>
      <c r="B10" s="13" t="s">
        <v>308</v>
      </c>
      <c r="C10" s="28">
        <f>IFERROR(VLOOKUP(C5,'Package Reference'!$A$4:$E$8,3,FALSE()),0)</f>
        <v>1800</v>
      </c>
      <c r="D10" s="13" t="s">
        <v>304</v>
      </c>
      <c r="F10" s="21" t="s">
        <v>309</v>
      </c>
      <c r="G10" s="22" t="str">
        <f>"CHF "&amp;ROUND(C38,0)</f>
        <v>CHF 4300</v>
      </c>
    </row>
    <row r="11" spans="1:22" ht="21" customHeight="1">
      <c r="A11" s="19" t="s">
        <v>310</v>
      </c>
      <c r="B11" s="13" t="s">
        <v>311</v>
      </c>
      <c r="C11" s="28">
        <f>IFERROR(VLOOKUP(C5,'Package Reference'!$A$4:$E$8,4,FALSE()),0)</f>
        <v>150</v>
      </c>
      <c r="D11" s="13" t="s">
        <v>304</v>
      </c>
      <c r="F11" s="21" t="s">
        <v>312</v>
      </c>
      <c r="G11" s="22" t="str">
        <f>"CHF "&amp;ROUND(C39,0)</f>
        <v>CHF 1000</v>
      </c>
    </row>
    <row r="12" spans="1:22" ht="21" customHeight="1">
      <c r="A12" s="19" t="s">
        <v>313</v>
      </c>
      <c r="B12" s="13" t="s">
        <v>314</v>
      </c>
      <c r="C12" s="28">
        <f>IFERROR(VLOOKUP(C5,'Package Reference'!$A$4:$E$8,5,FALSE()),0)</f>
        <v>450</v>
      </c>
      <c r="D12" s="13" t="s">
        <v>304</v>
      </c>
      <c r="F12" s="21" t="s">
        <v>144</v>
      </c>
      <c r="G12" s="22" t="s">
        <v>315</v>
      </c>
    </row>
    <row r="13" spans="1:22" ht="21" customHeight="1">
      <c r="A13" s="19" t="s">
        <v>316</v>
      </c>
      <c r="B13" s="13" t="s">
        <v>317</v>
      </c>
      <c r="C13" s="28">
        <f>IFERROR(VLOOKUP(C6,'Access Models'!$A$5:$K$9,10,FALSE()),1)</f>
        <v>1</v>
      </c>
      <c r="D13" s="13" t="s">
        <v>318</v>
      </c>
      <c r="E13" s="13" t="s">
        <v>291</v>
      </c>
      <c r="F13" s="21" t="s">
        <v>319</v>
      </c>
      <c r="G13" s="22" t="s">
        <v>320</v>
      </c>
    </row>
    <row r="14" spans="1:22" ht="21" customHeight="1">
      <c r="A14" s="19" t="s">
        <v>321</v>
      </c>
      <c r="B14" s="13" t="s">
        <v>322</v>
      </c>
      <c r="C14" s="28">
        <f>IFERROR(VLOOKUP(C7,'Complexity Reference'!$K$4:$M$9,2,FALSE()),1)</f>
        <v>1</v>
      </c>
      <c r="D14" s="13" t="s">
        <v>323</v>
      </c>
    </row>
    <row r="16" spans="1:22" ht="21" customHeight="1">
      <c r="A16" s="19" t="s">
        <v>324</v>
      </c>
      <c r="B16" s="13" t="s">
        <v>325</v>
      </c>
      <c r="C16" s="20">
        <v>0</v>
      </c>
      <c r="D16" s="13" t="s">
        <v>326</v>
      </c>
      <c r="E16" s="13" t="s">
        <v>291</v>
      </c>
      <c r="F16" s="88" t="s">
        <v>327</v>
      </c>
      <c r="G16" s="22" t="s">
        <v>328</v>
      </c>
    </row>
    <row r="17" spans="1:7" ht="21" customHeight="1">
      <c r="A17" s="19" t="s">
        <v>329</v>
      </c>
      <c r="B17" s="13" t="s">
        <v>330</v>
      </c>
      <c r="C17" s="20">
        <v>1</v>
      </c>
      <c r="D17" s="13" t="s">
        <v>331</v>
      </c>
      <c r="E17" s="13" t="s">
        <v>291</v>
      </c>
      <c r="F17" s="22" t="s">
        <v>332</v>
      </c>
    </row>
    <row r="18" spans="1:7" ht="21" customHeight="1">
      <c r="A18" s="19" t="s">
        <v>333</v>
      </c>
      <c r="B18" s="13" t="s">
        <v>334</v>
      </c>
      <c r="C18" s="20">
        <v>1</v>
      </c>
      <c r="D18" s="30" t="s">
        <v>335</v>
      </c>
      <c r="E18" s="13" t="s">
        <v>291</v>
      </c>
      <c r="F18" s="22" t="s">
        <v>336</v>
      </c>
    </row>
    <row r="19" spans="1:7" ht="21" customHeight="1">
      <c r="A19" s="19" t="s">
        <v>337</v>
      </c>
      <c r="B19" s="13" t="s">
        <v>338</v>
      </c>
      <c r="C19" s="20">
        <v>1</v>
      </c>
      <c r="D19" s="30" t="s">
        <v>339</v>
      </c>
      <c r="E19" s="13" t="s">
        <v>291</v>
      </c>
      <c r="F19" s="22" t="s">
        <v>340</v>
      </c>
    </row>
    <row r="20" spans="1:7" ht="21" customHeight="1">
      <c r="A20" s="19" t="s">
        <v>341</v>
      </c>
      <c r="B20" s="13" t="s">
        <v>342</v>
      </c>
      <c r="C20" s="20">
        <v>0</v>
      </c>
      <c r="D20" s="30" t="s">
        <v>343</v>
      </c>
      <c r="E20" s="13" t="s">
        <v>291</v>
      </c>
      <c r="F20" s="22" t="s">
        <v>344</v>
      </c>
    </row>
    <row r="21" spans="1:7" ht="21" customHeight="1">
      <c r="A21" s="19" t="s">
        <v>345</v>
      </c>
      <c r="B21" s="13" t="s">
        <v>346</v>
      </c>
      <c r="C21" s="20">
        <v>1</v>
      </c>
      <c r="D21" s="30" t="s">
        <v>347</v>
      </c>
      <c r="E21" s="13" t="s">
        <v>291</v>
      </c>
      <c r="F21" s="22" t="s">
        <v>348</v>
      </c>
    </row>
    <row r="22" spans="1:7" ht="21" customHeight="1">
      <c r="A22" s="19" t="s">
        <v>349</v>
      </c>
      <c r="B22" s="13" t="s">
        <v>350</v>
      </c>
      <c r="C22" s="20">
        <v>1</v>
      </c>
      <c r="D22" s="30" t="s">
        <v>351</v>
      </c>
      <c r="E22" s="13" t="s">
        <v>291</v>
      </c>
      <c r="F22" s="13" t="s">
        <v>291</v>
      </c>
    </row>
    <row r="23" spans="1:7" ht="21" customHeight="1">
      <c r="A23" s="19" t="s">
        <v>352</v>
      </c>
      <c r="B23" s="13" t="s">
        <v>353</v>
      </c>
      <c r="C23" s="31"/>
      <c r="D23" s="32" t="s">
        <v>354</v>
      </c>
      <c r="E23" s="13" t="s">
        <v>291</v>
      </c>
      <c r="F23" s="88" t="s">
        <v>355</v>
      </c>
      <c r="G23" s="22" t="s">
        <v>356</v>
      </c>
    </row>
    <row r="24" spans="1:7" ht="21" customHeight="1">
      <c r="A24" s="19" t="s">
        <v>357</v>
      </c>
      <c r="B24" s="13" t="s">
        <v>358</v>
      </c>
      <c r="C24" s="31"/>
      <c r="D24" s="32" t="s">
        <v>359</v>
      </c>
      <c r="E24" s="13" t="s">
        <v>291</v>
      </c>
      <c r="F24" s="22" t="s">
        <v>332</v>
      </c>
    </row>
    <row r="25" spans="1:7" ht="21" customHeight="1">
      <c r="A25" s="19" t="s">
        <v>360</v>
      </c>
      <c r="B25" s="13" t="s">
        <v>361</v>
      </c>
      <c r="C25" s="31">
        <v>0</v>
      </c>
      <c r="D25" s="32" t="s">
        <v>362</v>
      </c>
      <c r="E25" s="13" t="s">
        <v>291</v>
      </c>
      <c r="F25" s="22" t="s">
        <v>363</v>
      </c>
    </row>
    <row r="26" spans="1:7" ht="21" customHeight="1">
      <c r="A26" s="19" t="s">
        <v>364</v>
      </c>
      <c r="B26" s="13" t="s">
        <v>365</v>
      </c>
      <c r="C26" s="31">
        <v>0</v>
      </c>
      <c r="D26" s="32" t="s">
        <v>366</v>
      </c>
      <c r="E26" s="13" t="s">
        <v>291</v>
      </c>
      <c r="F26" s="22" t="s">
        <v>367</v>
      </c>
    </row>
    <row r="27" spans="1:7" ht="21" customHeight="1">
      <c r="F27" s="22" t="s">
        <v>368</v>
      </c>
    </row>
    <row r="28" spans="1:7" ht="21" customHeight="1">
      <c r="B28" s="33" t="s">
        <v>369</v>
      </c>
      <c r="C28" s="33">
        <f>IF(C23="",C13,C23)</f>
        <v>1</v>
      </c>
      <c r="D28" s="33" t="s">
        <v>370</v>
      </c>
    </row>
    <row r="29" spans="1:7" ht="21" customHeight="1">
      <c r="B29" s="33" t="s">
        <v>371</v>
      </c>
      <c r="C29" s="33">
        <f>IF(C24="",C14,C24)</f>
        <v>1</v>
      </c>
      <c r="D29" s="33" t="s">
        <v>370</v>
      </c>
      <c r="F29" s="21" t="s">
        <v>372</v>
      </c>
      <c r="G29" s="22" t="s">
        <v>373</v>
      </c>
    </row>
    <row r="30" spans="1:7" ht="21" customHeight="1">
      <c r="B30" s="33" t="s">
        <v>374</v>
      </c>
      <c r="C30" s="33">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2250</v>
      </c>
      <c r="D30" s="33" t="s">
        <v>370</v>
      </c>
      <c r="F30" s="22" t="s">
        <v>332</v>
      </c>
    </row>
    <row r="31" spans="1:7" ht="21" customHeight="1">
      <c r="B31" s="33" t="s">
        <v>375</v>
      </c>
      <c r="C31" s="33">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6300</v>
      </c>
      <c r="D31" s="33" t="s">
        <v>370</v>
      </c>
      <c r="F31" s="22" t="s">
        <v>376</v>
      </c>
    </row>
    <row r="32" spans="1:7" ht="21" customHeight="1">
      <c r="B32" s="33" t="s">
        <v>377</v>
      </c>
      <c r="C32" s="33">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500</v>
      </c>
      <c r="D32" s="33" t="s">
        <v>370</v>
      </c>
      <c r="F32" s="22" t="s">
        <v>378</v>
      </c>
    </row>
    <row r="33" spans="2:7" ht="21" customHeight="1">
      <c r="B33" s="33" t="s">
        <v>379</v>
      </c>
      <c r="C33" s="33">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1550</v>
      </c>
      <c r="D33" s="33" t="s">
        <v>370</v>
      </c>
      <c r="F33" s="22" t="s">
        <v>380</v>
      </c>
    </row>
    <row r="34" spans="2:7" ht="21" customHeight="1">
      <c r="B34" s="33" t="s">
        <v>381</v>
      </c>
      <c r="C34" s="33">
        <f>ROUND(C30*C21*C22*C28,0)</f>
        <v>2250</v>
      </c>
      <c r="D34" s="33" t="s">
        <v>370</v>
      </c>
    </row>
    <row r="35" spans="2:7" ht="21" customHeight="1">
      <c r="B35" s="33" t="s">
        <v>382</v>
      </c>
      <c r="C35" s="33">
        <f>ROUND(C31*C21*C22*C28,0)</f>
        <v>6300</v>
      </c>
      <c r="D35" s="33" t="s">
        <v>370</v>
      </c>
      <c r="F35" s="21" t="s">
        <v>383</v>
      </c>
      <c r="G35" s="22" t="s">
        <v>384</v>
      </c>
    </row>
    <row r="36" spans="2:7" ht="21" customHeight="1">
      <c r="B36" s="33" t="s">
        <v>385</v>
      </c>
      <c r="C36" s="33">
        <f>ROUND(C32*C21*C29,0)</f>
        <v>500</v>
      </c>
      <c r="D36" s="33" t="s">
        <v>370</v>
      </c>
      <c r="F36" s="22" t="s">
        <v>332</v>
      </c>
    </row>
    <row r="37" spans="2:7" ht="21" customHeight="1">
      <c r="B37" s="33" t="s">
        <v>386</v>
      </c>
      <c r="C37" s="33">
        <f>ROUND(C33*C21*C29,0)</f>
        <v>1550</v>
      </c>
      <c r="D37" s="33" t="s">
        <v>370</v>
      </c>
      <c r="F37" s="22" t="s">
        <v>387</v>
      </c>
    </row>
    <row r="38" spans="2:7" ht="21" customHeight="1">
      <c r="B38" s="33" t="s">
        <v>388</v>
      </c>
      <c r="C38" s="33">
        <f>ROUND((C34+C35)/2,-2)</f>
        <v>4300</v>
      </c>
      <c r="D38" s="33" t="s">
        <v>370</v>
      </c>
      <c r="F38" s="22" t="s">
        <v>389</v>
      </c>
    </row>
    <row r="39" spans="2:7" ht="21" customHeight="1">
      <c r="B39" s="33" t="s">
        <v>390</v>
      </c>
      <c r="C39" s="33">
        <f>ROUND((C36+C37)/2,-2)</f>
        <v>1000</v>
      </c>
      <c r="D39" s="33" t="s">
        <v>370</v>
      </c>
      <c r="F39" s="22" t="s">
        <v>391</v>
      </c>
    </row>
    <row r="41" spans="2:7" ht="21" customHeight="1">
      <c r="B41" s="34" t="s">
        <v>392</v>
      </c>
      <c r="C41" s="34"/>
      <c r="D41" s="34"/>
      <c r="F41" s="21" t="s">
        <v>393</v>
      </c>
    </row>
    <row r="42" spans="2:7" ht="21" customHeight="1">
      <c r="B42" s="35" t="s">
        <v>394</v>
      </c>
      <c r="C42" s="35" t="s">
        <v>395</v>
      </c>
      <c r="D42" s="35" t="s">
        <v>396</v>
      </c>
      <c r="F42" s="22" t="s">
        <v>332</v>
      </c>
    </row>
    <row r="43" spans="2:7" ht="21" customHeight="1">
      <c r="B43" s="36" t="s">
        <v>397</v>
      </c>
      <c r="C43" s="37" t="str">
        <f>IF(C5="","empty",IF(C9=0,"FAIL","OK"))</f>
        <v>OK</v>
      </c>
      <c r="D43" s="36" t="str">
        <f>IF(C5="","Pick a package from column J (5 scope packages only).",IF(C9=0,IF(LOWER(C5)="build-and-transfer","Build-and-Transfer is an access model — select scope package in C5 and set C6 = Build-and-transfer.","Package name doesn't match Package Reference — use column J list."),"Package found in Reference."))</f>
        <v>Package found in Reference.</v>
      </c>
      <c r="F43" s="22" t="s">
        <v>398</v>
      </c>
    </row>
    <row r="44" spans="2:7" ht="21" customHeight="1">
      <c r="B44" s="36" t="s">
        <v>399</v>
      </c>
      <c r="C44" s="37" t="str">
        <f>IF(C6="","empty",IF(IFERROR(MATCH(C6,'Access Models'!$A$5:$A$9,0),0)=0,"FAIL","OK"))</f>
        <v>FAIL</v>
      </c>
      <c r="D44" s="36" t="str">
        <f>IF(C6="","Pick an access model from column L.",IF(IFERROR(MATCH(C6,'Access Models'!$A$5:$A$9,0),0)=0,"Access model doesn't match Access Models — use column L list.","Access model found."))</f>
        <v>Access model doesn't match Access Models — use column L list.</v>
      </c>
      <c r="F44" s="22" t="s">
        <v>400</v>
      </c>
    </row>
    <row r="45" spans="2:7" ht="21" customHeight="1">
      <c r="B45" s="36" t="s">
        <v>401</v>
      </c>
      <c r="C45" s="37" t="str">
        <f>IF(C7="","empty",IF(AND(C14=0,C7&lt;&gt;"No support"),"FAIL","OK"))</f>
        <v>OK</v>
      </c>
      <c r="D45" s="36" t="str">
        <f>IF(C7="","Pick a support model from column N.",IF(AND(C14=0,C7&lt;&gt;"No support"),"Support model doesn't match Complexity Reference — use column N list.","Support model found."))</f>
        <v>Support model found.</v>
      </c>
      <c r="F45" s="22" t="s">
        <v>402</v>
      </c>
    </row>
    <row r="46" spans="2:7" ht="21" customHeight="1">
      <c r="B46" s="36" t="s">
        <v>403</v>
      </c>
      <c r="C46" s="37" t="str">
        <f>IF(C21&lt;=1,"n/a",IF(OR(C19="",C19=0),"WARN","OK"))</f>
        <v>n/a</v>
      </c>
      <c r="D46" s="36" t="str">
        <f>IF(C21&lt;=1,"Sensitive multiplier not applied.",IF(OR(C19="",C19=0),"Sensitive data multiplier applied but Approval workflows count is 0 — sensitive content should always have at least 1 approval workflow.","Sensitive + approval workflow OK."))</f>
        <v>Sensitive multiplier not applied.</v>
      </c>
      <c r="F46" s="21" t="s">
        <v>404</v>
      </c>
    </row>
    <row r="47" spans="2:7" ht="21" customHeight="1">
      <c r="B47" s="36" t="s">
        <v>405</v>
      </c>
      <c r="C47" s="37" t="str">
        <f>IF(OR(C22="",C22&lt;=1),"OK",IF(C22&gt;1.3,"WARN","OK"))</f>
        <v>OK</v>
      </c>
      <c r="D47" s="36" t="str">
        <f>IF(OR(C22="",C22&lt;=1),"No urgency premium.",IF(C22&gt;1.3,"Urgency multiplier above 1.3 — confirm client accepts premium delivery cost.","Urgency premium within normal range."))</f>
        <v>No urgency premium.</v>
      </c>
      <c r="F47" s="22" t="s">
        <v>406</v>
      </c>
    </row>
    <row r="48" spans="2:7" ht="21" customHeight="1">
      <c r="B48" s="36" t="s">
        <v>407</v>
      </c>
      <c r="C48" s="37" t="str">
        <f>IF(AND(C6="Build-and-transfer",C7="No support"),"NOTE","n/a")</f>
        <v>n/a</v>
      </c>
      <c r="D48" s="36" t="str">
        <f>IF(AND(C6="Build-and-transfer",C7="No support"),"Build-and-transfer + No support: client takes full operational risk after handover. Document this clearly.","")</f>
        <v/>
      </c>
      <c r="F48" s="22" t="s">
        <v>408</v>
      </c>
    </row>
    <row r="49" spans="2:7" ht="21" customHeight="1">
      <c r="B49" s="36" t="s">
        <v>409</v>
      </c>
      <c r="C49" s="37" t="str">
        <f>IF(AND(C5="Basic Intake",OR(C20="",C20=0)=FALSE()),"WARN","OK")</f>
        <v>OK</v>
      </c>
      <c r="D49" s="36" t="str">
        <f>IF(AND(C5="Basic Intake",OR(C20="",C20=0)=FALSE()),"Reporting layer on Basic Intake — consider upgrading to Managed Operations or higher.","Reporting layer fits selected package.")</f>
        <v>Reporting layer fits selected package.</v>
      </c>
      <c r="F49" s="22" t="s">
        <v>410</v>
      </c>
    </row>
    <row r="50" spans="2:7" ht="21" customHeight="1">
      <c r="B50" s="38"/>
      <c r="F50" s="21" t="s">
        <v>411</v>
      </c>
    </row>
    <row r="51" spans="2:7" ht="21" customHeight="1">
      <c r="B51" s="38" t="s">
        <v>412</v>
      </c>
      <c r="C51" s="38" t="s">
        <v>413</v>
      </c>
      <c r="F51" s="22" t="s">
        <v>414</v>
      </c>
    </row>
    <row r="52" spans="2:7" ht="21" customHeight="1">
      <c r="B52" s="38"/>
      <c r="C52" s="38" t="s">
        <v>415</v>
      </c>
      <c r="F52" s="22" t="s">
        <v>416</v>
      </c>
    </row>
    <row r="53" spans="2:7" ht="21" customHeight="1">
      <c r="B53" s="38"/>
      <c r="C53" s="38" t="s">
        <v>417</v>
      </c>
    </row>
    <row r="54" spans="2:7" ht="21" customHeight="1">
      <c r="B54" s="38"/>
      <c r="C54" s="38" t="s">
        <v>418</v>
      </c>
      <c r="F54" s="39" t="s">
        <v>419</v>
      </c>
      <c r="G54" s="39"/>
    </row>
    <row r="55" spans="2:7" ht="21" customHeight="1">
      <c r="B55" s="38"/>
      <c r="F55" s="21" t="s">
        <v>1</v>
      </c>
      <c r="G55" s="21" t="s">
        <v>2</v>
      </c>
    </row>
    <row r="56" spans="2:7" ht="21" customHeight="1">
      <c r="F56" s="19" t="s">
        <v>420</v>
      </c>
      <c r="G56" s="40">
        <v>0</v>
      </c>
    </row>
    <row r="57" spans="2:7" ht="21" customHeight="1">
      <c r="F57" s="19" t="s">
        <v>421</v>
      </c>
      <c r="G57" s="40">
        <v>1</v>
      </c>
    </row>
    <row r="58" spans="2:7" ht="21" customHeight="1">
      <c r="F58" s="19" t="s">
        <v>422</v>
      </c>
      <c r="G58" s="40">
        <v>1</v>
      </c>
    </row>
    <row r="59" spans="2:7" ht="21" customHeight="1">
      <c r="F59" s="19" t="s">
        <v>423</v>
      </c>
      <c r="G59" s="40">
        <v>1</v>
      </c>
    </row>
    <row r="60" spans="2:7" ht="21" customHeight="1">
      <c r="F60" s="19" t="s">
        <v>424</v>
      </c>
      <c r="G60" s="40">
        <v>0</v>
      </c>
    </row>
    <row r="61" spans="2:7" ht="21" customHeight="1">
      <c r="F61" s="13" t="s">
        <v>425</v>
      </c>
      <c r="G61" s="13" t="s">
        <v>426</v>
      </c>
    </row>
    <row r="62" spans="2:7" ht="21" customHeight="1">
      <c r="F62" s="13" t="s">
        <v>427</v>
      </c>
      <c r="G62" s="13" t="s">
        <v>428</v>
      </c>
    </row>
    <row r="63" spans="2:7" ht="21" customHeight="1">
      <c r="F63" s="13" t="s">
        <v>429</v>
      </c>
      <c r="G63" s="13" t="s">
        <v>430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H47"/>
  <sheetViews>
    <sheetView tabSelected="1" zoomScale="120" zoomScaleNormal="120" workbookViewId="0"/>
  </sheetViews>
  <sheetFormatPr baseColWidth="10" defaultColWidth="8.83203125" defaultRowHeight="16" customHeight="1"/>
  <cols>
    <col min="1" max="1" width="5" style="41" customWidth="1"/>
    <col min="2" max="2" width="25.83203125" style="41" customWidth="1"/>
    <col min="3" max="3" width="8.83203125" style="41" customWidth="1"/>
    <col min="4" max="4" width="21.83203125" style="41" customWidth="1"/>
    <col min="5" max="5" width="5" style="41" customWidth="1"/>
    <col min="6" max="8" width="8.83203125" style="41" customWidth="1"/>
    <col min="9" max="16384" width="8.83203125" style="41"/>
  </cols>
  <sheetData>
    <row r="1" spans="1:8" ht="16" customHeight="1">
      <c r="A1" s="42"/>
      <c r="B1" s="42"/>
      <c r="C1" s="42"/>
      <c r="D1" s="42"/>
      <c r="E1" s="42"/>
    </row>
    <row r="2" spans="1:8" ht="23" customHeight="1">
      <c r="A2" s="42"/>
      <c r="B2" s="124" t="s">
        <v>0</v>
      </c>
      <c r="C2" s="122"/>
      <c r="D2" s="122"/>
      <c r="E2" s="42"/>
    </row>
    <row r="3" spans="1:8" ht="16" customHeight="1">
      <c r="A3" s="42"/>
      <c r="B3" s="42"/>
      <c r="C3" s="42"/>
      <c r="D3" s="42"/>
      <c r="E3" s="42"/>
    </row>
    <row r="4" spans="1:8" ht="16" customHeight="1">
      <c r="A4" s="42"/>
      <c r="B4" s="43" t="s">
        <v>1</v>
      </c>
      <c r="C4" s="43" t="s">
        <v>2</v>
      </c>
      <c r="D4" s="43" t="s">
        <v>3</v>
      </c>
      <c r="E4" s="42"/>
    </row>
    <row r="5" spans="1:8" ht="16" customHeight="1">
      <c r="A5" s="42"/>
      <c r="B5" s="121" t="s">
        <v>4</v>
      </c>
      <c r="C5" s="122"/>
      <c r="D5" s="122"/>
      <c r="E5" s="42"/>
      <c r="G5" s="44" t="s">
        <v>5</v>
      </c>
      <c r="H5" s="45"/>
    </row>
    <row r="6" spans="1:8" ht="16" customHeight="1">
      <c r="A6" s="42"/>
      <c r="B6" s="46" t="s">
        <v>6</v>
      </c>
      <c r="C6" s="47"/>
      <c r="D6" s="47"/>
      <c r="E6" s="42"/>
    </row>
    <row r="7" spans="1:8" ht="16" customHeight="1">
      <c r="A7" s="42"/>
      <c r="B7" s="48" t="s">
        <v>7</v>
      </c>
      <c r="C7" s="49">
        <v>2</v>
      </c>
      <c r="D7" s="50" t="s">
        <v>8</v>
      </c>
      <c r="E7" s="42"/>
      <c r="G7" s="49">
        <v>4</v>
      </c>
      <c r="H7" s="50" t="s">
        <v>8</v>
      </c>
    </row>
    <row r="8" spans="1:8" ht="16" customHeight="1">
      <c r="A8" s="42"/>
      <c r="B8" s="48" t="s">
        <v>9</v>
      </c>
      <c r="C8" s="49">
        <v>5</v>
      </c>
      <c r="D8" s="50" t="s">
        <v>10</v>
      </c>
      <c r="E8" s="42"/>
      <c r="G8" s="49">
        <v>2</v>
      </c>
      <c r="H8" s="50" t="s">
        <v>10</v>
      </c>
    </row>
    <row r="9" spans="1:8" ht="16" customHeight="1">
      <c r="A9" s="42"/>
      <c r="B9" s="48" t="s">
        <v>11</v>
      </c>
      <c r="C9" s="49">
        <v>100</v>
      </c>
      <c r="D9" s="50" t="s">
        <v>12</v>
      </c>
      <c r="E9" s="42"/>
      <c r="G9" s="49">
        <v>80</v>
      </c>
      <c r="H9" s="50" t="s">
        <v>12</v>
      </c>
    </row>
    <row r="10" spans="1:8" ht="16" customHeight="1">
      <c r="A10" s="42"/>
      <c r="B10" s="47"/>
      <c r="C10" s="47"/>
      <c r="D10" s="47"/>
      <c r="E10" s="42"/>
      <c r="G10" s="47"/>
      <c r="H10" s="47"/>
    </row>
    <row r="11" spans="1:8" ht="16" customHeight="1">
      <c r="A11" s="42"/>
      <c r="B11" s="46" t="s">
        <v>13</v>
      </c>
      <c r="C11" s="47"/>
      <c r="D11" s="47"/>
      <c r="E11" s="42"/>
      <c r="G11" s="47"/>
      <c r="H11" s="47"/>
    </row>
    <row r="12" spans="1:8" ht="16" customHeight="1">
      <c r="A12" s="42"/>
      <c r="B12" s="48" t="s">
        <v>14</v>
      </c>
      <c r="C12" s="49">
        <v>5</v>
      </c>
      <c r="D12" s="50" t="s">
        <v>15</v>
      </c>
      <c r="E12" s="42"/>
      <c r="G12" s="49">
        <v>1</v>
      </c>
      <c r="H12" s="50" t="s">
        <v>15</v>
      </c>
    </row>
    <row r="13" spans="1:8" ht="16" customHeight="1">
      <c r="A13" s="42"/>
      <c r="B13" s="48" t="s">
        <v>16</v>
      </c>
      <c r="C13" s="49">
        <v>200</v>
      </c>
      <c r="D13" s="50" t="s">
        <v>17</v>
      </c>
      <c r="E13" s="42"/>
      <c r="G13" s="49">
        <v>75</v>
      </c>
      <c r="H13" s="50" t="s">
        <v>17</v>
      </c>
    </row>
    <row r="14" spans="1:8" ht="16" customHeight="1">
      <c r="A14" s="42"/>
      <c r="B14" s="47"/>
      <c r="C14" s="47"/>
      <c r="D14" s="47"/>
      <c r="E14" s="42"/>
      <c r="G14" s="47"/>
      <c r="H14" s="47"/>
    </row>
    <row r="15" spans="1:8" ht="16" customHeight="1">
      <c r="A15" s="42"/>
      <c r="B15" s="46" t="s">
        <v>18</v>
      </c>
      <c r="C15" s="47"/>
      <c r="D15" s="47"/>
      <c r="E15" s="42"/>
      <c r="G15" s="47"/>
      <c r="H15" s="47"/>
    </row>
    <row r="16" spans="1:8" ht="16" customHeight="1">
      <c r="A16" s="42"/>
      <c r="B16" s="48" t="s">
        <v>19</v>
      </c>
      <c r="C16" s="49">
        <v>10</v>
      </c>
      <c r="D16" s="50" t="s">
        <v>20</v>
      </c>
      <c r="E16" s="42"/>
      <c r="G16" s="49">
        <v>1</v>
      </c>
      <c r="H16" s="50" t="s">
        <v>20</v>
      </c>
    </row>
    <row r="17" spans="1:8" ht="16" customHeight="1">
      <c r="A17" s="42"/>
      <c r="B17" s="48" t="s">
        <v>21</v>
      </c>
      <c r="C17" s="49">
        <v>1500</v>
      </c>
      <c r="D17" s="50" t="s">
        <v>22</v>
      </c>
      <c r="E17" s="42"/>
      <c r="G17" s="49">
        <v>1000</v>
      </c>
      <c r="H17" s="50" t="s">
        <v>22</v>
      </c>
    </row>
    <row r="18" spans="1:8" ht="16" customHeight="1">
      <c r="A18" s="42"/>
      <c r="B18" s="47"/>
      <c r="C18" s="47"/>
      <c r="D18" s="47"/>
      <c r="E18" s="42"/>
      <c r="G18" s="47"/>
      <c r="H18" s="47"/>
    </row>
    <row r="19" spans="1:8" ht="16" customHeight="1">
      <c r="A19" s="42"/>
      <c r="B19" s="46" t="s">
        <v>23</v>
      </c>
      <c r="C19" s="47"/>
      <c r="D19" s="47"/>
      <c r="E19" s="42"/>
      <c r="G19" s="47"/>
      <c r="H19" s="47"/>
    </row>
    <row r="20" spans="1:8" ht="16" customHeight="1">
      <c r="A20" s="42"/>
      <c r="B20" s="48" t="s">
        <v>24</v>
      </c>
      <c r="C20" s="49">
        <v>20000</v>
      </c>
      <c r="D20" s="50" t="s">
        <v>25</v>
      </c>
      <c r="E20" s="42"/>
      <c r="G20" s="49">
        <v>3500</v>
      </c>
      <c r="H20" s="50" t="s">
        <v>25</v>
      </c>
    </row>
    <row r="21" spans="1:8" ht="16" customHeight="1">
      <c r="A21" s="42"/>
      <c r="B21" s="48" t="s">
        <v>26</v>
      </c>
      <c r="C21" s="49">
        <v>2350</v>
      </c>
      <c r="D21" s="50" t="s">
        <v>27</v>
      </c>
      <c r="E21" s="42"/>
      <c r="G21" s="49">
        <v>1600</v>
      </c>
      <c r="H21" s="50" t="s">
        <v>28</v>
      </c>
    </row>
    <row r="22" spans="1:8" ht="16" customHeight="1">
      <c r="A22" s="42"/>
      <c r="B22" s="47"/>
      <c r="C22" s="47"/>
      <c r="D22" s="47"/>
      <c r="E22" s="42"/>
    </row>
    <row r="23" spans="1:8" ht="16" customHeight="1">
      <c r="A23" s="42"/>
      <c r="B23" s="121" t="s">
        <v>29</v>
      </c>
      <c r="C23" s="122"/>
      <c r="D23" s="122"/>
      <c r="E23" s="42"/>
      <c r="G23" s="44" t="s">
        <v>30</v>
      </c>
      <c r="H23" s="45"/>
    </row>
    <row r="24" spans="1:8" ht="16" customHeight="1">
      <c r="A24" s="42"/>
      <c r="B24" s="47"/>
      <c r="C24" s="47"/>
      <c r="D24" s="47"/>
      <c r="E24" s="42"/>
    </row>
    <row r="25" spans="1:8" ht="16" customHeight="1">
      <c r="A25" s="42"/>
      <c r="B25" s="50" t="s">
        <v>31</v>
      </c>
      <c r="C25" s="51">
        <f>C7*C8*C9*4</f>
        <v>4000</v>
      </c>
      <c r="D25" s="50" t="s">
        <v>32</v>
      </c>
      <c r="E25" s="42"/>
      <c r="G25" s="51">
        <f>G7*G8*G9*4</f>
        <v>2560</v>
      </c>
      <c r="H25" s="50" t="s">
        <v>32</v>
      </c>
    </row>
    <row r="26" spans="1:8" ht="16" customHeight="1">
      <c r="A26" s="42"/>
      <c r="B26" s="50" t="s">
        <v>33</v>
      </c>
      <c r="C26" s="51">
        <f>C12*C13*4</f>
        <v>4000</v>
      </c>
      <c r="D26" s="50" t="s">
        <v>32</v>
      </c>
      <c r="E26" s="42"/>
      <c r="G26" s="51">
        <f>G12*G13*4</f>
        <v>300</v>
      </c>
      <c r="H26" s="50" t="s">
        <v>32</v>
      </c>
    </row>
    <row r="27" spans="1:8" ht="16" customHeight="1">
      <c r="A27" s="42"/>
      <c r="B27" s="50" t="s">
        <v>34</v>
      </c>
      <c r="C27" s="51">
        <f>C16*C17</f>
        <v>15000</v>
      </c>
      <c r="D27" s="50" t="s">
        <v>32</v>
      </c>
      <c r="E27" s="42"/>
      <c r="G27" s="51">
        <f>G16*G17</f>
        <v>1000</v>
      </c>
      <c r="H27" s="50" t="s">
        <v>32</v>
      </c>
    </row>
    <row r="28" spans="1:8" ht="16" customHeight="1">
      <c r="A28" s="42"/>
      <c r="B28" s="46" t="s">
        <v>35</v>
      </c>
      <c r="C28" s="52">
        <f>SUM(C25:C27)</f>
        <v>23000</v>
      </c>
      <c r="D28" s="46" t="s">
        <v>36</v>
      </c>
      <c r="E28" s="42"/>
      <c r="G28" s="52">
        <f>SUM(G25:G27)</f>
        <v>3860</v>
      </c>
      <c r="H28" s="46" t="s">
        <v>36</v>
      </c>
    </row>
    <row r="29" spans="1:8" ht="16" customHeight="1">
      <c r="A29" s="42"/>
      <c r="B29" s="50" t="s">
        <v>37</v>
      </c>
      <c r="C29" s="53">
        <f>C21</f>
        <v>2350</v>
      </c>
      <c r="D29" s="50" t="s">
        <v>32</v>
      </c>
      <c r="E29" s="42"/>
      <c r="G29" s="53">
        <f>G21</f>
        <v>1600</v>
      </c>
      <c r="H29" s="50" t="s">
        <v>32</v>
      </c>
    </row>
    <row r="30" spans="1:8" ht="16" customHeight="1">
      <c r="A30" s="42"/>
      <c r="B30" s="46" t="s">
        <v>38</v>
      </c>
      <c r="C30" s="54">
        <f>C28-C29</f>
        <v>20650</v>
      </c>
      <c r="D30" s="46" t="s">
        <v>32</v>
      </c>
      <c r="E30" s="42"/>
      <c r="G30" s="54">
        <f>G28-G29</f>
        <v>2260</v>
      </c>
      <c r="H30" s="46" t="s">
        <v>32</v>
      </c>
    </row>
    <row r="31" spans="1:8" ht="16" customHeight="1">
      <c r="A31" s="42"/>
      <c r="B31" s="46" t="s">
        <v>39</v>
      </c>
      <c r="C31" s="112">
        <f>C30*12</f>
        <v>247800</v>
      </c>
      <c r="D31" s="46" t="s">
        <v>32</v>
      </c>
      <c r="E31" s="42"/>
      <c r="G31" s="112">
        <f>G30*12</f>
        <v>27120</v>
      </c>
      <c r="H31" s="46" t="s">
        <v>32</v>
      </c>
    </row>
    <row r="32" spans="1:8" ht="16" customHeight="1">
      <c r="B32" s="104" t="s">
        <v>40</v>
      </c>
      <c r="C32" s="105">
        <f>C20+C21*12</f>
        <v>48200</v>
      </c>
      <c r="D32" s="111" t="s">
        <v>41</v>
      </c>
      <c r="G32" s="105">
        <f>G20+G21*12</f>
        <v>22700</v>
      </c>
      <c r="H32" s="104" t="s">
        <v>32</v>
      </c>
    </row>
    <row r="33" spans="1:8" ht="16" customHeight="1">
      <c r="A33" s="42"/>
      <c r="B33" s="46" t="s">
        <v>42</v>
      </c>
      <c r="C33" s="113">
        <f>IF(C30&lt;=0,"N/A",C20/C30)</f>
        <v>0.96852300242130751</v>
      </c>
      <c r="D33" s="46" t="s">
        <v>43</v>
      </c>
      <c r="E33" s="42"/>
      <c r="G33" s="113">
        <f>IF(G30&lt;=0,"N/A",G20/G30)</f>
        <v>1.5486725663716814</v>
      </c>
      <c r="H33" s="46" t="s">
        <v>43</v>
      </c>
    </row>
    <row r="34" spans="1:8" ht="16" customHeight="1">
      <c r="A34" s="42"/>
      <c r="B34" s="104" t="s">
        <v>44</v>
      </c>
      <c r="C34" s="106">
        <f>IF(C32=0,"N/A",(C31-C20)/C32)</f>
        <v>4.7261410788381744</v>
      </c>
      <c r="D34" s="111" t="s">
        <v>45</v>
      </c>
      <c r="E34" s="42"/>
      <c r="G34" s="106">
        <f>IF(G32=0,"N/A",(G31-G20)/G32)</f>
        <v>1.0405286343612334</v>
      </c>
      <c r="H34" s="104" t="s">
        <v>46</v>
      </c>
    </row>
    <row r="35" spans="1:8" ht="16" customHeight="1">
      <c r="A35" s="42"/>
      <c r="B35" s="104" t="s">
        <v>47</v>
      </c>
      <c r="C35" s="114">
        <f>IF(C21=0,"N/A",C30*12/(C21*12))</f>
        <v>8.787234042553191</v>
      </c>
      <c r="E35" s="42"/>
      <c r="G35" s="115">
        <f>IF(G21=0,"N/A",G30*12/(G21*12))</f>
        <v>1.4125000000000001</v>
      </c>
      <c r="H35" s="104" t="s">
        <v>46</v>
      </c>
    </row>
    <row r="36" spans="1:8" ht="16" customHeight="1">
      <c r="A36" s="42"/>
      <c r="B36" s="104"/>
      <c r="C36" s="104"/>
      <c r="E36" s="42"/>
      <c r="G36" s="104"/>
      <c r="H36" s="104"/>
    </row>
    <row r="37" spans="1:8" ht="16" customHeight="1">
      <c r="B37" s="121" t="s">
        <v>48</v>
      </c>
      <c r="C37" s="122"/>
      <c r="D37" s="122"/>
      <c r="E37" s="42"/>
    </row>
    <row r="38" spans="1:8" ht="16" customHeight="1">
      <c r="B38" s="104" t="s">
        <v>49</v>
      </c>
      <c r="C38" s="116">
        <f>IF(C20+C28=0,"N/A",(C28*12-C20)/12)</f>
        <v>21333.333333333332</v>
      </c>
      <c r="D38" s="111" t="s">
        <v>50</v>
      </c>
      <c r="E38" s="42"/>
      <c r="G38" s="116">
        <f>IF(G20+G28=0,"N/A",(G28*12-G20)/12)</f>
        <v>3568.3333333333335</v>
      </c>
      <c r="H38" s="111" t="s">
        <v>51</v>
      </c>
    </row>
    <row r="39" spans="1:8" ht="16" customHeight="1">
      <c r="B39" s="104" t="s">
        <v>52</v>
      </c>
      <c r="C39" s="116">
        <f>IF(C38="N/A","N/A",C38-C21)</f>
        <v>18983.333333333332</v>
      </c>
      <c r="D39" s="111" t="s">
        <v>53</v>
      </c>
      <c r="E39" s="42"/>
      <c r="G39" s="116">
        <f>IF(G38="N/A","N/A",G38-G21)</f>
        <v>1968.3333333333335</v>
      </c>
      <c r="H39" s="111" t="s">
        <v>51</v>
      </c>
    </row>
    <row r="40" spans="1:8" ht="16" customHeight="1">
      <c r="B40" s="104"/>
      <c r="C40" s="111"/>
      <c r="D40" s="111"/>
      <c r="E40" s="42"/>
      <c r="G40" s="111"/>
      <c r="H40" s="111"/>
    </row>
    <row r="41" spans="1:8" ht="16" customHeight="1">
      <c r="B41" s="117" t="s">
        <v>54</v>
      </c>
      <c r="E41" s="42"/>
    </row>
    <row r="42" spans="1:8" ht="16" customHeight="1">
      <c r="B42" s="104" t="s">
        <v>55</v>
      </c>
      <c r="C42" s="118">
        <v>0</v>
      </c>
      <c r="D42" s="111" t="s">
        <v>56</v>
      </c>
      <c r="E42" s="42"/>
      <c r="G42" s="118">
        <v>0</v>
      </c>
      <c r="H42" s="111" t="s">
        <v>51</v>
      </c>
    </row>
    <row r="43" spans="1:8" ht="16" customHeight="1">
      <c r="B43" s="104" t="s">
        <v>57</v>
      </c>
      <c r="C43" s="119" t="str">
        <f>IF(C42=0,"(enter staffing cost above)",C42-C21)</f>
        <v>(enter staffing cost above)</v>
      </c>
      <c r="D43" s="111" t="s">
        <v>58</v>
      </c>
      <c r="E43" s="42"/>
      <c r="G43" s="119" t="str">
        <f>IF(G42=0,"(enter staffing cost above)",G42-G21)</f>
        <v>(enter staffing cost above)</v>
      </c>
      <c r="H43" s="111" t="s">
        <v>51</v>
      </c>
    </row>
    <row r="44" spans="1:8" ht="16" customHeight="1">
      <c r="B44" s="104"/>
      <c r="C44" s="111"/>
      <c r="D44" s="111"/>
      <c r="G44" s="111"/>
      <c r="H44" s="111"/>
    </row>
    <row r="45" spans="1:8" ht="89" customHeight="1">
      <c r="B45" s="134" t="s">
        <v>59</v>
      </c>
      <c r="C45" s="134"/>
      <c r="D45" s="134"/>
      <c r="E45" s="42"/>
      <c r="F45" s="133"/>
      <c r="G45" s="133"/>
      <c r="H45" s="133"/>
    </row>
    <row r="47" spans="1:8" ht="89" customHeight="1">
      <c r="A47" s="42"/>
      <c r="B47" s="123" t="s">
        <v>60</v>
      </c>
      <c r="C47" s="122"/>
      <c r="D47" s="122"/>
      <c r="E47" s="42"/>
    </row>
  </sheetData>
  <mergeCells count="6">
    <mergeCell ref="B2:D2"/>
    <mergeCell ref="B45:D45"/>
    <mergeCell ref="B5:D5"/>
    <mergeCell ref="B37:D37"/>
    <mergeCell ref="B23:D23"/>
    <mergeCell ref="B47:D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7"/>
  <sheetViews>
    <sheetView zoomScale="120" zoomScaleNormal="120" workbookViewId="0"/>
  </sheetViews>
  <sheetFormatPr baseColWidth="10" defaultColWidth="8.83203125" defaultRowHeight="16" customHeight="1"/>
  <cols>
    <col min="1" max="1" width="5" style="41" customWidth="1"/>
    <col min="2" max="2" width="25.83203125" style="41" customWidth="1"/>
    <col min="3" max="3" width="8.83203125" style="41" customWidth="1"/>
    <col min="4" max="4" width="21.83203125" style="41" customWidth="1"/>
    <col min="5" max="5" width="5" style="41" customWidth="1"/>
    <col min="6" max="6" width="8.83203125" style="41" customWidth="1"/>
    <col min="7" max="16384" width="8.83203125" style="41"/>
  </cols>
  <sheetData>
    <row r="1" spans="1:8">
      <c r="A1" s="42"/>
      <c r="B1" s="42"/>
      <c r="C1" s="42"/>
      <c r="D1" s="42"/>
      <c r="E1" s="42"/>
    </row>
    <row r="2" spans="1:8" ht="23" customHeight="1">
      <c r="A2" s="42"/>
      <c r="B2" s="124" t="s">
        <v>0</v>
      </c>
      <c r="C2" s="122"/>
      <c r="D2" s="122"/>
      <c r="E2" s="42"/>
    </row>
    <row r="3" spans="1:8" ht="16" customHeight="1">
      <c r="A3" s="42"/>
      <c r="B3" s="47"/>
      <c r="C3" s="47"/>
      <c r="D3" s="47"/>
      <c r="E3" s="42"/>
    </row>
    <row r="4" spans="1:8" ht="16" customHeight="1">
      <c r="A4" s="42"/>
      <c r="B4" s="43" t="s">
        <v>1</v>
      </c>
      <c r="C4" s="43" t="s">
        <v>2</v>
      </c>
      <c r="D4" s="43" t="s">
        <v>3</v>
      </c>
      <c r="E4" s="42"/>
    </row>
    <row r="5" spans="1:8" ht="16" customHeight="1">
      <c r="A5" s="42"/>
      <c r="B5" s="121" t="s">
        <v>4</v>
      </c>
      <c r="C5" s="122"/>
      <c r="D5" s="122"/>
      <c r="E5" s="42"/>
      <c r="G5" s="44" t="s">
        <v>5</v>
      </c>
      <c r="H5" s="45"/>
    </row>
    <row r="6" spans="1:8" ht="16" customHeight="1">
      <c r="A6" s="42"/>
      <c r="B6" s="46" t="s">
        <v>6</v>
      </c>
      <c r="C6" s="47"/>
      <c r="D6" s="47"/>
      <c r="E6" s="42"/>
    </row>
    <row r="7" spans="1:8" ht="16" customHeight="1">
      <c r="A7" s="42"/>
      <c r="B7" s="48" t="s">
        <v>7</v>
      </c>
      <c r="C7" s="49">
        <v>2</v>
      </c>
      <c r="D7" s="50" t="s">
        <v>8</v>
      </c>
      <c r="E7" s="42"/>
      <c r="G7" s="49">
        <v>4</v>
      </c>
      <c r="H7" s="50" t="s">
        <v>8</v>
      </c>
    </row>
    <row r="8" spans="1:8" ht="16" customHeight="1">
      <c r="A8" s="42"/>
      <c r="B8" s="48" t="s">
        <v>9</v>
      </c>
      <c r="C8" s="49">
        <v>5</v>
      </c>
      <c r="D8" s="50" t="s">
        <v>10</v>
      </c>
      <c r="E8" s="42"/>
      <c r="G8" s="49">
        <v>2</v>
      </c>
      <c r="H8" s="50" t="s">
        <v>10</v>
      </c>
    </row>
    <row r="9" spans="1:8" ht="16" customHeight="1">
      <c r="A9" s="42"/>
      <c r="B9" s="48" t="s">
        <v>11</v>
      </c>
      <c r="C9" s="49">
        <v>100</v>
      </c>
      <c r="D9" s="50" t="s">
        <v>12</v>
      </c>
      <c r="E9" s="42"/>
      <c r="G9" s="49">
        <v>80</v>
      </c>
      <c r="H9" s="50" t="s">
        <v>12</v>
      </c>
    </row>
    <row r="10" spans="1:8" ht="16" customHeight="1">
      <c r="A10" s="42"/>
      <c r="B10" s="47"/>
      <c r="C10" s="47"/>
      <c r="D10" s="47"/>
      <c r="E10" s="42"/>
      <c r="G10" s="47"/>
      <c r="H10" s="47"/>
    </row>
    <row r="11" spans="1:8" ht="16" customHeight="1">
      <c r="A11" s="42"/>
      <c r="B11" s="46" t="s">
        <v>13</v>
      </c>
      <c r="C11" s="47"/>
      <c r="D11" s="47"/>
      <c r="E11" s="42"/>
      <c r="G11" s="47"/>
      <c r="H11" s="47"/>
    </row>
    <row r="12" spans="1:8" ht="16" customHeight="1">
      <c r="A12" s="42"/>
      <c r="B12" s="48" t="s">
        <v>14</v>
      </c>
      <c r="C12" s="49">
        <v>5</v>
      </c>
      <c r="D12" s="50" t="s">
        <v>15</v>
      </c>
      <c r="E12" s="42"/>
      <c r="G12" s="49">
        <v>1</v>
      </c>
      <c r="H12" s="50" t="s">
        <v>15</v>
      </c>
    </row>
    <row r="13" spans="1:8" ht="16" customHeight="1">
      <c r="A13" s="42"/>
      <c r="B13" s="48" t="s">
        <v>16</v>
      </c>
      <c r="C13" s="49">
        <v>200</v>
      </c>
      <c r="D13" s="50" t="s">
        <v>17</v>
      </c>
      <c r="E13" s="42"/>
      <c r="G13" s="49">
        <v>75</v>
      </c>
      <c r="H13" s="50" t="s">
        <v>17</v>
      </c>
    </row>
    <row r="14" spans="1:8" ht="16" customHeight="1">
      <c r="A14" s="42"/>
      <c r="B14" s="47"/>
      <c r="C14" s="47"/>
      <c r="D14" s="47"/>
      <c r="E14" s="42"/>
      <c r="G14" s="47"/>
      <c r="H14" s="47"/>
    </row>
    <row r="15" spans="1:8" ht="16" customHeight="1">
      <c r="A15" s="42"/>
      <c r="B15" s="46" t="s">
        <v>18</v>
      </c>
      <c r="C15" s="47"/>
      <c r="D15" s="47"/>
      <c r="E15" s="42"/>
      <c r="G15" s="47"/>
      <c r="H15" s="47"/>
    </row>
    <row r="16" spans="1:8" ht="16" customHeight="1">
      <c r="A16" s="42"/>
      <c r="B16" s="48" t="s">
        <v>19</v>
      </c>
      <c r="C16" s="49">
        <v>10</v>
      </c>
      <c r="D16" s="50" t="s">
        <v>20</v>
      </c>
      <c r="E16" s="42"/>
      <c r="G16" s="49">
        <v>1</v>
      </c>
      <c r="H16" s="50" t="s">
        <v>20</v>
      </c>
    </row>
    <row r="17" spans="1:8" ht="16" customHeight="1">
      <c r="A17" s="42"/>
      <c r="B17" s="48" t="s">
        <v>21</v>
      </c>
      <c r="C17" s="49">
        <v>1500</v>
      </c>
      <c r="D17" s="50" t="s">
        <v>22</v>
      </c>
      <c r="E17" s="42"/>
      <c r="G17" s="49">
        <v>1000</v>
      </c>
      <c r="H17" s="50" t="s">
        <v>22</v>
      </c>
    </row>
    <row r="18" spans="1:8" ht="16" customHeight="1">
      <c r="A18" s="42"/>
      <c r="B18" s="47"/>
      <c r="C18" s="47"/>
      <c r="D18" s="47"/>
      <c r="E18" s="42"/>
      <c r="G18" s="47"/>
      <c r="H18" s="47"/>
    </row>
    <row r="19" spans="1:8" ht="16" customHeight="1">
      <c r="A19" s="42"/>
      <c r="B19" s="46" t="s">
        <v>23</v>
      </c>
      <c r="C19" s="47"/>
      <c r="D19" s="47"/>
      <c r="E19" s="42"/>
      <c r="G19" s="47"/>
      <c r="H19" s="47"/>
    </row>
    <row r="20" spans="1:8" ht="16" customHeight="1">
      <c r="A20" s="42"/>
      <c r="B20" s="48" t="s">
        <v>24</v>
      </c>
      <c r="C20" s="49">
        <v>20000</v>
      </c>
      <c r="D20" s="50" t="s">
        <v>25</v>
      </c>
      <c r="E20" s="42"/>
      <c r="G20" s="49">
        <v>3500</v>
      </c>
      <c r="H20" s="50" t="s">
        <v>25</v>
      </c>
    </row>
    <row r="21" spans="1:8" ht="16" customHeight="1">
      <c r="A21" s="42"/>
      <c r="B21" s="48" t="s">
        <v>26</v>
      </c>
      <c r="C21" s="49">
        <v>2350</v>
      </c>
      <c r="D21" s="50" t="s">
        <v>27</v>
      </c>
      <c r="E21" s="42"/>
      <c r="G21" s="49">
        <v>1600</v>
      </c>
      <c r="H21" s="50" t="s">
        <v>28</v>
      </c>
    </row>
    <row r="22" spans="1:8" ht="16" customHeight="1">
      <c r="A22" s="42"/>
      <c r="B22" s="47"/>
      <c r="C22" s="47"/>
      <c r="D22" s="47"/>
      <c r="E22" s="42"/>
    </row>
    <row r="23" spans="1:8" ht="16" customHeight="1">
      <c r="A23" s="42"/>
      <c r="B23" s="121" t="s">
        <v>29</v>
      </c>
      <c r="C23" s="122"/>
      <c r="D23" s="122"/>
      <c r="E23" s="42"/>
      <c r="G23" s="44" t="s">
        <v>30</v>
      </c>
      <c r="H23" s="45"/>
    </row>
    <row r="24" spans="1:8" ht="16" customHeight="1">
      <c r="A24" s="42"/>
      <c r="B24" s="47"/>
      <c r="C24" s="47"/>
      <c r="D24" s="47"/>
      <c r="E24" s="42"/>
    </row>
    <row r="25" spans="1:8" ht="16" customHeight="1">
      <c r="A25" s="42"/>
      <c r="B25" s="50" t="s">
        <v>31</v>
      </c>
      <c r="C25" s="51">
        <f>C7*C8*C9*4</f>
        <v>4000</v>
      </c>
      <c r="D25" s="50" t="s">
        <v>32</v>
      </c>
      <c r="E25" s="42"/>
      <c r="G25" s="51">
        <f>G7*G8*G9*4</f>
        <v>2560</v>
      </c>
      <c r="H25" s="50" t="s">
        <v>32</v>
      </c>
    </row>
    <row r="26" spans="1:8" ht="16" customHeight="1">
      <c r="A26" s="42"/>
      <c r="B26" s="50" t="s">
        <v>33</v>
      </c>
      <c r="C26" s="51">
        <f>C12*C13*4</f>
        <v>4000</v>
      </c>
      <c r="D26" s="50" t="s">
        <v>32</v>
      </c>
      <c r="E26" s="42"/>
      <c r="G26" s="51">
        <f>G12*G13*4</f>
        <v>300</v>
      </c>
      <c r="H26" s="50" t="s">
        <v>32</v>
      </c>
    </row>
    <row r="27" spans="1:8" ht="16" customHeight="1">
      <c r="A27" s="42"/>
      <c r="B27" s="50" t="s">
        <v>34</v>
      </c>
      <c r="C27" s="51">
        <f>C16*C17</f>
        <v>15000</v>
      </c>
      <c r="D27" s="50" t="s">
        <v>32</v>
      </c>
      <c r="E27" s="42"/>
      <c r="G27" s="51">
        <f>G16*G17</f>
        <v>1000</v>
      </c>
      <c r="H27" s="50" t="s">
        <v>32</v>
      </c>
    </row>
    <row r="28" spans="1:8" ht="16" customHeight="1">
      <c r="A28" s="42"/>
      <c r="B28" s="46" t="s">
        <v>35</v>
      </c>
      <c r="C28" s="52">
        <f>SUM(C25:C27)</f>
        <v>23000</v>
      </c>
      <c r="D28" s="46" t="s">
        <v>36</v>
      </c>
      <c r="E28" s="42"/>
      <c r="G28" s="52">
        <f>SUM(G25:G27)</f>
        <v>3860</v>
      </c>
      <c r="H28" s="46" t="s">
        <v>36</v>
      </c>
    </row>
    <row r="29" spans="1:8" ht="16" customHeight="1">
      <c r="A29" s="42"/>
      <c r="B29" s="50" t="s">
        <v>37</v>
      </c>
      <c r="C29" s="53">
        <f>C21</f>
        <v>2350</v>
      </c>
      <c r="D29" s="50" t="s">
        <v>32</v>
      </c>
      <c r="E29" s="42"/>
      <c r="G29" s="53">
        <f>G21</f>
        <v>1600</v>
      </c>
      <c r="H29" s="50" t="s">
        <v>32</v>
      </c>
    </row>
    <row r="30" spans="1:8" ht="16" customHeight="1">
      <c r="A30" s="42"/>
      <c r="B30" s="46" t="s">
        <v>38</v>
      </c>
      <c r="C30" s="54">
        <f>C28-C29</f>
        <v>20650</v>
      </c>
      <c r="D30" s="46" t="s">
        <v>32</v>
      </c>
      <c r="E30" s="42"/>
      <c r="G30" s="54">
        <f>G28-G29</f>
        <v>2260</v>
      </c>
      <c r="H30" s="46" t="s">
        <v>32</v>
      </c>
    </row>
    <row r="31" spans="1:8" ht="16" customHeight="1">
      <c r="A31" s="42"/>
      <c r="B31" s="46" t="s">
        <v>39</v>
      </c>
      <c r="C31" s="55">
        <f>C30*12</f>
        <v>247800</v>
      </c>
      <c r="D31" s="46" t="s">
        <v>32</v>
      </c>
      <c r="E31" s="42"/>
      <c r="G31" s="55">
        <f>G30*12</f>
        <v>27120</v>
      </c>
      <c r="H31" s="46" t="s">
        <v>32</v>
      </c>
    </row>
    <row r="32" spans="1:8" ht="16" customHeight="1">
      <c r="B32" s="104" t="s">
        <v>40</v>
      </c>
      <c r="C32" s="105">
        <f>C20+C21*12</f>
        <v>48200</v>
      </c>
      <c r="D32" s="111" t="s">
        <v>41</v>
      </c>
      <c r="G32" s="105">
        <f>G20+G21*12</f>
        <v>22700</v>
      </c>
      <c r="H32" s="104" t="s">
        <v>32</v>
      </c>
    </row>
    <row r="33" spans="1:8" ht="16" customHeight="1">
      <c r="A33" s="42"/>
      <c r="B33" s="46" t="s">
        <v>42</v>
      </c>
      <c r="C33" s="56">
        <f>IF(C30&lt;=0,"N/A",C20/C30)</f>
        <v>0.96852300242130751</v>
      </c>
      <c r="D33" s="46" t="s">
        <v>43</v>
      </c>
      <c r="E33" s="42"/>
      <c r="G33" s="56">
        <f>IF(G30&lt;=0,"N/A",G20/G30)</f>
        <v>1.5486725663716814</v>
      </c>
      <c r="H33" s="46" t="s">
        <v>43</v>
      </c>
    </row>
    <row r="34" spans="1:8" ht="16" customHeight="1">
      <c r="A34" s="42"/>
      <c r="B34" s="104" t="s">
        <v>44</v>
      </c>
      <c r="C34" s="106">
        <f>IF(C32=0,"N/A",(C31-C20)/C32)</f>
        <v>4.7261410788381744</v>
      </c>
      <c r="D34" s="111" t="s">
        <v>45</v>
      </c>
      <c r="E34" s="42"/>
      <c r="G34" s="106">
        <f>IF(G32=0,"N/A",(G31-G20)/G32)</f>
        <v>1.0405286343612334</v>
      </c>
      <c r="H34" s="104" t="s">
        <v>46</v>
      </c>
    </row>
    <row r="35" spans="1:8" ht="16" customHeight="1">
      <c r="A35" s="42"/>
      <c r="B35" s="104" t="s">
        <v>47</v>
      </c>
      <c r="C35" s="107">
        <f>IF(C21=0,"N/A",C30*12/(C21*12))</f>
        <v>8.787234042553191</v>
      </c>
      <c r="E35" s="42"/>
      <c r="G35" s="108">
        <f>IF(G21=0,"N/A",G30*12/(G21*12))</f>
        <v>1.4125000000000001</v>
      </c>
      <c r="H35" s="104" t="s">
        <v>46</v>
      </c>
    </row>
    <row r="36" spans="1:8" ht="16" customHeight="1">
      <c r="A36" s="42"/>
      <c r="B36" s="47"/>
      <c r="C36" s="47"/>
      <c r="D36" s="47"/>
      <c r="E36" s="42"/>
    </row>
    <row r="37" spans="1:8" ht="89" customHeight="1">
      <c r="A37" s="42"/>
      <c r="B37" s="129" t="s">
        <v>60</v>
      </c>
      <c r="C37" s="122"/>
      <c r="D37" s="122"/>
      <c r="E37" s="42"/>
    </row>
  </sheetData>
  <mergeCells count="4">
    <mergeCell ref="B2:D2"/>
    <mergeCell ref="B23:D23"/>
    <mergeCell ref="B37:D37"/>
    <mergeCell ref="B5:D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
  <sheetViews>
    <sheetView zoomScale="120" zoomScaleNormal="120" workbookViewId="0"/>
  </sheetViews>
  <sheetFormatPr baseColWidth="10" defaultColWidth="8.83203125" defaultRowHeight="16" customHeight="1"/>
  <cols>
    <col min="1" max="1" width="5" style="41" customWidth="1"/>
    <col min="2" max="2" width="25.83203125" style="41" customWidth="1"/>
    <col min="3" max="3" width="8.83203125" style="41" customWidth="1"/>
    <col min="4" max="4" width="21.83203125" style="41" customWidth="1"/>
    <col min="5" max="5" width="5" style="41" customWidth="1"/>
    <col min="6" max="6" width="8.83203125" style="41" customWidth="1"/>
    <col min="7" max="16384" width="8.83203125" style="41"/>
  </cols>
  <sheetData>
    <row r="1" spans="1:8" ht="16" customHeight="1">
      <c r="A1" s="42"/>
      <c r="B1" s="42"/>
      <c r="C1" s="42"/>
      <c r="D1" s="42"/>
      <c r="E1" s="42"/>
    </row>
    <row r="2" spans="1:8" ht="23" customHeight="1">
      <c r="A2" s="42"/>
      <c r="B2" s="124" t="s">
        <v>0</v>
      </c>
      <c r="C2" s="122"/>
      <c r="D2" s="122"/>
      <c r="E2" s="42"/>
    </row>
    <row r="3" spans="1:8" ht="16" customHeight="1">
      <c r="A3" s="42"/>
      <c r="B3" s="47"/>
      <c r="C3" s="47"/>
      <c r="D3" s="47"/>
      <c r="E3" s="42"/>
    </row>
    <row r="4" spans="1:8" ht="16" customHeight="1">
      <c r="A4" s="42"/>
      <c r="B4" s="43" t="s">
        <v>1</v>
      </c>
      <c r="C4" s="43" t="s">
        <v>2</v>
      </c>
      <c r="D4" s="43" t="s">
        <v>3</v>
      </c>
      <c r="E4" s="42"/>
    </row>
    <row r="5" spans="1:8" ht="16" customHeight="1">
      <c r="A5" s="42"/>
      <c r="B5" s="121" t="s">
        <v>4</v>
      </c>
      <c r="C5" s="122"/>
      <c r="D5" s="122"/>
      <c r="E5" s="42"/>
      <c r="G5" s="44" t="s">
        <v>5</v>
      </c>
      <c r="H5" s="45"/>
    </row>
    <row r="6" spans="1:8" ht="16" customHeight="1">
      <c r="A6" s="42"/>
      <c r="B6" s="46" t="s">
        <v>6</v>
      </c>
      <c r="C6" s="47"/>
      <c r="D6" s="47"/>
      <c r="E6" s="42"/>
    </row>
    <row r="7" spans="1:8" ht="16" customHeight="1">
      <c r="A7" s="42"/>
      <c r="B7" s="48" t="s">
        <v>7</v>
      </c>
      <c r="C7" s="49">
        <v>2</v>
      </c>
      <c r="D7" s="50" t="s">
        <v>8</v>
      </c>
      <c r="E7" s="42"/>
      <c r="G7" s="49">
        <v>4</v>
      </c>
      <c r="H7" s="50" t="s">
        <v>8</v>
      </c>
    </row>
    <row r="8" spans="1:8" ht="16" customHeight="1">
      <c r="A8" s="42"/>
      <c r="B8" s="48" t="s">
        <v>9</v>
      </c>
      <c r="C8" s="49">
        <v>5</v>
      </c>
      <c r="D8" s="50" t="s">
        <v>10</v>
      </c>
      <c r="E8" s="42"/>
      <c r="G8" s="49">
        <v>2</v>
      </c>
      <c r="H8" s="50" t="s">
        <v>10</v>
      </c>
    </row>
    <row r="9" spans="1:8" ht="16" customHeight="1">
      <c r="A9" s="42"/>
      <c r="B9" s="48" t="s">
        <v>11</v>
      </c>
      <c r="C9" s="49">
        <v>100</v>
      </c>
      <c r="D9" s="50" t="s">
        <v>12</v>
      </c>
      <c r="E9" s="42"/>
      <c r="G9" s="49">
        <v>80</v>
      </c>
      <c r="H9" s="50" t="s">
        <v>12</v>
      </c>
    </row>
    <row r="10" spans="1:8" ht="16" customHeight="1">
      <c r="A10" s="42"/>
      <c r="B10" s="47"/>
      <c r="C10" s="47"/>
      <c r="D10" s="47"/>
      <c r="E10" s="42"/>
      <c r="G10" s="47"/>
      <c r="H10" s="47"/>
    </row>
    <row r="11" spans="1:8" ht="16" customHeight="1">
      <c r="A11" s="42"/>
      <c r="B11" s="46" t="s">
        <v>13</v>
      </c>
      <c r="C11" s="47"/>
      <c r="D11" s="47"/>
      <c r="E11" s="42"/>
      <c r="G11" s="47"/>
      <c r="H11" s="47"/>
    </row>
    <row r="12" spans="1:8" ht="16" customHeight="1">
      <c r="A12" s="42"/>
      <c r="B12" s="48" t="s">
        <v>14</v>
      </c>
      <c r="C12" s="49">
        <v>5</v>
      </c>
      <c r="D12" s="50" t="s">
        <v>15</v>
      </c>
      <c r="E12" s="42"/>
      <c r="G12" s="49">
        <v>1</v>
      </c>
      <c r="H12" s="50" t="s">
        <v>15</v>
      </c>
    </row>
    <row r="13" spans="1:8" ht="16" customHeight="1">
      <c r="A13" s="42"/>
      <c r="B13" s="48" t="s">
        <v>16</v>
      </c>
      <c r="C13" s="49">
        <v>200</v>
      </c>
      <c r="D13" s="50" t="s">
        <v>17</v>
      </c>
      <c r="E13" s="42"/>
      <c r="G13" s="49">
        <v>75</v>
      </c>
      <c r="H13" s="50" t="s">
        <v>17</v>
      </c>
    </row>
    <row r="14" spans="1:8" ht="16" customHeight="1">
      <c r="A14" s="42"/>
      <c r="B14" s="47"/>
      <c r="C14" s="47"/>
      <c r="D14" s="47"/>
      <c r="E14" s="42"/>
      <c r="G14" s="47"/>
      <c r="H14" s="47"/>
    </row>
    <row r="15" spans="1:8" ht="16" customHeight="1">
      <c r="A15" s="42"/>
      <c r="B15" s="46" t="s">
        <v>18</v>
      </c>
      <c r="C15" s="47"/>
      <c r="D15" s="47"/>
      <c r="E15" s="42"/>
      <c r="G15" s="47"/>
      <c r="H15" s="47"/>
    </row>
    <row r="16" spans="1:8" ht="16" customHeight="1">
      <c r="A16" s="42"/>
      <c r="B16" s="48" t="s">
        <v>19</v>
      </c>
      <c r="C16" s="49">
        <v>10</v>
      </c>
      <c r="D16" s="50" t="s">
        <v>20</v>
      </c>
      <c r="E16" s="42"/>
      <c r="G16" s="49">
        <v>1</v>
      </c>
      <c r="H16" s="50" t="s">
        <v>20</v>
      </c>
    </row>
    <row r="17" spans="1:8" ht="16" customHeight="1">
      <c r="A17" s="42"/>
      <c r="B17" s="48" t="s">
        <v>21</v>
      </c>
      <c r="C17" s="49">
        <v>1500</v>
      </c>
      <c r="D17" s="50" t="s">
        <v>22</v>
      </c>
      <c r="E17" s="42"/>
      <c r="G17" s="49">
        <v>1000</v>
      </c>
      <c r="H17" s="50" t="s">
        <v>22</v>
      </c>
    </row>
    <row r="18" spans="1:8" ht="16" customHeight="1">
      <c r="A18" s="42"/>
      <c r="B18" s="47"/>
      <c r="C18" s="47"/>
      <c r="D18" s="47"/>
      <c r="E18" s="42"/>
      <c r="G18" s="47"/>
      <c r="H18" s="47"/>
    </row>
    <row r="19" spans="1:8" ht="16" customHeight="1">
      <c r="A19" s="42"/>
      <c r="B19" s="46" t="s">
        <v>23</v>
      </c>
      <c r="C19" s="47"/>
      <c r="D19" s="47"/>
      <c r="E19" s="42"/>
      <c r="G19" s="47"/>
      <c r="H19" s="47"/>
    </row>
    <row r="20" spans="1:8" ht="16" customHeight="1">
      <c r="A20" s="42"/>
      <c r="B20" s="48" t="s">
        <v>24</v>
      </c>
      <c r="C20" s="49">
        <v>20000</v>
      </c>
      <c r="D20" s="50" t="s">
        <v>25</v>
      </c>
      <c r="E20" s="42"/>
      <c r="G20" s="49">
        <v>3500</v>
      </c>
      <c r="H20" s="50" t="s">
        <v>25</v>
      </c>
    </row>
    <row r="21" spans="1:8" ht="16" customHeight="1">
      <c r="A21" s="42"/>
      <c r="B21" s="48" t="s">
        <v>26</v>
      </c>
      <c r="C21" s="49">
        <v>2350</v>
      </c>
      <c r="D21" s="50" t="s">
        <v>27</v>
      </c>
      <c r="E21" s="42"/>
      <c r="G21" s="49">
        <v>1600</v>
      </c>
      <c r="H21" s="50" t="s">
        <v>28</v>
      </c>
    </row>
    <row r="22" spans="1:8" ht="16" customHeight="1">
      <c r="A22" s="42"/>
      <c r="B22" s="47"/>
      <c r="C22" s="47"/>
      <c r="D22" s="47"/>
      <c r="E22" s="42"/>
    </row>
    <row r="23" spans="1:8" ht="16" customHeight="1">
      <c r="A23" s="42"/>
      <c r="B23" s="121" t="s">
        <v>29</v>
      </c>
      <c r="C23" s="122"/>
      <c r="D23" s="122"/>
      <c r="E23" s="42"/>
      <c r="G23" s="44" t="s">
        <v>30</v>
      </c>
      <c r="H23" s="45"/>
    </row>
    <row r="24" spans="1:8" ht="16" customHeight="1">
      <c r="A24" s="42"/>
      <c r="B24" s="47"/>
      <c r="C24" s="47"/>
      <c r="D24" s="47"/>
      <c r="E24" s="42"/>
    </row>
    <row r="25" spans="1:8" ht="16" customHeight="1">
      <c r="A25" s="42"/>
      <c r="B25" s="50" t="s">
        <v>31</v>
      </c>
      <c r="C25" s="51">
        <f>C7*C8*C9*4</f>
        <v>4000</v>
      </c>
      <c r="D25" s="50" t="s">
        <v>32</v>
      </c>
      <c r="E25" s="42"/>
      <c r="G25" s="51">
        <f>G7*G8*G9*4</f>
        <v>2560</v>
      </c>
      <c r="H25" s="50" t="s">
        <v>32</v>
      </c>
    </row>
    <row r="26" spans="1:8" ht="16" customHeight="1">
      <c r="A26" s="42"/>
      <c r="B26" s="50" t="s">
        <v>33</v>
      </c>
      <c r="C26" s="51">
        <f>C12*C13*4</f>
        <v>4000</v>
      </c>
      <c r="D26" s="50" t="s">
        <v>32</v>
      </c>
      <c r="E26" s="42"/>
      <c r="G26" s="51">
        <f>G12*G13*4</f>
        <v>300</v>
      </c>
      <c r="H26" s="50" t="s">
        <v>32</v>
      </c>
    </row>
    <row r="27" spans="1:8" ht="16" customHeight="1">
      <c r="A27" s="42"/>
      <c r="B27" s="50" t="s">
        <v>34</v>
      </c>
      <c r="C27" s="51">
        <f>C16*C17</f>
        <v>15000</v>
      </c>
      <c r="D27" s="50" t="s">
        <v>32</v>
      </c>
      <c r="E27" s="42"/>
      <c r="G27" s="51">
        <f>G16*G17</f>
        <v>1000</v>
      </c>
      <c r="H27" s="50" t="s">
        <v>32</v>
      </c>
    </row>
    <row r="28" spans="1:8" ht="16" customHeight="1">
      <c r="A28" s="42"/>
      <c r="B28" s="46" t="s">
        <v>35</v>
      </c>
      <c r="C28" s="52">
        <f>SUM(C25:C27)</f>
        <v>23000</v>
      </c>
      <c r="D28" s="46" t="s">
        <v>36</v>
      </c>
      <c r="E28" s="42"/>
      <c r="G28" s="52">
        <f>SUM(G25:G27)</f>
        <v>3860</v>
      </c>
      <c r="H28" s="46" t="s">
        <v>36</v>
      </c>
    </row>
    <row r="29" spans="1:8" ht="16" customHeight="1">
      <c r="A29" s="42"/>
      <c r="B29" s="50" t="s">
        <v>37</v>
      </c>
      <c r="C29" s="53">
        <f>C21</f>
        <v>2350</v>
      </c>
      <c r="D29" s="50" t="s">
        <v>32</v>
      </c>
      <c r="E29" s="42"/>
      <c r="G29" s="53">
        <f>G21</f>
        <v>1600</v>
      </c>
      <c r="H29" s="50" t="s">
        <v>32</v>
      </c>
    </row>
    <row r="30" spans="1:8" ht="16" customHeight="1">
      <c r="A30" s="42"/>
      <c r="B30" s="46" t="s">
        <v>38</v>
      </c>
      <c r="C30" s="54">
        <f>C28-C29</f>
        <v>20650</v>
      </c>
      <c r="D30" s="46" t="s">
        <v>32</v>
      </c>
      <c r="E30" s="42"/>
      <c r="G30" s="54">
        <f>G28-G29</f>
        <v>2260</v>
      </c>
      <c r="H30" s="46" t="s">
        <v>32</v>
      </c>
    </row>
    <row r="31" spans="1:8" ht="16" customHeight="1">
      <c r="A31" s="42"/>
      <c r="B31" s="46" t="s">
        <v>39</v>
      </c>
      <c r="C31" s="55">
        <f>C30*12</f>
        <v>247800</v>
      </c>
      <c r="D31" s="46" t="s">
        <v>32</v>
      </c>
      <c r="E31" s="42"/>
      <c r="G31" s="55">
        <f>G30*12</f>
        <v>27120</v>
      </c>
      <c r="H31" s="46" t="s">
        <v>32</v>
      </c>
    </row>
    <row r="32" spans="1:8" ht="16" customHeight="1">
      <c r="A32" s="42"/>
      <c r="B32" s="46" t="s">
        <v>42</v>
      </c>
      <c r="C32" s="56">
        <f>IF(C30&lt;=0,"N/A",C20/C30)</f>
        <v>0.96852300242130751</v>
      </c>
      <c r="D32" s="46" t="s">
        <v>43</v>
      </c>
      <c r="E32" s="42"/>
      <c r="G32" s="56">
        <f>IF(G30&lt;=0,"N/A",G20/G30)</f>
        <v>1.5486725663716814</v>
      </c>
      <c r="H32" s="46" t="s">
        <v>43</v>
      </c>
    </row>
    <row r="33" spans="1:8" ht="16" customHeight="1">
      <c r="A33" s="42"/>
      <c r="B33" s="46" t="s">
        <v>44</v>
      </c>
      <c r="C33" s="57">
        <f>IF(C20=0,"N/A",(C30*12-C20)/C20)</f>
        <v>11.39</v>
      </c>
      <c r="D33" s="46" t="s">
        <v>431</v>
      </c>
      <c r="E33" s="42"/>
      <c r="G33" s="57">
        <f>IF(G20=0,"N/A",(G30*12-G20)/G20)</f>
        <v>6.7485714285714282</v>
      </c>
      <c r="H33" s="46" t="s">
        <v>431</v>
      </c>
    </row>
    <row r="34" spans="1:8" ht="16" customHeight="1">
      <c r="A34" s="42"/>
      <c r="B34" s="47"/>
      <c r="C34" s="47"/>
      <c r="D34" s="47"/>
      <c r="E34" s="42"/>
    </row>
    <row r="35" spans="1:8" ht="89" customHeight="1">
      <c r="A35" s="42"/>
      <c r="B35" s="130" t="s">
        <v>432</v>
      </c>
      <c r="C35" s="122"/>
      <c r="D35" s="122"/>
      <c r="E35" s="42"/>
    </row>
  </sheetData>
  <mergeCells count="4">
    <mergeCell ref="B23:D23"/>
    <mergeCell ref="B2:D2"/>
    <mergeCell ref="B5:D5"/>
    <mergeCell ref="B35:D35"/>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
  <sheetViews>
    <sheetView zoomScale="120" zoomScaleNormal="120" workbookViewId="0">
      <selection activeCell="A3" sqref="A3"/>
    </sheetView>
  </sheetViews>
  <sheetFormatPr baseColWidth="10" defaultColWidth="8.83203125" defaultRowHeight="15"/>
  <cols>
    <col min="1" max="2" width="21.83203125" customWidth="1"/>
    <col min="7" max="10" width="21.83203125" customWidth="1"/>
  </cols>
  <sheetData>
    <row r="1" spans="1:10" ht="60.75" customHeight="1">
      <c r="A1" s="128" t="s">
        <v>433</v>
      </c>
      <c r="B1" s="126"/>
      <c r="C1" s="126"/>
      <c r="D1" s="126"/>
      <c r="E1" s="126"/>
      <c r="F1" s="126"/>
      <c r="G1" s="126"/>
      <c r="H1" s="126"/>
      <c r="I1" s="126"/>
      <c r="J1" s="126"/>
    </row>
    <row r="2" spans="1:10" ht="15" customHeight="1"/>
    <row r="3" spans="1:10" ht="27.75" customHeight="1">
      <c r="A3" s="5" t="s">
        <v>145</v>
      </c>
      <c r="B3" s="5" t="s">
        <v>86</v>
      </c>
      <c r="C3" s="5" t="s">
        <v>87</v>
      </c>
      <c r="D3" s="5" t="s">
        <v>88</v>
      </c>
      <c r="E3" s="5" t="s">
        <v>89</v>
      </c>
      <c r="F3" s="5" t="s">
        <v>90</v>
      </c>
      <c r="G3" s="5" t="s">
        <v>434</v>
      </c>
      <c r="H3" s="5" t="s">
        <v>93</v>
      </c>
      <c r="I3" s="5" t="s">
        <v>144</v>
      </c>
      <c r="J3" s="5" t="s">
        <v>435</v>
      </c>
    </row>
    <row r="4" spans="1:10" ht="21" customHeight="1">
      <c r="A4" t="s">
        <v>436</v>
      </c>
      <c r="B4" t="s">
        <v>104</v>
      </c>
      <c r="C4">
        <v>1500</v>
      </c>
      <c r="D4">
        <v>3000</v>
      </c>
      <c r="E4">
        <v>250</v>
      </c>
      <c r="F4">
        <v>600</v>
      </c>
      <c r="G4" t="s">
        <v>437</v>
      </c>
      <c r="H4" t="s">
        <v>438</v>
      </c>
      <c r="I4" t="s">
        <v>439</v>
      </c>
      <c r="J4" t="s">
        <v>109</v>
      </c>
    </row>
    <row r="5" spans="1:10" ht="21" customHeight="1">
      <c r="A5" t="s">
        <v>440</v>
      </c>
      <c r="B5" t="s">
        <v>97</v>
      </c>
      <c r="C5">
        <v>1200</v>
      </c>
      <c r="D5">
        <v>2500</v>
      </c>
      <c r="E5">
        <v>250</v>
      </c>
      <c r="F5">
        <v>500</v>
      </c>
      <c r="G5" t="s">
        <v>441</v>
      </c>
      <c r="H5" t="s">
        <v>438</v>
      </c>
      <c r="I5" t="s">
        <v>442</v>
      </c>
      <c r="J5" t="s">
        <v>102</v>
      </c>
    </row>
    <row r="6" spans="1:10" ht="21" customHeight="1">
      <c r="A6" t="s">
        <v>443</v>
      </c>
      <c r="B6" t="s">
        <v>111</v>
      </c>
      <c r="C6">
        <v>3500</v>
      </c>
      <c r="D6">
        <v>7500</v>
      </c>
      <c r="E6">
        <v>750</v>
      </c>
      <c r="F6">
        <v>1500</v>
      </c>
      <c r="G6" t="s">
        <v>444</v>
      </c>
      <c r="H6" t="s">
        <v>445</v>
      </c>
      <c r="I6" t="s">
        <v>446</v>
      </c>
      <c r="J6" t="s">
        <v>116</v>
      </c>
    </row>
    <row r="7" spans="1:10" ht="21" customHeight="1">
      <c r="A7" t="s">
        <v>447</v>
      </c>
      <c r="B7" t="s">
        <v>118</v>
      </c>
      <c r="C7">
        <v>7500</v>
      </c>
      <c r="D7">
        <v>15000</v>
      </c>
      <c r="E7">
        <v>1500</v>
      </c>
      <c r="F7">
        <v>3500</v>
      </c>
      <c r="G7" t="s">
        <v>448</v>
      </c>
      <c r="H7" t="s">
        <v>445</v>
      </c>
      <c r="I7" t="s">
        <v>449</v>
      </c>
      <c r="J7" t="s">
        <v>123</v>
      </c>
    </row>
    <row r="8" spans="1:10" ht="21" customHeight="1">
      <c r="A8" t="s">
        <v>450</v>
      </c>
      <c r="B8" t="s">
        <v>125</v>
      </c>
      <c r="C8">
        <v>12000</v>
      </c>
      <c r="D8">
        <v>30000</v>
      </c>
      <c r="E8">
        <v>2500</v>
      </c>
      <c r="F8">
        <v>6000</v>
      </c>
      <c r="G8" t="s">
        <v>451</v>
      </c>
      <c r="H8" t="s">
        <v>452</v>
      </c>
      <c r="I8" t="s">
        <v>129</v>
      </c>
      <c r="J8" t="s">
        <v>130</v>
      </c>
    </row>
    <row r="9" spans="1:10" ht="21" customHeight="1">
      <c r="A9" t="s">
        <v>453</v>
      </c>
      <c r="B9" t="s">
        <v>132</v>
      </c>
      <c r="C9">
        <v>4500</v>
      </c>
      <c r="D9">
        <v>15000</v>
      </c>
      <c r="E9">
        <v>0</v>
      </c>
      <c r="F9">
        <v>1000</v>
      </c>
      <c r="G9" t="s">
        <v>454</v>
      </c>
      <c r="H9" t="s">
        <v>455</v>
      </c>
      <c r="I9" t="s">
        <v>456</v>
      </c>
      <c r="J9" t="s">
        <v>137</v>
      </c>
    </row>
    <row r="10" spans="1:10">
      <c r="A10" t="s">
        <v>457</v>
      </c>
      <c r="B10" t="s">
        <v>104</v>
      </c>
      <c r="C10">
        <v>1300</v>
      </c>
      <c r="D10">
        <v>2700</v>
      </c>
      <c r="E10">
        <v>200</v>
      </c>
      <c r="F10">
        <v>500</v>
      </c>
      <c r="G10" t="s">
        <v>458</v>
      </c>
      <c r="H10" t="s">
        <v>438</v>
      </c>
      <c r="I10" t="s">
        <v>459</v>
      </c>
      <c r="J10" t="s">
        <v>109</v>
      </c>
    </row>
    <row r="11" spans="1:10">
      <c r="A11" t="s">
        <v>460</v>
      </c>
      <c r="B11" t="s">
        <v>104</v>
      </c>
      <c r="C11">
        <v>2000</v>
      </c>
      <c r="D11">
        <v>4500</v>
      </c>
      <c r="E11">
        <v>400</v>
      </c>
      <c r="F11">
        <v>900</v>
      </c>
      <c r="G11" t="s">
        <v>461</v>
      </c>
      <c r="H11" t="s">
        <v>438</v>
      </c>
      <c r="I11" t="s">
        <v>462</v>
      </c>
      <c r="J11" t="s">
        <v>109</v>
      </c>
    </row>
  </sheetData>
  <mergeCells count="1">
    <mergeCell ref="A1:J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
  <sheetViews>
    <sheetView zoomScale="120" zoomScaleNormal="120" workbookViewId="0">
      <selection activeCell="A3" sqref="A3"/>
    </sheetView>
  </sheetViews>
  <sheetFormatPr baseColWidth="10" defaultColWidth="8.83203125" defaultRowHeight="15"/>
  <cols>
    <col min="1" max="5" width="21.83203125" customWidth="1"/>
    <col min="7" max="9" width="21.83203125" customWidth="1"/>
  </cols>
  <sheetData>
    <row r="1" spans="1:12" ht="60.75" customHeight="1">
      <c r="A1" s="128" t="s">
        <v>463</v>
      </c>
      <c r="B1" s="126"/>
      <c r="C1" s="126"/>
      <c r="D1" s="126"/>
      <c r="E1" s="126"/>
      <c r="F1" s="126"/>
      <c r="G1" s="126"/>
      <c r="H1" s="126"/>
      <c r="I1" s="126"/>
    </row>
    <row r="2" spans="1:12" ht="15" customHeight="1"/>
    <row r="3" spans="1:12" ht="27.75" customHeight="1">
      <c r="A3" s="5" t="s">
        <v>464</v>
      </c>
      <c r="B3" s="5" t="s">
        <v>231</v>
      </c>
      <c r="C3" s="5" t="s">
        <v>465</v>
      </c>
      <c r="D3" s="5" t="s">
        <v>466</v>
      </c>
      <c r="E3" s="5" t="s">
        <v>467</v>
      </c>
      <c r="F3" s="5" t="s">
        <v>468</v>
      </c>
      <c r="G3" s="5" t="s">
        <v>230</v>
      </c>
      <c r="H3" s="5" t="s">
        <v>469</v>
      </c>
      <c r="I3" s="5" t="s">
        <v>94</v>
      </c>
      <c r="J3" t="s">
        <v>470</v>
      </c>
      <c r="K3" t="s">
        <v>471</v>
      </c>
      <c r="L3" t="s">
        <v>472</v>
      </c>
    </row>
    <row r="4" spans="1:12" ht="27.75" customHeight="1">
      <c r="A4" t="s">
        <v>200</v>
      </c>
      <c r="B4" t="s">
        <v>473</v>
      </c>
      <c r="C4" t="s">
        <v>474</v>
      </c>
      <c r="D4" t="s">
        <v>475</v>
      </c>
      <c r="E4" t="s">
        <v>476</v>
      </c>
      <c r="F4" t="s">
        <v>477</v>
      </c>
      <c r="G4" t="s">
        <v>253</v>
      </c>
      <c r="H4" t="s">
        <v>478</v>
      </c>
      <c r="I4" t="s">
        <v>479</v>
      </c>
      <c r="J4">
        <v>1</v>
      </c>
      <c r="K4" t="s">
        <v>480</v>
      </c>
      <c r="L4" t="s">
        <v>481</v>
      </c>
    </row>
    <row r="5" spans="1:12" ht="21" customHeight="1">
      <c r="A5" t="s">
        <v>482</v>
      </c>
      <c r="B5" t="s">
        <v>483</v>
      </c>
      <c r="C5" t="s">
        <v>484</v>
      </c>
      <c r="D5" t="s">
        <v>485</v>
      </c>
      <c r="E5" t="s">
        <v>476</v>
      </c>
      <c r="F5" t="s">
        <v>477</v>
      </c>
      <c r="G5" t="s">
        <v>486</v>
      </c>
      <c r="H5" t="s">
        <v>487</v>
      </c>
      <c r="I5" t="s">
        <v>488</v>
      </c>
      <c r="J5">
        <v>1.1000000000000001</v>
      </c>
      <c r="K5" t="s">
        <v>489</v>
      </c>
      <c r="L5" t="s">
        <v>490</v>
      </c>
    </row>
    <row r="6" spans="1:12" ht="21" customHeight="1">
      <c r="A6" t="s">
        <v>491</v>
      </c>
      <c r="B6" t="s">
        <v>492</v>
      </c>
      <c r="C6" t="s">
        <v>493</v>
      </c>
      <c r="D6" t="s">
        <v>494</v>
      </c>
      <c r="E6" t="s">
        <v>495</v>
      </c>
      <c r="F6" t="s">
        <v>496</v>
      </c>
      <c r="G6" t="s">
        <v>497</v>
      </c>
      <c r="H6" t="s">
        <v>498</v>
      </c>
      <c r="I6" t="s">
        <v>499</v>
      </c>
      <c r="J6">
        <v>1.2</v>
      </c>
      <c r="K6" t="s">
        <v>500</v>
      </c>
      <c r="L6" t="s">
        <v>501</v>
      </c>
    </row>
    <row r="7" spans="1:12" ht="21" customHeight="1">
      <c r="A7" t="s">
        <v>502</v>
      </c>
      <c r="B7" t="s">
        <v>503</v>
      </c>
      <c r="C7" t="s">
        <v>504</v>
      </c>
      <c r="D7" t="s">
        <v>505</v>
      </c>
      <c r="E7" t="s">
        <v>506</v>
      </c>
      <c r="F7" t="s">
        <v>496</v>
      </c>
      <c r="G7" t="s">
        <v>507</v>
      </c>
      <c r="H7" t="s">
        <v>508</v>
      </c>
      <c r="I7" t="s">
        <v>509</v>
      </c>
      <c r="J7">
        <v>1.5</v>
      </c>
      <c r="K7" t="s">
        <v>510</v>
      </c>
      <c r="L7" t="s">
        <v>511</v>
      </c>
    </row>
    <row r="8" spans="1:12" ht="21" customHeight="1">
      <c r="A8" t="s">
        <v>225</v>
      </c>
      <c r="B8" t="s">
        <v>512</v>
      </c>
      <c r="C8" t="s">
        <v>513</v>
      </c>
      <c r="D8" t="s">
        <v>514</v>
      </c>
      <c r="E8" t="s">
        <v>515</v>
      </c>
      <c r="F8" t="s">
        <v>516</v>
      </c>
      <c r="G8" t="s">
        <v>517</v>
      </c>
      <c r="H8" t="s">
        <v>518</v>
      </c>
      <c r="I8" t="s">
        <v>519</v>
      </c>
      <c r="J8">
        <v>2</v>
      </c>
      <c r="K8" t="s">
        <v>520</v>
      </c>
      <c r="L8" t="s">
        <v>521</v>
      </c>
    </row>
    <row r="9" spans="1:12" ht="21" customHeight="1"/>
  </sheetData>
  <mergeCells count="1">
    <mergeCell ref="A1:I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9"/>
  <sheetViews>
    <sheetView zoomScale="120" zoomScaleNormal="120" workbookViewId="0">
      <selection activeCell="A3" sqref="A3"/>
    </sheetView>
  </sheetViews>
  <sheetFormatPr baseColWidth="10" defaultColWidth="8.83203125" defaultRowHeight="15"/>
  <cols>
    <col min="1" max="6" width="21.83203125" customWidth="1"/>
  </cols>
  <sheetData>
    <row r="1" spans="1:6" ht="46.5" customHeight="1">
      <c r="A1" s="125" t="s">
        <v>522</v>
      </c>
      <c r="B1" s="126"/>
      <c r="C1" s="126"/>
      <c r="D1" s="126"/>
      <c r="E1" s="126"/>
      <c r="F1" s="126"/>
    </row>
    <row r="3" spans="1:6" ht="21" customHeight="1">
      <c r="A3" s="58" t="s">
        <v>523</v>
      </c>
      <c r="B3" t="s">
        <v>524</v>
      </c>
    </row>
    <row r="4" spans="1:6" ht="21" customHeight="1">
      <c r="A4" s="58" t="s">
        <v>525</v>
      </c>
      <c r="B4" t="s">
        <v>526</v>
      </c>
    </row>
    <row r="5" spans="1:6" ht="21" customHeight="1">
      <c r="A5" s="58" t="s">
        <v>527</v>
      </c>
      <c r="B5" t="s">
        <v>528</v>
      </c>
    </row>
    <row r="6" spans="1:6" ht="21" customHeight="1">
      <c r="A6" s="58" t="s">
        <v>529</v>
      </c>
      <c r="B6" t="s">
        <v>530</v>
      </c>
    </row>
    <row r="7" spans="1:6" ht="21" customHeight="1">
      <c r="A7" s="58" t="s">
        <v>531</v>
      </c>
      <c r="B7" t="s">
        <v>532</v>
      </c>
    </row>
    <row r="8" spans="1:6" ht="21" customHeight="1">
      <c r="A8" s="58" t="s">
        <v>533</v>
      </c>
      <c r="B8" t="s">
        <v>534</v>
      </c>
    </row>
    <row r="9" spans="1:6" ht="21" customHeight="1">
      <c r="A9" s="58" t="s">
        <v>535</v>
      </c>
      <c r="B9" t="s">
        <v>536</v>
      </c>
    </row>
    <row r="10" spans="1:6" ht="21" customHeight="1">
      <c r="A10" s="58" t="s">
        <v>93</v>
      </c>
      <c r="B10" t="s">
        <v>537</v>
      </c>
    </row>
    <row r="11" spans="1:6" ht="21" customHeight="1">
      <c r="A11" s="58" t="s">
        <v>538</v>
      </c>
      <c r="B11" t="s">
        <v>539</v>
      </c>
    </row>
    <row r="12" spans="1:6" ht="21" customHeight="1">
      <c r="A12" s="58" t="s">
        <v>540</v>
      </c>
      <c r="B12" t="s">
        <v>541</v>
      </c>
    </row>
    <row r="13" spans="1:6" ht="21" customHeight="1">
      <c r="A13" s="58" t="s">
        <v>542</v>
      </c>
      <c r="B13" t="s">
        <v>543</v>
      </c>
    </row>
    <row r="14" spans="1:6" ht="21" customHeight="1">
      <c r="A14" s="58" t="s">
        <v>144</v>
      </c>
      <c r="B14" t="s">
        <v>544</v>
      </c>
    </row>
    <row r="15" spans="1:6" ht="21" customHeight="1">
      <c r="A15" s="58"/>
    </row>
    <row r="16" spans="1:6" ht="21" customHeight="1">
      <c r="A16" s="58" t="s">
        <v>545</v>
      </c>
      <c r="B16" t="s">
        <v>546</v>
      </c>
    </row>
    <row r="17" spans="1:2" ht="21" customHeight="1">
      <c r="A17" s="58" t="s">
        <v>547</v>
      </c>
      <c r="B17" t="s">
        <v>79</v>
      </c>
    </row>
    <row r="18" spans="1:2" ht="21" customHeight="1">
      <c r="A18" s="58" t="s">
        <v>227</v>
      </c>
      <c r="B18" t="s">
        <v>548</v>
      </c>
    </row>
    <row r="19" spans="1:2" ht="21" customHeight="1">
      <c r="A19" s="58" t="s">
        <v>549</v>
      </c>
      <c r="B19" t="s">
        <v>550</v>
      </c>
    </row>
  </sheetData>
  <mergeCells count="1">
    <mergeCell ref="A1:F1"/>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481"/>
  <sheetViews>
    <sheetView topLeftCell="A326" zoomScale="120" zoomScaleNormal="120" workbookViewId="0">
      <selection activeCell="B338" sqref="B338"/>
    </sheetView>
  </sheetViews>
  <sheetFormatPr baseColWidth="10" defaultColWidth="8.83203125" defaultRowHeight="15"/>
  <cols>
    <col min="2" max="2" width="21.83203125" customWidth="1"/>
    <col min="3" max="6" width="34.83203125" customWidth="1"/>
  </cols>
  <sheetData>
    <row r="2" spans="1:2" ht="21" customHeight="1">
      <c r="A2" t="s">
        <v>551</v>
      </c>
      <c r="B2" t="s">
        <v>552</v>
      </c>
    </row>
    <row r="3" spans="1:2" ht="21" customHeight="1">
      <c r="A3" t="s">
        <v>553</v>
      </c>
      <c r="B3" t="s">
        <v>554</v>
      </c>
    </row>
    <row r="4" spans="1:2" ht="21" customHeight="1">
      <c r="B4" t="s">
        <v>555</v>
      </c>
    </row>
    <row r="6" spans="1:2" ht="21" customHeight="1">
      <c r="B6" s="59" t="s">
        <v>556</v>
      </c>
    </row>
    <row r="8" spans="1:2" ht="21" customHeight="1">
      <c r="B8" s="60" t="s">
        <v>557</v>
      </c>
    </row>
    <row r="10" spans="1:2" ht="21" customHeight="1">
      <c r="B10" t="s">
        <v>558</v>
      </c>
    </row>
    <row r="11" spans="1:2" ht="21" customHeight="1">
      <c r="B11" t="s">
        <v>559</v>
      </c>
    </row>
    <row r="12" spans="1:2" ht="21" customHeight="1">
      <c r="B12" t="s">
        <v>560</v>
      </c>
    </row>
    <row r="14" spans="1:2" ht="21" customHeight="1">
      <c r="B14" s="60" t="s">
        <v>561</v>
      </c>
    </row>
    <row r="16" spans="1:2" ht="21" customHeight="1">
      <c r="B16" t="s">
        <v>562</v>
      </c>
    </row>
    <row r="17" spans="2:2" ht="21" customHeight="1">
      <c r="B17" t="s">
        <v>563</v>
      </c>
    </row>
    <row r="18" spans="2:2" ht="21" customHeight="1">
      <c r="B18" t="s">
        <v>564</v>
      </c>
    </row>
    <row r="19" spans="2:2" ht="21" customHeight="1">
      <c r="B19" t="s">
        <v>565</v>
      </c>
    </row>
    <row r="20" spans="2:2" ht="21" customHeight="1">
      <c r="B20" t="s">
        <v>566</v>
      </c>
    </row>
    <row r="21" spans="2:2" ht="21" customHeight="1">
      <c r="B21" t="s">
        <v>567</v>
      </c>
    </row>
    <row r="22" spans="2:2" ht="21" customHeight="1">
      <c r="B22" t="s">
        <v>568</v>
      </c>
    </row>
    <row r="23" spans="2:2" ht="21" customHeight="1">
      <c r="B23" t="s">
        <v>569</v>
      </c>
    </row>
    <row r="24" spans="2:2" ht="21" customHeight="1">
      <c r="B24" t="s">
        <v>570</v>
      </c>
    </row>
    <row r="25" spans="2:2" ht="21" customHeight="1">
      <c r="B25" t="s">
        <v>571</v>
      </c>
    </row>
    <row r="26" spans="2:2" ht="21" customHeight="1">
      <c r="B26" t="s">
        <v>572</v>
      </c>
    </row>
    <row r="28" spans="2:2" ht="21" customHeight="1">
      <c r="B28" s="60" t="s">
        <v>573</v>
      </c>
    </row>
    <row r="30" spans="2:2" ht="21" customHeight="1">
      <c r="B30" t="s">
        <v>574</v>
      </c>
    </row>
    <row r="31" spans="2:2" ht="21" customHeight="1">
      <c r="B31" t="s">
        <v>575</v>
      </c>
    </row>
    <row r="32" spans="2:2" ht="21" customHeight="1">
      <c r="B32" t="s">
        <v>576</v>
      </c>
    </row>
    <row r="33" spans="2:3" ht="21" customHeight="1">
      <c r="B33" t="s">
        <v>577</v>
      </c>
    </row>
    <row r="34" spans="2:3" ht="21" customHeight="1">
      <c r="B34" t="s">
        <v>578</v>
      </c>
    </row>
    <row r="35" spans="2:3" ht="21" customHeight="1">
      <c r="B35" t="s">
        <v>579</v>
      </c>
    </row>
    <row r="36" spans="2:3" ht="21" customHeight="1">
      <c r="B36" t="s">
        <v>580</v>
      </c>
    </row>
    <row r="37" spans="2:3" ht="21" customHeight="1">
      <c r="B37" t="s">
        <v>581</v>
      </c>
    </row>
    <row r="38" spans="2:3" ht="21" customHeight="1">
      <c r="B38" t="s">
        <v>582</v>
      </c>
    </row>
    <row r="40" spans="2:3" ht="21" customHeight="1">
      <c r="B40" s="59" t="s">
        <v>583</v>
      </c>
    </row>
    <row r="42" spans="2:3" ht="21" customHeight="1">
      <c r="B42" t="s">
        <v>584</v>
      </c>
    </row>
    <row r="44" spans="2:3" ht="21" customHeight="1">
      <c r="B44" s="61" t="s">
        <v>585</v>
      </c>
      <c r="C44" s="61" t="s">
        <v>586</v>
      </c>
    </row>
    <row r="45" spans="2:3" ht="21" customHeight="1">
      <c r="B45" t="s">
        <v>587</v>
      </c>
      <c r="C45" t="s">
        <v>588</v>
      </c>
    </row>
    <row r="46" spans="2:3" ht="21" customHeight="1">
      <c r="B46" t="s">
        <v>589</v>
      </c>
      <c r="C46" t="s">
        <v>590</v>
      </c>
    </row>
    <row r="47" spans="2:3" ht="21" customHeight="1">
      <c r="B47" t="s">
        <v>591</v>
      </c>
      <c r="C47" t="s">
        <v>592</v>
      </c>
    </row>
    <row r="48" spans="2:3" ht="21" customHeight="1">
      <c r="B48" t="s">
        <v>593</v>
      </c>
      <c r="C48" t="s">
        <v>594</v>
      </c>
    </row>
    <row r="49" spans="2:3" ht="21" customHeight="1">
      <c r="B49" t="s">
        <v>595</v>
      </c>
      <c r="C49" t="s">
        <v>596</v>
      </c>
    </row>
    <row r="51" spans="2:3" ht="21" customHeight="1">
      <c r="B51" s="59" t="s">
        <v>597</v>
      </c>
    </row>
    <row r="53" spans="2:3" ht="21" customHeight="1">
      <c r="B53" t="s">
        <v>598</v>
      </c>
    </row>
    <row r="54" spans="2:3" ht="21" customHeight="1">
      <c r="B54" t="s">
        <v>599</v>
      </c>
    </row>
    <row r="55" spans="2:3" ht="21" customHeight="1">
      <c r="B55" t="s">
        <v>600</v>
      </c>
    </row>
    <row r="57" spans="2:3" ht="21" customHeight="1">
      <c r="B57" s="59" t="s">
        <v>601</v>
      </c>
    </row>
    <row r="59" spans="2:3" ht="21" customHeight="1">
      <c r="B59" t="s">
        <v>602</v>
      </c>
    </row>
    <row r="61" spans="2:3" ht="21" customHeight="1">
      <c r="B61" t="s">
        <v>603</v>
      </c>
    </row>
    <row r="62" spans="2:3" ht="21" customHeight="1">
      <c r="B62" t="s">
        <v>604</v>
      </c>
    </row>
    <row r="63" spans="2:3" ht="21" customHeight="1">
      <c r="B63" t="s">
        <v>605</v>
      </c>
    </row>
    <row r="65" spans="1:6" ht="21" customHeight="1">
      <c r="B65" t="s">
        <v>606</v>
      </c>
    </row>
    <row r="67" spans="1:6" ht="21" customHeight="1">
      <c r="B67" s="62" t="s">
        <v>607</v>
      </c>
      <c r="C67" s="62"/>
      <c r="D67" s="62"/>
      <c r="E67" s="62"/>
      <c r="F67" s="62"/>
    </row>
    <row r="68" spans="1:6" ht="54.75" customHeight="1">
      <c r="B68" s="63" t="s">
        <v>62</v>
      </c>
      <c r="C68" s="63" t="s">
        <v>608</v>
      </c>
      <c r="D68" s="63" t="s">
        <v>609</v>
      </c>
      <c r="E68" s="63" t="s">
        <v>610</v>
      </c>
      <c r="F68" s="63" t="s">
        <v>611</v>
      </c>
    </row>
    <row r="69" spans="1:6" ht="54.75" customHeight="1">
      <c r="B69" s="8" t="s">
        <v>612</v>
      </c>
      <c r="C69" s="8" t="s">
        <v>613</v>
      </c>
      <c r="D69" s="8" t="s">
        <v>614</v>
      </c>
      <c r="E69" s="8" t="s">
        <v>615</v>
      </c>
      <c r="F69" s="8" t="s">
        <v>616</v>
      </c>
    </row>
    <row r="70" spans="1:6" ht="54.75" customHeight="1">
      <c r="B70" s="8" t="s">
        <v>617</v>
      </c>
      <c r="C70" s="8" t="s">
        <v>618</v>
      </c>
      <c r="D70" s="8" t="s">
        <v>619</v>
      </c>
      <c r="E70" s="8" t="s">
        <v>620</v>
      </c>
      <c r="F70" s="8" t="s">
        <v>621</v>
      </c>
    </row>
    <row r="71" spans="1:6" ht="54.75" customHeight="1">
      <c r="B71" s="8" t="s">
        <v>622</v>
      </c>
      <c r="C71" s="8" t="s">
        <v>623</v>
      </c>
      <c r="D71" s="8" t="s">
        <v>624</v>
      </c>
      <c r="E71" s="8" t="s">
        <v>625</v>
      </c>
      <c r="F71" s="8" t="s">
        <v>626</v>
      </c>
    </row>
    <row r="72" spans="1:6" ht="54.75" customHeight="1">
      <c r="B72" s="64" t="s">
        <v>627</v>
      </c>
      <c r="C72" s="64" t="s">
        <v>628</v>
      </c>
      <c r="D72" s="64" t="s">
        <v>629</v>
      </c>
      <c r="E72" s="64" t="s">
        <v>630</v>
      </c>
      <c r="F72" s="64" t="s">
        <v>631</v>
      </c>
    </row>
    <row r="73" spans="1:6" ht="54.75" customHeight="1">
      <c r="B73" s="64" t="s">
        <v>632</v>
      </c>
      <c r="C73" s="64" t="s">
        <v>633</v>
      </c>
      <c r="D73" s="64"/>
      <c r="E73" s="64"/>
      <c r="F73" s="64" t="s">
        <v>634</v>
      </c>
    </row>
    <row r="77" spans="1:6">
      <c r="A77" s="65" t="s">
        <v>551</v>
      </c>
      <c r="B77" s="65" t="s">
        <v>635</v>
      </c>
    </row>
    <row r="78" spans="1:6">
      <c r="A78" s="65" t="s">
        <v>553</v>
      </c>
      <c r="B78" s="65" t="s">
        <v>636</v>
      </c>
    </row>
    <row r="80" spans="1:6">
      <c r="B80" s="61" t="s">
        <v>637</v>
      </c>
    </row>
    <row r="82" spans="2:3">
      <c r="B82" s="61" t="s">
        <v>638</v>
      </c>
      <c r="C82" s="61" t="s">
        <v>86</v>
      </c>
    </row>
    <row r="83" spans="2:3">
      <c r="B83" s="65" t="s">
        <v>639</v>
      </c>
      <c r="C83" s="65" t="s">
        <v>97</v>
      </c>
    </row>
    <row r="84" spans="2:3">
      <c r="B84" s="65" t="s">
        <v>640</v>
      </c>
      <c r="C84" s="65" t="s">
        <v>104</v>
      </c>
    </row>
    <row r="85" spans="2:3">
      <c r="B85" s="65" t="s">
        <v>641</v>
      </c>
      <c r="C85" s="65" t="s">
        <v>111</v>
      </c>
    </row>
    <row r="86" spans="2:3">
      <c r="B86" s="65" t="s">
        <v>642</v>
      </c>
      <c r="C86" s="65" t="s">
        <v>118</v>
      </c>
    </row>
    <row r="87" spans="2:3">
      <c r="B87" s="65" t="s">
        <v>643</v>
      </c>
      <c r="C87" s="65" t="s">
        <v>125</v>
      </c>
    </row>
    <row r="89" spans="2:3">
      <c r="B89" s="61" t="s">
        <v>644</v>
      </c>
    </row>
    <row r="91" spans="2:3">
      <c r="B91" s="65" t="s">
        <v>645</v>
      </c>
    </row>
    <row r="93" spans="2:3">
      <c r="B93" s="61" t="s">
        <v>646</v>
      </c>
    </row>
    <row r="94" spans="2:3">
      <c r="B94" s="61" t="s">
        <v>647</v>
      </c>
    </row>
    <row r="95" spans="2:3">
      <c r="B95" s="61" t="s">
        <v>648</v>
      </c>
    </row>
    <row r="96" spans="2:3">
      <c r="B96" s="61" t="s">
        <v>649</v>
      </c>
    </row>
    <row r="97" spans="2:2">
      <c r="B97" s="61" t="s">
        <v>650</v>
      </c>
    </row>
    <row r="99" spans="2:2">
      <c r="B99" s="61" t="s">
        <v>651</v>
      </c>
    </row>
    <row r="101" spans="2:2">
      <c r="B101" s="65" t="s">
        <v>652</v>
      </c>
    </row>
    <row r="103" spans="2:2">
      <c r="B103" s="61" t="s">
        <v>653</v>
      </c>
    </row>
    <row r="105" spans="2:2">
      <c r="B105" s="65" t="s">
        <v>654</v>
      </c>
    </row>
    <row r="106" spans="2:2">
      <c r="B106" s="65" t="s">
        <v>655</v>
      </c>
    </row>
    <row r="108" spans="2:2">
      <c r="B108" s="61" t="s">
        <v>656</v>
      </c>
    </row>
    <row r="110" spans="2:2">
      <c r="B110" s="65" t="s">
        <v>657</v>
      </c>
    </row>
    <row r="114" spans="2:6">
      <c r="B114" s="61" t="s">
        <v>658</v>
      </c>
    </row>
    <row r="116" spans="2:6">
      <c r="B116" s="61" t="s">
        <v>1</v>
      </c>
      <c r="C116" s="61" t="s">
        <v>659</v>
      </c>
      <c r="D116" s="61" t="s">
        <v>660</v>
      </c>
      <c r="E116" s="61" t="s">
        <v>661</v>
      </c>
      <c r="F116" s="61" t="s">
        <v>662</v>
      </c>
    </row>
    <row r="117" spans="2:6">
      <c r="B117" s="65" t="s">
        <v>663</v>
      </c>
      <c r="C117" s="66" t="s">
        <v>97</v>
      </c>
      <c r="D117" s="66" t="s">
        <v>104</v>
      </c>
      <c r="E117" s="66" t="s">
        <v>97</v>
      </c>
      <c r="F117" s="66" t="s">
        <v>97</v>
      </c>
    </row>
    <row r="118" spans="2:6">
      <c r="B118" s="65" t="s">
        <v>664</v>
      </c>
      <c r="C118" s="67">
        <v>0</v>
      </c>
      <c r="D118" s="67">
        <v>0</v>
      </c>
      <c r="E118" s="67">
        <v>1</v>
      </c>
      <c r="F118" s="67">
        <v>0</v>
      </c>
    </row>
    <row r="119" spans="2:6">
      <c r="B119" s="65" t="s">
        <v>665</v>
      </c>
      <c r="C119" s="67">
        <v>0</v>
      </c>
      <c r="D119" s="67">
        <v>1</v>
      </c>
      <c r="E119" s="67">
        <v>0</v>
      </c>
      <c r="F119" s="67">
        <v>1</v>
      </c>
    </row>
    <row r="120" spans="2:6">
      <c r="B120" s="65" t="s">
        <v>666</v>
      </c>
      <c r="C120" s="67">
        <v>0</v>
      </c>
      <c r="D120" s="67">
        <v>0</v>
      </c>
      <c r="E120" s="67">
        <v>0</v>
      </c>
      <c r="F120" s="67">
        <v>1</v>
      </c>
    </row>
    <row r="121" spans="2:6">
      <c r="B121" s="65" t="s">
        <v>667</v>
      </c>
      <c r="C121" s="67">
        <v>0</v>
      </c>
      <c r="D121" s="67">
        <v>1</v>
      </c>
      <c r="E121" s="67">
        <v>0</v>
      </c>
      <c r="F121" s="67">
        <v>1</v>
      </c>
    </row>
    <row r="122" spans="2:6">
      <c r="B122" s="65" t="s">
        <v>668</v>
      </c>
      <c r="C122" s="67">
        <v>0</v>
      </c>
      <c r="D122" s="67">
        <v>0</v>
      </c>
      <c r="E122" s="67">
        <v>0</v>
      </c>
      <c r="F122" s="67">
        <v>0</v>
      </c>
    </row>
    <row r="123" spans="2:6">
      <c r="B123" s="65" t="s">
        <v>669</v>
      </c>
      <c r="C123" s="66" t="s">
        <v>670</v>
      </c>
      <c r="D123" s="66" t="s">
        <v>671</v>
      </c>
      <c r="E123" s="66" t="s">
        <v>672</v>
      </c>
      <c r="F123" s="66" t="s">
        <v>426</v>
      </c>
    </row>
    <row r="125" spans="2:6">
      <c r="B125" s="65" t="s">
        <v>673</v>
      </c>
    </row>
    <row r="174" spans="1:2">
      <c r="A174" s="90" t="s">
        <v>551</v>
      </c>
      <c r="B174" s="90" t="s">
        <v>674</v>
      </c>
    </row>
    <row r="175" spans="1:2">
      <c r="A175" s="90" t="s">
        <v>553</v>
      </c>
      <c r="B175" s="90" t="s">
        <v>675</v>
      </c>
    </row>
    <row r="177" spans="2:2" ht="24" customHeight="1">
      <c r="B177" s="99" t="s">
        <v>676</v>
      </c>
    </row>
    <row r="179" spans="2:2">
      <c r="B179" s="90" t="s">
        <v>677</v>
      </c>
    </row>
    <row r="181" spans="2:2">
      <c r="B181" s="93" t="s">
        <v>678</v>
      </c>
    </row>
    <row r="182" spans="2:2">
      <c r="B182" s="93" t="s">
        <v>679</v>
      </c>
    </row>
    <row r="183" spans="2:2">
      <c r="B183" s="93" t="s">
        <v>680</v>
      </c>
    </row>
    <row r="184" spans="2:2">
      <c r="B184" s="93" t="s">
        <v>681</v>
      </c>
    </row>
    <row r="186" spans="2:2">
      <c r="B186" s="90" t="s">
        <v>682</v>
      </c>
    </row>
    <row r="188" spans="2:2" ht="24" customHeight="1">
      <c r="B188" s="99" t="s">
        <v>683</v>
      </c>
    </row>
    <row r="190" spans="2:2">
      <c r="B190" s="90" t="s">
        <v>684</v>
      </c>
    </row>
    <row r="191" spans="2:2">
      <c r="B191" s="100" t="s">
        <v>685</v>
      </c>
    </row>
    <row r="192" spans="2:2">
      <c r="B192" s="90" t="s">
        <v>686</v>
      </c>
    </row>
    <row r="193" spans="2:2">
      <c r="B193" s="90" t="s">
        <v>687</v>
      </c>
    </row>
    <row r="195" spans="2:2" ht="24" customHeight="1">
      <c r="B195" s="99" t="s">
        <v>688</v>
      </c>
    </row>
    <row r="197" spans="2:2">
      <c r="B197" s="90" t="s">
        <v>689</v>
      </c>
    </row>
    <row r="198" spans="2:2">
      <c r="B198" s="93" t="s">
        <v>690</v>
      </c>
    </row>
    <row r="199" spans="2:2">
      <c r="B199" s="93" t="s">
        <v>691</v>
      </c>
    </row>
    <row r="200" spans="2:2">
      <c r="B200" s="93" t="s">
        <v>692</v>
      </c>
    </row>
    <row r="202" spans="2:2" ht="24" customHeight="1">
      <c r="B202" s="99" t="s">
        <v>693</v>
      </c>
    </row>
    <row r="204" spans="2:2">
      <c r="B204" s="90" t="s">
        <v>694</v>
      </c>
    </row>
    <row r="205" spans="2:2">
      <c r="B205" s="93" t="s">
        <v>695</v>
      </c>
    </row>
    <row r="206" spans="2:2">
      <c r="B206" s="93" t="s">
        <v>696</v>
      </c>
    </row>
    <row r="207" spans="2:2">
      <c r="B207" s="93" t="s">
        <v>697</v>
      </c>
    </row>
    <row r="209" spans="2:2" ht="24" customHeight="1">
      <c r="B209" s="99" t="s">
        <v>698</v>
      </c>
    </row>
    <row r="211" spans="2:2">
      <c r="B211" s="90" t="s">
        <v>699</v>
      </c>
    </row>
    <row r="212" spans="2:2">
      <c r="B212" s="100" t="s">
        <v>700</v>
      </c>
    </row>
    <row r="214" spans="2:2" ht="24" customHeight="1">
      <c r="B214" s="99" t="s">
        <v>701</v>
      </c>
    </row>
    <row r="216" spans="2:2">
      <c r="B216" s="93" t="s">
        <v>702</v>
      </c>
    </row>
    <row r="217" spans="2:2">
      <c r="B217" s="93" t="s">
        <v>703</v>
      </c>
    </row>
    <row r="218" spans="2:2">
      <c r="B218" s="93" t="s">
        <v>704</v>
      </c>
    </row>
    <row r="220" spans="2:2" ht="24" customHeight="1">
      <c r="B220" s="99" t="s">
        <v>705</v>
      </c>
    </row>
    <row r="222" spans="2:2">
      <c r="B222" s="90" t="s">
        <v>706</v>
      </c>
    </row>
    <row r="223" spans="2:2">
      <c r="B223" s="109" t="s">
        <v>707</v>
      </c>
    </row>
    <row r="224" spans="2:2">
      <c r="B224" s="90" t="s">
        <v>708</v>
      </c>
    </row>
    <row r="227" spans="1:2">
      <c r="A227" s="90" t="s">
        <v>551</v>
      </c>
      <c r="B227" s="90" t="s">
        <v>709</v>
      </c>
    </row>
    <row r="228" spans="1:2">
      <c r="A228" s="90" t="s">
        <v>553</v>
      </c>
      <c r="B228" s="90" t="s">
        <v>710</v>
      </c>
    </row>
    <row r="230" spans="1:2">
      <c r="B230" s="90" t="s">
        <v>711</v>
      </c>
    </row>
    <row r="231" spans="1:2">
      <c r="B231" s="93" t="s">
        <v>712</v>
      </c>
    </row>
    <row r="232" spans="1:2">
      <c r="B232" s="93" t="s">
        <v>713</v>
      </c>
    </row>
    <row r="233" spans="1:2">
      <c r="B233" s="90" t="s">
        <v>714</v>
      </c>
    </row>
    <row r="235" spans="1:2">
      <c r="B235" s="90" t="s">
        <v>715</v>
      </c>
    </row>
    <row r="238" spans="1:2">
      <c r="A238" s="90" t="s">
        <v>551</v>
      </c>
      <c r="B238" s="90" t="s">
        <v>716</v>
      </c>
    </row>
    <row r="239" spans="1:2">
      <c r="A239" s="90" t="s">
        <v>553</v>
      </c>
      <c r="B239" s="90" t="s">
        <v>717</v>
      </c>
    </row>
    <row r="241" spans="1:2">
      <c r="B241" s="93" t="s">
        <v>718</v>
      </c>
    </row>
    <row r="242" spans="1:2">
      <c r="B242" s="93" t="s">
        <v>719</v>
      </c>
    </row>
    <row r="244" spans="1:2" ht="16" customHeight="1">
      <c r="B244" s="90" t="s">
        <v>720</v>
      </c>
    </row>
    <row r="245" spans="1:2">
      <c r="B245" s="93" t="s">
        <v>721</v>
      </c>
    </row>
    <row r="246" spans="1:2">
      <c r="B246" s="93" t="s">
        <v>722</v>
      </c>
    </row>
    <row r="248" spans="1:2">
      <c r="B248" s="93" t="s">
        <v>723</v>
      </c>
    </row>
    <row r="249" spans="1:2">
      <c r="B249" s="93" t="s">
        <v>724</v>
      </c>
    </row>
    <row r="250" spans="1:2">
      <c r="B250" s="93" t="s">
        <v>725</v>
      </c>
    </row>
    <row r="251" spans="1:2">
      <c r="B251" s="93" t="s">
        <v>726</v>
      </c>
    </row>
    <row r="254" spans="1:2">
      <c r="A254" s="90" t="s">
        <v>551</v>
      </c>
      <c r="B254" s="90" t="s">
        <v>727</v>
      </c>
    </row>
    <row r="255" spans="1:2">
      <c r="A255" s="90" t="s">
        <v>553</v>
      </c>
      <c r="B255" s="90" t="s">
        <v>728</v>
      </c>
    </row>
    <row r="259" spans="2:2" ht="24" customHeight="1">
      <c r="B259" s="99" t="s">
        <v>729</v>
      </c>
    </row>
    <row r="261" spans="2:2">
      <c r="B261" s="90" t="s">
        <v>730</v>
      </c>
    </row>
    <row r="262" spans="2:2">
      <c r="B262" s="90" t="s">
        <v>731</v>
      </c>
    </row>
    <row r="263" spans="2:2">
      <c r="B263" s="90" t="s">
        <v>732</v>
      </c>
    </row>
    <row r="265" spans="2:2" ht="24" customHeight="1">
      <c r="B265" s="99" t="s">
        <v>733</v>
      </c>
    </row>
    <row r="267" spans="2:2">
      <c r="B267" s="93" t="s">
        <v>734</v>
      </c>
    </row>
    <row r="268" spans="2:2">
      <c r="B268" s="100" t="s">
        <v>735</v>
      </c>
    </row>
    <row r="269" spans="2:2">
      <c r="B269" s="90" t="s">
        <v>736</v>
      </c>
    </row>
    <row r="271" spans="2:2">
      <c r="B271" s="93" t="s">
        <v>737</v>
      </c>
    </row>
    <row r="273" spans="2:4">
      <c r="B273" s="90" t="s">
        <v>738</v>
      </c>
    </row>
    <row r="275" spans="2:4">
      <c r="B275" s="93" t="s">
        <v>739</v>
      </c>
      <c r="C275" s="93" t="s">
        <v>740</v>
      </c>
      <c r="D275" s="93" t="s">
        <v>741</v>
      </c>
    </row>
    <row r="276" spans="2:4">
      <c r="B276" s="90" t="s">
        <v>742</v>
      </c>
      <c r="C276" s="90" t="s">
        <v>743</v>
      </c>
      <c r="D276" s="90" t="s">
        <v>744</v>
      </c>
    </row>
    <row r="277" spans="2:4">
      <c r="B277" s="90" t="s">
        <v>745</v>
      </c>
      <c r="C277" s="90" t="s">
        <v>746</v>
      </c>
      <c r="D277" s="90" t="s">
        <v>747</v>
      </c>
    </row>
    <row r="278" spans="2:4">
      <c r="B278" s="90" t="s">
        <v>748</v>
      </c>
      <c r="C278" s="90" t="s">
        <v>749</v>
      </c>
      <c r="D278" s="90" t="s">
        <v>750</v>
      </c>
    </row>
    <row r="279" spans="2:4">
      <c r="B279" s="90" t="s">
        <v>751</v>
      </c>
      <c r="C279" s="90" t="s">
        <v>752</v>
      </c>
      <c r="D279" s="90" t="s">
        <v>753</v>
      </c>
    </row>
    <row r="280" spans="2:4">
      <c r="B280" s="90" t="s">
        <v>754</v>
      </c>
      <c r="C280" s="90" t="s">
        <v>755</v>
      </c>
      <c r="D280" s="90" t="s">
        <v>756</v>
      </c>
    </row>
    <row r="283" spans="2:4" ht="24" customHeight="1">
      <c r="B283" s="99" t="s">
        <v>757</v>
      </c>
    </row>
    <row r="285" spans="2:4">
      <c r="B285" s="90" t="s">
        <v>758</v>
      </c>
    </row>
    <row r="287" spans="2:4">
      <c r="B287" s="93" t="s">
        <v>759</v>
      </c>
    </row>
    <row r="288" spans="2:4" ht="16" customHeight="1">
      <c r="B288" s="110" t="s">
        <v>760</v>
      </c>
    </row>
    <row r="289" spans="2:2" ht="16" customHeight="1">
      <c r="B289" s="90" t="s">
        <v>761</v>
      </c>
    </row>
    <row r="290" spans="2:2">
      <c r="B290" s="90" t="s">
        <v>762</v>
      </c>
    </row>
    <row r="291" spans="2:2">
      <c r="B291" s="90" t="s">
        <v>763</v>
      </c>
    </row>
    <row r="292" spans="2:2">
      <c r="B292" s="100" t="s">
        <v>764</v>
      </c>
    </row>
    <row r="293" spans="2:2">
      <c r="B293" s="90" t="s">
        <v>765</v>
      </c>
    </row>
    <row r="296" spans="2:2" ht="24" customHeight="1">
      <c r="B296" s="99" t="s">
        <v>766</v>
      </c>
    </row>
    <row r="298" spans="2:2">
      <c r="B298" s="90" t="s">
        <v>767</v>
      </c>
    </row>
    <row r="300" spans="2:2" ht="16" customHeight="1">
      <c r="B300" s="93" t="s">
        <v>768</v>
      </c>
    </row>
    <row r="301" spans="2:2" ht="16" customHeight="1">
      <c r="B301" s="93" t="s">
        <v>769</v>
      </c>
    </row>
    <row r="302" spans="2:2">
      <c r="B302" s="93" t="s">
        <v>770</v>
      </c>
    </row>
    <row r="303" spans="2:2">
      <c r="B303" s="90" t="s">
        <v>771</v>
      </c>
    </row>
    <row r="305" spans="1:2">
      <c r="B305" s="90" t="s">
        <v>772</v>
      </c>
    </row>
    <row r="309" spans="1:2">
      <c r="A309" s="90" t="s">
        <v>551</v>
      </c>
      <c r="B309" s="90" t="s">
        <v>773</v>
      </c>
    </row>
    <row r="310" spans="1:2">
      <c r="A310" s="90" t="s">
        <v>553</v>
      </c>
      <c r="B310" s="90" t="s">
        <v>774</v>
      </c>
    </row>
    <row r="313" spans="1:2" ht="24" customHeight="1">
      <c r="B313" s="99" t="s">
        <v>775</v>
      </c>
    </row>
    <row r="315" spans="1:2">
      <c r="B315" s="90" t="s">
        <v>776</v>
      </c>
    </row>
    <row r="316" spans="1:2">
      <c r="B316" s="90" t="s">
        <v>777</v>
      </c>
    </row>
    <row r="317" spans="1:2">
      <c r="B317" s="90" t="s">
        <v>778</v>
      </c>
    </row>
    <row r="318" spans="1:2">
      <c r="B318" s="90" t="s">
        <v>779</v>
      </c>
    </row>
    <row r="319" spans="1:2">
      <c r="B319" s="90" t="s">
        <v>780</v>
      </c>
    </row>
    <row r="321" spans="1:2">
      <c r="B321" s="90" t="s">
        <v>781</v>
      </c>
    </row>
    <row r="322" spans="1:2">
      <c r="B322" s="100" t="s">
        <v>782</v>
      </c>
    </row>
    <row r="325" spans="1:2">
      <c r="B325" s="90" t="s">
        <v>783</v>
      </c>
    </row>
    <row r="326" spans="1:2">
      <c r="B326" s="93" t="s">
        <v>784</v>
      </c>
    </row>
    <row r="327" spans="1:2">
      <c r="B327" s="93" t="s">
        <v>785</v>
      </c>
    </row>
    <row r="328" spans="1:2">
      <c r="B328" s="93" t="s">
        <v>786</v>
      </c>
    </row>
    <row r="329" spans="1:2">
      <c r="B329" s="93" t="s">
        <v>787</v>
      </c>
    </row>
    <row r="330" spans="1:2">
      <c r="B330" s="93" t="s">
        <v>788</v>
      </c>
    </row>
    <row r="332" spans="1:2">
      <c r="B332" s="90" t="s">
        <v>789</v>
      </c>
    </row>
    <row r="335" spans="1:2">
      <c r="A335" s="90" t="s">
        <v>551</v>
      </c>
      <c r="B335" s="87" t="s">
        <v>790</v>
      </c>
    </row>
    <row r="336" spans="1:2">
      <c r="A336" s="90" t="s">
        <v>553</v>
      </c>
      <c r="B336" s="90" t="s">
        <v>791</v>
      </c>
    </row>
    <row r="338" spans="2:2">
      <c r="B338" s="90" t="s">
        <v>792</v>
      </c>
    </row>
    <row r="341" spans="2:2" ht="19" customHeight="1">
      <c r="B341" s="120" t="s">
        <v>793</v>
      </c>
    </row>
    <row r="343" spans="2:2">
      <c r="B343" s="90" t="s">
        <v>794</v>
      </c>
    </row>
    <row r="344" spans="2:2">
      <c r="B344" s="90" t="s">
        <v>795</v>
      </c>
    </row>
    <row r="345" spans="2:2">
      <c r="B345" s="90" t="s">
        <v>796</v>
      </c>
    </row>
    <row r="346" spans="2:2">
      <c r="B346" s="90" t="s">
        <v>797</v>
      </c>
    </row>
    <row r="347" spans="2:2">
      <c r="B347" s="90" t="s">
        <v>798</v>
      </c>
    </row>
    <row r="348" spans="2:2">
      <c r="B348" s="90" t="s">
        <v>799</v>
      </c>
    </row>
    <row r="350" spans="2:2">
      <c r="B350" s="90" t="s">
        <v>800</v>
      </c>
    </row>
    <row r="352" spans="2:2">
      <c r="B352" s="93" t="s">
        <v>801</v>
      </c>
    </row>
    <row r="353" spans="2:2">
      <c r="B353" s="90" t="s">
        <v>802</v>
      </c>
    </row>
    <row r="354" spans="2:2">
      <c r="B354" s="90" t="s">
        <v>803</v>
      </c>
    </row>
    <row r="355" spans="2:2">
      <c r="B355" s="90" t="s">
        <v>802</v>
      </c>
    </row>
    <row r="356" spans="2:2">
      <c r="B356" s="90" t="s">
        <v>804</v>
      </c>
    </row>
    <row r="357" spans="2:2">
      <c r="B357" s="90" t="s">
        <v>802</v>
      </c>
    </row>
    <row r="358" spans="2:2">
      <c r="B358" s="90" t="s">
        <v>805</v>
      </c>
    </row>
    <row r="359" spans="2:2">
      <c r="B359" s="90" t="s">
        <v>802</v>
      </c>
    </row>
    <row r="360" spans="2:2">
      <c r="B360" s="90" t="s">
        <v>806</v>
      </c>
    </row>
    <row r="361" spans="2:2">
      <c r="B361" s="90" t="s">
        <v>802</v>
      </c>
    </row>
    <row r="362" spans="2:2">
      <c r="B362" s="90" t="s">
        <v>807</v>
      </c>
    </row>
    <row r="365" spans="2:2" ht="19" customHeight="1">
      <c r="B365" s="120" t="s">
        <v>808</v>
      </c>
    </row>
    <row r="367" spans="2:2">
      <c r="B367" s="90" t="s">
        <v>809</v>
      </c>
    </row>
    <row r="368" spans="2:2">
      <c r="B368" s="90" t="s">
        <v>800</v>
      </c>
    </row>
    <row r="369" spans="2:2">
      <c r="B369" s="90" t="s">
        <v>810</v>
      </c>
    </row>
    <row r="370" spans="2:2">
      <c r="B370" s="90" t="s">
        <v>802</v>
      </c>
    </row>
    <row r="371" spans="2:2">
      <c r="B371" s="90" t="s">
        <v>811</v>
      </c>
    </row>
    <row r="372" spans="2:2">
      <c r="B372" s="90" t="s">
        <v>812</v>
      </c>
    </row>
    <row r="373" spans="2:2">
      <c r="B373" s="90" t="s">
        <v>813</v>
      </c>
    </row>
    <row r="374" spans="2:2">
      <c r="B374" s="90" t="s">
        <v>814</v>
      </c>
    </row>
    <row r="375" spans="2:2">
      <c r="B375" s="90" t="s">
        <v>815</v>
      </c>
    </row>
    <row r="376" spans="2:2">
      <c r="B376" s="90" t="s">
        <v>816</v>
      </c>
    </row>
    <row r="378" spans="2:2">
      <c r="B378" s="90" t="s">
        <v>802</v>
      </c>
    </row>
    <row r="379" spans="2:2">
      <c r="B379" s="90" t="s">
        <v>817</v>
      </c>
    </row>
    <row r="380" spans="2:2">
      <c r="B380" s="90" t="s">
        <v>818</v>
      </c>
    </row>
    <row r="381" spans="2:2">
      <c r="B381" s="90" t="s">
        <v>819</v>
      </c>
    </row>
    <row r="382" spans="2:2">
      <c r="B382" s="90" t="s">
        <v>820</v>
      </c>
    </row>
    <row r="383" spans="2:2">
      <c r="B383" s="90" t="s">
        <v>821</v>
      </c>
    </row>
    <row r="384" spans="2:2">
      <c r="B384" s="90" t="s">
        <v>822</v>
      </c>
    </row>
    <row r="386" spans="2:2">
      <c r="B386" s="90" t="s">
        <v>823</v>
      </c>
    </row>
    <row r="389" spans="2:2" ht="19" customHeight="1">
      <c r="B389" s="120" t="s">
        <v>824</v>
      </c>
    </row>
    <row r="391" spans="2:2">
      <c r="B391" s="90" t="s">
        <v>825</v>
      </c>
    </row>
    <row r="392" spans="2:2">
      <c r="B392" s="90" t="s">
        <v>826</v>
      </c>
    </row>
    <row r="393" spans="2:2">
      <c r="B393" s="90" t="s">
        <v>827</v>
      </c>
    </row>
    <row r="394" spans="2:2">
      <c r="B394" s="90" t="s">
        <v>828</v>
      </c>
    </row>
    <row r="395" spans="2:2" ht="16" customHeight="1">
      <c r="B395" s="110" t="s">
        <v>829</v>
      </c>
    </row>
    <row r="396" spans="2:2" ht="16" customHeight="1">
      <c r="B396" s="110" t="s">
        <v>830</v>
      </c>
    </row>
    <row r="397" spans="2:2" ht="16" customHeight="1">
      <c r="B397" s="110" t="s">
        <v>831</v>
      </c>
    </row>
    <row r="398" spans="2:2" ht="16" customHeight="1">
      <c r="B398" s="110" t="s">
        <v>832</v>
      </c>
    </row>
    <row r="399" spans="2:2" ht="16" customHeight="1">
      <c r="B399" s="110" t="s">
        <v>833</v>
      </c>
    </row>
    <row r="400" spans="2:2" ht="16" customHeight="1">
      <c r="B400" s="110" t="s">
        <v>834</v>
      </c>
    </row>
    <row r="401" spans="2:2" ht="16" customHeight="1">
      <c r="B401" s="110" t="s">
        <v>835</v>
      </c>
    </row>
    <row r="402" spans="2:2">
      <c r="B402" s="90" t="s">
        <v>836</v>
      </c>
    </row>
    <row r="405" spans="2:2" ht="19" customHeight="1">
      <c r="B405" s="120" t="s">
        <v>837</v>
      </c>
    </row>
    <row r="406" spans="2:2" ht="19" customHeight="1">
      <c r="B406" s="120"/>
    </row>
    <row r="407" spans="2:2">
      <c r="B407" s="90" t="s">
        <v>838</v>
      </c>
    </row>
    <row r="408" spans="2:2">
      <c r="B408" s="90" t="s">
        <v>839</v>
      </c>
    </row>
    <row r="409" spans="2:2">
      <c r="B409" s="90" t="s">
        <v>840</v>
      </c>
    </row>
    <row r="410" spans="2:2">
      <c r="B410" s="90" t="s">
        <v>841</v>
      </c>
    </row>
    <row r="411" spans="2:2">
      <c r="B411" s="90" t="s">
        <v>842</v>
      </c>
    </row>
    <row r="412" spans="2:2">
      <c r="B412" s="90" t="s">
        <v>843</v>
      </c>
    </row>
    <row r="413" spans="2:2">
      <c r="B413" s="90" t="s">
        <v>844</v>
      </c>
    </row>
    <row r="414" spans="2:2">
      <c r="B414" s="90" t="s">
        <v>845</v>
      </c>
    </row>
    <row r="415" spans="2:2">
      <c r="B415" s="90" t="s">
        <v>846</v>
      </c>
    </row>
    <row r="418" spans="2:2" ht="19" customHeight="1">
      <c r="B418" s="120" t="s">
        <v>847</v>
      </c>
    </row>
    <row r="419" spans="2:2" ht="19" customHeight="1">
      <c r="B419" s="120"/>
    </row>
    <row r="420" spans="2:2">
      <c r="B420" s="90" t="s">
        <v>848</v>
      </c>
    </row>
    <row r="421" spans="2:2">
      <c r="B421" s="93" t="s">
        <v>849</v>
      </c>
    </row>
    <row r="422" spans="2:2">
      <c r="B422" s="90" t="s">
        <v>850</v>
      </c>
    </row>
    <row r="423" spans="2:2">
      <c r="B423" s="90" t="s">
        <v>851</v>
      </c>
    </row>
    <row r="424" spans="2:2">
      <c r="B424" s="90" t="s">
        <v>852</v>
      </c>
    </row>
    <row r="425" spans="2:2">
      <c r="B425" s="90" t="s">
        <v>853</v>
      </c>
    </row>
    <row r="426" spans="2:2">
      <c r="B426" s="90" t="s">
        <v>854</v>
      </c>
    </row>
    <row r="427" spans="2:2">
      <c r="B427" s="93" t="s">
        <v>855</v>
      </c>
    </row>
    <row r="428" spans="2:2">
      <c r="B428" s="90" t="s">
        <v>856</v>
      </c>
    </row>
    <row r="429" spans="2:2">
      <c r="B429" s="90" t="s">
        <v>857</v>
      </c>
    </row>
    <row r="430" spans="2:2">
      <c r="B430" s="90" t="s">
        <v>858</v>
      </c>
    </row>
    <row r="431" spans="2:2">
      <c r="B431" s="90" t="s">
        <v>859</v>
      </c>
    </row>
    <row r="432" spans="2:2">
      <c r="B432" s="90" t="s">
        <v>860</v>
      </c>
    </row>
    <row r="435" spans="2:2" ht="19" customHeight="1">
      <c r="B435" s="120" t="s">
        <v>861</v>
      </c>
    </row>
    <row r="437" spans="2:2">
      <c r="B437" s="90" t="s">
        <v>862</v>
      </c>
    </row>
    <row r="438" spans="2:2">
      <c r="B438" s="90" t="s">
        <v>863</v>
      </c>
    </row>
    <row r="439" spans="2:2">
      <c r="B439" s="90" t="s">
        <v>864</v>
      </c>
    </row>
    <row r="440" spans="2:2">
      <c r="B440" s="90" t="s">
        <v>865</v>
      </c>
    </row>
    <row r="441" spans="2:2">
      <c r="B441" s="90" t="s">
        <v>866</v>
      </c>
    </row>
    <row r="442" spans="2:2">
      <c r="B442" s="90" t="s">
        <v>867</v>
      </c>
    </row>
    <row r="443" spans="2:2">
      <c r="B443" s="90" t="s">
        <v>868</v>
      </c>
    </row>
    <row r="444" spans="2:2">
      <c r="B444" s="90" t="s">
        <v>869</v>
      </c>
    </row>
    <row r="445" spans="2:2">
      <c r="B445" s="90" t="s">
        <v>870</v>
      </c>
    </row>
    <row r="448" spans="2:2" ht="19" customHeight="1">
      <c r="B448" s="120" t="s">
        <v>871</v>
      </c>
    </row>
    <row r="450" spans="2:2">
      <c r="B450" s="90" t="s">
        <v>872</v>
      </c>
    </row>
    <row r="452" spans="2:2" ht="16" customHeight="1">
      <c r="B452" s="110" t="s">
        <v>873</v>
      </c>
    </row>
    <row r="453" spans="2:2" ht="16" customHeight="1">
      <c r="B453" s="110" t="s">
        <v>874</v>
      </c>
    </row>
    <row r="454" spans="2:2" ht="16" customHeight="1">
      <c r="B454" s="110" t="s">
        <v>875</v>
      </c>
    </row>
    <row r="455" spans="2:2" ht="16" customHeight="1">
      <c r="B455" s="110" t="s">
        <v>876</v>
      </c>
    </row>
    <row r="456" spans="2:2" ht="16" customHeight="1">
      <c r="B456" s="110" t="s">
        <v>877</v>
      </c>
    </row>
    <row r="457" spans="2:2" ht="16" customHeight="1">
      <c r="B457" s="110" t="s">
        <v>874</v>
      </c>
    </row>
    <row r="458" spans="2:2" ht="16" customHeight="1">
      <c r="B458" s="110" t="s">
        <v>875</v>
      </c>
    </row>
    <row r="459" spans="2:2" ht="16" customHeight="1">
      <c r="B459" s="110" t="s">
        <v>878</v>
      </c>
    </row>
    <row r="460" spans="2:2" ht="16" customHeight="1">
      <c r="B460" s="110" t="s">
        <v>874</v>
      </c>
    </row>
    <row r="461" spans="2:2" ht="16" customHeight="1">
      <c r="B461" s="110" t="s">
        <v>879</v>
      </c>
    </row>
    <row r="462" spans="2:2" ht="16" customHeight="1">
      <c r="B462" s="110" t="s">
        <v>880</v>
      </c>
    </row>
    <row r="463" spans="2:2" ht="16" customHeight="1">
      <c r="B463" s="110" t="s">
        <v>881</v>
      </c>
    </row>
    <row r="464" spans="2:2" ht="16" customHeight="1">
      <c r="B464" s="110" t="s">
        <v>882</v>
      </c>
    </row>
    <row r="465" spans="2:2" ht="16" customHeight="1">
      <c r="B465" s="110" t="s">
        <v>883</v>
      </c>
    </row>
    <row r="466" spans="2:2" ht="16" customHeight="1">
      <c r="B466" s="110" t="s">
        <v>884</v>
      </c>
    </row>
    <row r="468" spans="2:2">
      <c r="B468" s="90" t="s">
        <v>885</v>
      </c>
    </row>
    <row r="471" spans="2:2" ht="19" customHeight="1">
      <c r="B471" s="120" t="s">
        <v>886</v>
      </c>
    </row>
    <row r="473" spans="2:2">
      <c r="B473" s="90" t="s">
        <v>887</v>
      </c>
    </row>
    <row r="474" spans="2:2">
      <c r="B474" s="90" t="s">
        <v>888</v>
      </c>
    </row>
    <row r="475" spans="2:2">
      <c r="B475" s="93" t="s">
        <v>889</v>
      </c>
    </row>
    <row r="476" spans="2:2">
      <c r="B476" s="93" t="s">
        <v>890</v>
      </c>
    </row>
    <row r="477" spans="2:2">
      <c r="B477" s="93" t="s">
        <v>891</v>
      </c>
    </row>
    <row r="478" spans="2:2">
      <c r="B478" s="93" t="s">
        <v>892</v>
      </c>
    </row>
    <row r="479" spans="2:2">
      <c r="B479" s="93" t="s">
        <v>893</v>
      </c>
    </row>
    <row r="481" spans="2:2">
      <c r="B481" s="90" t="s">
        <v>894</v>
      </c>
    </row>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114"/>
  <sheetViews>
    <sheetView topLeftCell="A105" zoomScale="120" zoomScaleNormal="120" workbookViewId="0">
      <selection activeCell="B106" sqref="B106"/>
    </sheetView>
  </sheetViews>
  <sheetFormatPr baseColWidth="10" defaultColWidth="8.83203125" defaultRowHeight="15"/>
  <cols>
    <col min="2" max="2" width="21.83203125" customWidth="1"/>
    <col min="3" max="6" width="34.83203125" customWidth="1"/>
  </cols>
  <sheetData>
    <row r="2" spans="1:2" ht="21" customHeight="1">
      <c r="A2" t="s">
        <v>551</v>
      </c>
      <c r="B2" t="s">
        <v>895</v>
      </c>
    </row>
    <row r="3" spans="1:2" ht="21" customHeight="1">
      <c r="A3" t="s">
        <v>553</v>
      </c>
      <c r="B3" t="s">
        <v>896</v>
      </c>
    </row>
    <row r="5" spans="1:2" ht="21" customHeight="1">
      <c r="B5" s="60" t="s">
        <v>897</v>
      </c>
    </row>
    <row r="7" spans="1:2" ht="21" customHeight="1">
      <c r="B7" t="s">
        <v>898</v>
      </c>
    </row>
    <row r="8" spans="1:2" ht="21" customHeight="1">
      <c r="B8" t="s">
        <v>899</v>
      </c>
    </row>
    <row r="10" spans="1:2" ht="21" customHeight="1">
      <c r="B10" s="61" t="s">
        <v>900</v>
      </c>
    </row>
    <row r="12" spans="1:2" ht="21" customHeight="1">
      <c r="B12" t="s">
        <v>901</v>
      </c>
    </row>
    <row r="13" spans="1:2" ht="21" customHeight="1">
      <c r="B13" s="68" t="s">
        <v>902</v>
      </c>
    </row>
    <row r="14" spans="1:2" ht="21" customHeight="1">
      <c r="B14" t="s">
        <v>903</v>
      </c>
    </row>
    <row r="16" spans="1:2" ht="21" customHeight="1">
      <c r="B16" t="s">
        <v>904</v>
      </c>
    </row>
    <row r="18" spans="2:3" ht="21" customHeight="1">
      <c r="B18" s="61" t="s">
        <v>905</v>
      </c>
      <c r="C18" s="61" t="s">
        <v>906</v>
      </c>
    </row>
    <row r="19" spans="2:3" ht="21" customHeight="1">
      <c r="B19" t="s">
        <v>907</v>
      </c>
      <c r="C19" t="s">
        <v>104</v>
      </c>
    </row>
    <row r="20" spans="2:3" ht="21" customHeight="1">
      <c r="B20" t="s">
        <v>908</v>
      </c>
      <c r="C20" t="s">
        <v>909</v>
      </c>
    </row>
    <row r="21" spans="2:3" ht="21" customHeight="1">
      <c r="B21" t="s">
        <v>910</v>
      </c>
      <c r="C21" t="s">
        <v>111</v>
      </c>
    </row>
    <row r="22" spans="2:3" ht="21" customHeight="1">
      <c r="B22" t="s">
        <v>911</v>
      </c>
      <c r="C22" t="s">
        <v>111</v>
      </c>
    </row>
    <row r="23" spans="2:3" ht="21" customHeight="1">
      <c r="B23" t="s">
        <v>912</v>
      </c>
      <c r="C23" t="s">
        <v>118</v>
      </c>
    </row>
    <row r="24" spans="2:3" ht="21" customHeight="1">
      <c r="B24" t="s">
        <v>913</v>
      </c>
      <c r="C24" t="s">
        <v>125</v>
      </c>
    </row>
    <row r="26" spans="2:3" ht="21" customHeight="1">
      <c r="B26" t="s">
        <v>914</v>
      </c>
    </row>
    <row r="29" spans="2:3" ht="21" customHeight="1">
      <c r="B29" s="60" t="s">
        <v>915</v>
      </c>
    </row>
    <row r="31" spans="2:3" ht="21" customHeight="1">
      <c r="B31" t="s">
        <v>916</v>
      </c>
    </row>
    <row r="33" spans="2:2" s="69" customFormat="1" ht="21" customHeight="1">
      <c r="B33" s="70" t="s">
        <v>123</v>
      </c>
    </row>
    <row r="35" spans="2:2" ht="21" customHeight="1">
      <c r="B35" t="s">
        <v>917</v>
      </c>
    </row>
    <row r="36" spans="2:2" ht="21" customHeight="1">
      <c r="B36" t="s">
        <v>918</v>
      </c>
    </row>
    <row r="37" spans="2:2" ht="21" customHeight="1">
      <c r="B37" t="s">
        <v>919</v>
      </c>
    </row>
    <row r="38" spans="2:2" ht="21" customHeight="1">
      <c r="B38" t="s">
        <v>920</v>
      </c>
    </row>
    <row r="39" spans="2:2" ht="21" customHeight="1">
      <c r="B39" t="s">
        <v>921</v>
      </c>
    </row>
    <row r="40" spans="2:2" ht="21" customHeight="1">
      <c r="B40" t="s">
        <v>922</v>
      </c>
    </row>
    <row r="41" spans="2:2" ht="21" customHeight="1">
      <c r="B41" t="s">
        <v>923</v>
      </c>
    </row>
    <row r="42" spans="2:2" ht="21" customHeight="1">
      <c r="B42" t="s">
        <v>924</v>
      </c>
    </row>
    <row r="43" spans="2:2" ht="21" customHeight="1">
      <c r="B43" t="s">
        <v>925</v>
      </c>
    </row>
    <row r="44" spans="2:2" ht="21" customHeight="1">
      <c r="B44" t="s">
        <v>926</v>
      </c>
    </row>
    <row r="46" spans="2:2" ht="21" customHeight="1">
      <c r="B46" t="s">
        <v>927</v>
      </c>
    </row>
    <row r="47" spans="2:2" ht="21" customHeight="1">
      <c r="B47" t="s">
        <v>928</v>
      </c>
    </row>
    <row r="49" spans="2:7" ht="21" customHeight="1">
      <c r="B49" t="s">
        <v>929</v>
      </c>
    </row>
    <row r="51" spans="2:7" s="69" customFormat="1" ht="21" customHeight="1">
      <c r="B51" s="60" t="s">
        <v>281</v>
      </c>
      <c r="C51" s="60" t="s">
        <v>282</v>
      </c>
    </row>
    <row r="52" spans="2:7" ht="21" customHeight="1">
      <c r="B52" s="71" t="s">
        <v>159</v>
      </c>
      <c r="C52" s="71" t="s">
        <v>287</v>
      </c>
      <c r="F52" s="69"/>
      <c r="G52" s="69"/>
    </row>
    <row r="53" spans="2:7" ht="21" customHeight="1">
      <c r="B53" s="72" t="s">
        <v>170</v>
      </c>
      <c r="C53" s="72" t="s">
        <v>292</v>
      </c>
      <c r="F53" s="69"/>
      <c r="G53" s="69"/>
    </row>
    <row r="54" spans="2:7" ht="21" customHeight="1">
      <c r="B54" s="73" t="s">
        <v>180</v>
      </c>
      <c r="C54" s="73" t="s">
        <v>296</v>
      </c>
      <c r="F54" s="69"/>
      <c r="G54" s="69"/>
    </row>
    <row r="55" spans="2:7" ht="21" customHeight="1">
      <c r="B55" s="74" t="s">
        <v>299</v>
      </c>
      <c r="C55" s="74" t="s">
        <v>300</v>
      </c>
      <c r="F55" s="69"/>
      <c r="G55" s="69"/>
    </row>
    <row r="56" spans="2:7" ht="21" customHeight="1">
      <c r="B56" s="75" t="s">
        <v>212</v>
      </c>
      <c r="C56" s="75" t="s">
        <v>306</v>
      </c>
      <c r="F56" s="69"/>
      <c r="G56" s="69"/>
    </row>
    <row r="57" spans="2:7" ht="16.5" customHeight="1">
      <c r="F57" s="69"/>
      <c r="G57" s="69"/>
    </row>
    <row r="58" spans="2:7" ht="21" customHeight="1">
      <c r="B58" t="s">
        <v>930</v>
      </c>
    </row>
    <row r="61" spans="2:7" ht="21" customHeight="1">
      <c r="B61" s="60" t="s">
        <v>931</v>
      </c>
    </row>
    <row r="63" spans="2:7" ht="21" customHeight="1">
      <c r="B63" t="s">
        <v>932</v>
      </c>
    </row>
    <row r="64" spans="2:7" ht="21" customHeight="1">
      <c r="B64" t="s">
        <v>933</v>
      </c>
    </row>
    <row r="65" spans="2:3" ht="21" customHeight="1">
      <c r="B65" t="s">
        <v>934</v>
      </c>
    </row>
    <row r="66" spans="2:3" ht="21" customHeight="1">
      <c r="B66" t="s">
        <v>935</v>
      </c>
    </row>
    <row r="67" spans="2:3" ht="21" customHeight="1">
      <c r="B67" t="s">
        <v>936</v>
      </c>
    </row>
    <row r="68" spans="2:3" ht="21" customHeight="1">
      <c r="B68" t="s">
        <v>937</v>
      </c>
    </row>
    <row r="69" spans="2:3" ht="21" customHeight="1">
      <c r="B69" t="s">
        <v>938</v>
      </c>
    </row>
    <row r="70" spans="2:3" ht="21" customHeight="1">
      <c r="B70" t="s">
        <v>939</v>
      </c>
    </row>
    <row r="72" spans="2:3" ht="21" customHeight="1">
      <c r="B72" t="s">
        <v>940</v>
      </c>
    </row>
    <row r="73" spans="2:3" ht="21" customHeight="1">
      <c r="B73" s="68" t="s">
        <v>941</v>
      </c>
    </row>
    <row r="74" spans="2:3" ht="21" customHeight="1">
      <c r="B74" s="68" t="s">
        <v>942</v>
      </c>
    </row>
    <row r="75" spans="2:3" ht="21" customHeight="1">
      <c r="B75" s="68" t="s">
        <v>943</v>
      </c>
    </row>
    <row r="76" spans="2:3" ht="21" customHeight="1">
      <c r="B76" s="68" t="s">
        <v>944</v>
      </c>
    </row>
    <row r="78" spans="2:3" ht="21" customHeight="1">
      <c r="B78" t="s">
        <v>945</v>
      </c>
    </row>
    <row r="80" spans="2:3" ht="21" customHeight="1">
      <c r="B80" s="61" t="s">
        <v>946</v>
      </c>
      <c r="C80" s="61" t="s">
        <v>145</v>
      </c>
    </row>
    <row r="81" spans="2:3" ht="21" customHeight="1">
      <c r="B81" t="s">
        <v>947</v>
      </c>
      <c r="C81" t="s">
        <v>948</v>
      </c>
    </row>
    <row r="82" spans="2:3" ht="21" customHeight="1">
      <c r="B82" t="s">
        <v>949</v>
      </c>
      <c r="C82" t="s">
        <v>950</v>
      </c>
    </row>
    <row r="83" spans="2:3" ht="21" customHeight="1">
      <c r="B83" t="s">
        <v>951</v>
      </c>
      <c r="C83" t="s">
        <v>952</v>
      </c>
    </row>
    <row r="84" spans="2:3" ht="21" customHeight="1">
      <c r="B84" t="s">
        <v>953</v>
      </c>
      <c r="C84" t="s">
        <v>954</v>
      </c>
    </row>
    <row r="86" spans="2:3" ht="21" customHeight="1">
      <c r="B86" t="s">
        <v>955</v>
      </c>
    </row>
    <row r="87" spans="2:3" ht="21" customHeight="1">
      <c r="B87" s="68" t="s">
        <v>956</v>
      </c>
    </row>
    <row r="89" spans="2:3" ht="21" customHeight="1">
      <c r="B89" t="s">
        <v>957</v>
      </c>
    </row>
    <row r="90" spans="2:3" ht="21" customHeight="1">
      <c r="B90" t="s">
        <v>958</v>
      </c>
    </row>
    <row r="92" spans="2:3" ht="21" customHeight="1">
      <c r="B92" t="s">
        <v>959</v>
      </c>
    </row>
    <row r="94" spans="2:3" ht="21" customHeight="1">
      <c r="B94" s="68" t="s">
        <v>960</v>
      </c>
    </row>
    <row r="95" spans="2:3" ht="21" customHeight="1">
      <c r="B95" s="68" t="s">
        <v>961</v>
      </c>
    </row>
    <row r="96" spans="2:3" ht="21" customHeight="1">
      <c r="B96" s="68" t="s">
        <v>962</v>
      </c>
    </row>
    <row r="97" spans="2:6" ht="21" customHeight="1">
      <c r="B97" s="68" t="s">
        <v>963</v>
      </c>
    </row>
    <row r="99" spans="2:6" ht="21" customHeight="1">
      <c r="B99" t="s">
        <v>964</v>
      </c>
    </row>
    <row r="101" spans="2:6" ht="21" customHeight="1">
      <c r="B101" s="68" t="s">
        <v>965</v>
      </c>
    </row>
    <row r="102" spans="2:6" ht="21" customHeight="1">
      <c r="B102" s="68" t="s">
        <v>966</v>
      </c>
    </row>
    <row r="103" spans="2:6" ht="21" customHeight="1">
      <c r="B103" s="68" t="s">
        <v>967</v>
      </c>
    </row>
    <row r="105" spans="2:6" ht="21" customHeight="1">
      <c r="B105" s="62" t="s">
        <v>968</v>
      </c>
      <c r="C105" s="62"/>
      <c r="D105" s="62"/>
      <c r="E105" s="62"/>
      <c r="F105" s="62"/>
    </row>
    <row r="106" spans="2:6" ht="54.75" customHeight="1">
      <c r="B106" s="63" t="s">
        <v>969</v>
      </c>
      <c r="C106" s="63" t="s">
        <v>970</v>
      </c>
      <c r="D106" s="63" t="s">
        <v>971</v>
      </c>
      <c r="E106" s="63" t="s">
        <v>466</v>
      </c>
      <c r="F106" s="63" t="s">
        <v>972</v>
      </c>
    </row>
    <row r="107" spans="2:6" ht="54.75" customHeight="1">
      <c r="B107" s="8" t="s">
        <v>973</v>
      </c>
      <c r="C107" s="8" t="s">
        <v>974</v>
      </c>
      <c r="D107" s="8" t="s">
        <v>975</v>
      </c>
      <c r="E107" s="8" t="s">
        <v>976</v>
      </c>
      <c r="F107" s="8" t="s">
        <v>977</v>
      </c>
    </row>
    <row r="108" spans="2:6" ht="54.75" customHeight="1">
      <c r="B108" s="8" t="s">
        <v>978</v>
      </c>
      <c r="C108" s="8" t="s">
        <v>979</v>
      </c>
      <c r="D108" s="8" t="s">
        <v>980</v>
      </c>
      <c r="E108" s="8" t="s">
        <v>981</v>
      </c>
      <c r="F108" s="8" t="s">
        <v>982</v>
      </c>
    </row>
    <row r="109" spans="2:6" ht="54.75" customHeight="1">
      <c r="B109" s="8" t="s">
        <v>983</v>
      </c>
      <c r="C109" s="8" t="s">
        <v>984</v>
      </c>
      <c r="D109" s="8" t="s">
        <v>985</v>
      </c>
      <c r="E109" s="8" t="s">
        <v>986</v>
      </c>
      <c r="F109" s="8" t="s">
        <v>987</v>
      </c>
    </row>
    <row r="110" spans="2:6" ht="54.75" customHeight="1">
      <c r="B110" s="8" t="s">
        <v>988</v>
      </c>
      <c r="C110" s="8" t="s">
        <v>989</v>
      </c>
      <c r="D110" s="8" t="s">
        <v>990</v>
      </c>
      <c r="E110" s="8" t="s">
        <v>991</v>
      </c>
      <c r="F110" s="8" t="s">
        <v>992</v>
      </c>
    </row>
    <row r="111" spans="2:6" ht="54.75" customHeight="1">
      <c r="B111" s="8" t="s">
        <v>993</v>
      </c>
      <c r="C111" s="8" t="s">
        <v>994</v>
      </c>
      <c r="D111" s="8" t="s">
        <v>995</v>
      </c>
      <c r="E111" s="8" t="s">
        <v>996</v>
      </c>
      <c r="F111" s="8" t="s">
        <v>997</v>
      </c>
    </row>
    <row r="112" spans="2:6" ht="54.75" customHeight="1">
      <c r="B112" s="8" t="s">
        <v>998</v>
      </c>
      <c r="C112" s="8" t="s">
        <v>999</v>
      </c>
      <c r="D112" s="8" t="s">
        <v>1000</v>
      </c>
      <c r="E112" s="8" t="s">
        <v>1001</v>
      </c>
      <c r="F112" s="8" t="s">
        <v>1002</v>
      </c>
    </row>
    <row r="113" spans="2:6" ht="54.75" customHeight="1">
      <c r="B113" s="8" t="s">
        <v>1003</v>
      </c>
      <c r="C113" s="8" t="s">
        <v>1004</v>
      </c>
      <c r="D113" s="8" t="s">
        <v>1005</v>
      </c>
      <c r="E113" s="8" t="s">
        <v>1006</v>
      </c>
      <c r="F113" s="8" t="s">
        <v>1007</v>
      </c>
    </row>
    <row r="114" spans="2:6" ht="54.75" customHeight="1">
      <c r="B114" s="64" t="s">
        <v>1008</v>
      </c>
      <c r="C114" s="64" t="s">
        <v>1009</v>
      </c>
      <c r="D114" s="64" t="s">
        <v>1010</v>
      </c>
      <c r="E114" s="64" t="s">
        <v>1011</v>
      </c>
      <c r="F114" s="64" t="s">
        <v>1012</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0"/>
  <sheetViews>
    <sheetView zoomScale="120" zoomScaleNormal="120" workbookViewId="0">
      <selection activeCell="A2" sqref="A2"/>
    </sheetView>
  </sheetViews>
  <sheetFormatPr baseColWidth="10" defaultColWidth="8.83203125" defaultRowHeight="15"/>
  <cols>
    <col min="1" max="2" width="21.83203125" customWidth="1"/>
    <col min="3" max="5" width="34.83203125" customWidth="1"/>
    <col min="6" max="6" width="21.83203125" customWidth="1"/>
  </cols>
  <sheetData>
    <row r="1" spans="1:6" ht="33.75" customHeight="1">
      <c r="A1" s="131" t="s">
        <v>1013</v>
      </c>
      <c r="B1" s="126"/>
      <c r="C1" s="126"/>
      <c r="D1" s="126"/>
      <c r="E1" s="126"/>
      <c r="F1" s="126"/>
    </row>
    <row r="2" spans="1:6" ht="21" customHeight="1">
      <c r="A2" s="76" t="s">
        <v>1014</v>
      </c>
      <c r="B2" s="86" t="s">
        <v>1015</v>
      </c>
      <c r="C2" s="77"/>
      <c r="D2" s="77"/>
      <c r="E2" s="77"/>
      <c r="F2" s="77"/>
    </row>
    <row r="3" spans="1:6" ht="21" customHeight="1">
      <c r="A3" s="76" t="s">
        <v>1016</v>
      </c>
      <c r="B3" s="86" t="s">
        <v>1017</v>
      </c>
      <c r="C3" s="77"/>
      <c r="D3" s="77"/>
      <c r="E3" s="77"/>
      <c r="F3" s="77"/>
    </row>
    <row r="4" spans="1:6" ht="21" customHeight="1">
      <c r="A4" s="77"/>
      <c r="B4" s="77"/>
      <c r="C4" s="77"/>
      <c r="D4" s="77"/>
      <c r="E4" s="77"/>
      <c r="F4" s="77"/>
    </row>
    <row r="5" spans="1:6" ht="33.75" customHeight="1">
      <c r="A5" s="78" t="s">
        <v>1018</v>
      </c>
      <c r="B5" s="78" t="s">
        <v>395</v>
      </c>
      <c r="C5" s="78" t="s">
        <v>396</v>
      </c>
      <c r="D5" s="78" t="s">
        <v>1019</v>
      </c>
      <c r="E5" s="78" t="s">
        <v>1020</v>
      </c>
      <c r="F5" s="78" t="s">
        <v>1021</v>
      </c>
    </row>
    <row r="6" spans="1:6" ht="54.75" customHeight="1">
      <c r="A6" s="77" t="s">
        <v>1022</v>
      </c>
      <c r="B6" s="77" t="s">
        <v>1023</v>
      </c>
      <c r="C6" s="77" t="s">
        <v>1024</v>
      </c>
      <c r="D6" s="77" t="s">
        <v>1025</v>
      </c>
      <c r="E6" s="77" t="s">
        <v>1026</v>
      </c>
      <c r="F6" s="77" t="s">
        <v>496</v>
      </c>
    </row>
    <row r="7" spans="1:6" ht="54.75" customHeight="1">
      <c r="A7" s="77" t="s">
        <v>1027</v>
      </c>
      <c r="B7" s="77" t="s">
        <v>1028</v>
      </c>
      <c r="C7" s="77" t="s">
        <v>1029</v>
      </c>
      <c r="D7" s="77" t="s">
        <v>1030</v>
      </c>
      <c r="E7" s="77" t="s">
        <v>1031</v>
      </c>
      <c r="F7" s="77" t="s">
        <v>496</v>
      </c>
    </row>
    <row r="8" spans="1:6" ht="54.75" customHeight="1">
      <c r="A8" s="77" t="s">
        <v>132</v>
      </c>
      <c r="B8" s="77" t="s">
        <v>1032</v>
      </c>
      <c r="C8" s="77" t="s">
        <v>1033</v>
      </c>
      <c r="D8" s="77" t="s">
        <v>1034</v>
      </c>
      <c r="E8" s="77" t="s">
        <v>1035</v>
      </c>
      <c r="F8" s="77" t="s">
        <v>516</v>
      </c>
    </row>
    <row r="9" spans="1:6" ht="54.75" customHeight="1">
      <c r="A9" s="77" t="s">
        <v>1036</v>
      </c>
      <c r="B9" s="77" t="s">
        <v>1037</v>
      </c>
      <c r="C9" s="77" t="s">
        <v>1038</v>
      </c>
      <c r="D9" s="77" t="s">
        <v>1039</v>
      </c>
      <c r="E9" s="77" t="s">
        <v>1040</v>
      </c>
      <c r="F9" s="77" t="s">
        <v>516</v>
      </c>
    </row>
    <row r="10" spans="1:6" ht="54.75" customHeight="1">
      <c r="A10" s="77" t="s">
        <v>1041</v>
      </c>
      <c r="B10" s="77" t="s">
        <v>1037</v>
      </c>
      <c r="C10" s="77" t="s">
        <v>1042</v>
      </c>
      <c r="D10" s="77" t="s">
        <v>1043</v>
      </c>
      <c r="E10" s="77" t="s">
        <v>1044</v>
      </c>
      <c r="F10" s="77" t="s">
        <v>516</v>
      </c>
    </row>
    <row r="11" spans="1:6" ht="54.75" customHeight="1">
      <c r="A11" s="77" t="s">
        <v>1045</v>
      </c>
      <c r="B11" s="77" t="s">
        <v>1037</v>
      </c>
      <c r="C11" s="77" t="s">
        <v>1046</v>
      </c>
      <c r="D11" s="77" t="s">
        <v>1047</v>
      </c>
      <c r="E11" s="77" t="s">
        <v>1048</v>
      </c>
      <c r="F11" s="77" t="s">
        <v>496</v>
      </c>
    </row>
    <row r="12" spans="1:6" ht="54.75" customHeight="1">
      <c r="A12" s="77" t="s">
        <v>1049</v>
      </c>
      <c r="B12" s="77" t="s">
        <v>1037</v>
      </c>
      <c r="C12" s="77" t="s">
        <v>1050</v>
      </c>
      <c r="D12" s="77" t="s">
        <v>1051</v>
      </c>
      <c r="E12" s="77" t="s">
        <v>1052</v>
      </c>
      <c r="F12" s="77" t="s">
        <v>516</v>
      </c>
    </row>
    <row r="13" spans="1:6" ht="54.75" customHeight="1">
      <c r="A13" s="77" t="s">
        <v>1053</v>
      </c>
      <c r="B13" s="77" t="s">
        <v>1054</v>
      </c>
      <c r="C13" s="77" t="s">
        <v>1055</v>
      </c>
      <c r="D13" s="77" t="s">
        <v>1056</v>
      </c>
      <c r="E13" s="77" t="s">
        <v>1057</v>
      </c>
      <c r="F13" s="77" t="s">
        <v>477</v>
      </c>
    </row>
    <row r="14" spans="1:6" ht="54.75" customHeight="1">
      <c r="A14" s="77" t="s">
        <v>1058</v>
      </c>
      <c r="B14" s="77" t="s">
        <v>1054</v>
      </c>
      <c r="C14" s="77" t="s">
        <v>1059</v>
      </c>
      <c r="D14" s="77" t="s">
        <v>1060</v>
      </c>
      <c r="E14" s="77" t="s">
        <v>1061</v>
      </c>
      <c r="F14" s="77" t="s">
        <v>477</v>
      </c>
    </row>
    <row r="15" spans="1:6" ht="54.75" customHeight="1">
      <c r="A15" s="77" t="s">
        <v>1062</v>
      </c>
      <c r="B15" s="77" t="s">
        <v>1054</v>
      </c>
      <c r="C15" s="77" t="s">
        <v>1063</v>
      </c>
      <c r="D15" s="77" t="s">
        <v>1064</v>
      </c>
      <c r="E15" s="77" t="s">
        <v>1065</v>
      </c>
      <c r="F15" s="77" t="s">
        <v>496</v>
      </c>
    </row>
    <row r="16" spans="1:6" ht="21" customHeight="1">
      <c r="A16" s="77"/>
      <c r="B16" s="77"/>
      <c r="C16" s="77"/>
      <c r="D16" s="77"/>
      <c r="E16" s="77"/>
      <c r="F16" s="77"/>
    </row>
    <row r="17" spans="1:6" ht="21" customHeight="1">
      <c r="A17" s="79" t="s">
        <v>1066</v>
      </c>
      <c r="B17" s="80" t="s">
        <v>2</v>
      </c>
      <c r="C17" s="80"/>
      <c r="D17" s="80"/>
      <c r="E17" s="80"/>
      <c r="F17" s="79"/>
    </row>
    <row r="18" spans="1:6" ht="21" customHeight="1">
      <c r="A18" s="77" t="s">
        <v>1067</v>
      </c>
      <c r="B18" s="77" t="s">
        <v>104</v>
      </c>
      <c r="C18" s="77"/>
      <c r="D18" s="77"/>
      <c r="E18" s="77"/>
      <c r="F18" s="77"/>
    </row>
    <row r="19" spans="1:6" ht="21" customHeight="1">
      <c r="A19" s="77" t="s">
        <v>1068</v>
      </c>
      <c r="B19" s="77" t="s">
        <v>180</v>
      </c>
      <c r="C19" s="77"/>
      <c r="D19" s="77"/>
      <c r="E19" s="77"/>
      <c r="F19" s="77"/>
    </row>
    <row r="20" spans="1:6" ht="21" customHeight="1">
      <c r="A20" s="77" t="s">
        <v>1069</v>
      </c>
      <c r="B20" s="77">
        <v>0</v>
      </c>
      <c r="C20" s="77"/>
      <c r="D20" s="77"/>
      <c r="E20" s="77"/>
      <c r="F20" s="77"/>
    </row>
    <row r="21" spans="1:6" ht="21" customHeight="1">
      <c r="A21" s="77" t="s">
        <v>1070</v>
      </c>
      <c r="B21" s="77">
        <v>1</v>
      </c>
      <c r="C21" s="77"/>
      <c r="D21" s="77"/>
      <c r="E21" s="77"/>
      <c r="F21" s="77"/>
    </row>
    <row r="22" spans="1:6" ht="21" customHeight="1">
      <c r="A22" s="77" t="s">
        <v>1071</v>
      </c>
      <c r="B22" s="77">
        <v>1</v>
      </c>
      <c r="C22" s="77"/>
      <c r="D22" s="77"/>
      <c r="E22" s="77"/>
      <c r="F22" s="77"/>
    </row>
    <row r="23" spans="1:6" ht="21" customHeight="1">
      <c r="A23" s="77" t="s">
        <v>1072</v>
      </c>
      <c r="B23" s="77">
        <v>1</v>
      </c>
      <c r="C23" s="77"/>
      <c r="D23" s="77"/>
      <c r="E23" s="77"/>
      <c r="F23" s="77"/>
    </row>
    <row r="24" spans="1:6" ht="21" customHeight="1">
      <c r="A24" s="77" t="s">
        <v>1073</v>
      </c>
      <c r="B24" s="77">
        <v>0</v>
      </c>
      <c r="C24" s="77"/>
      <c r="D24" s="77"/>
      <c r="E24" s="77"/>
      <c r="F24" s="77"/>
    </row>
    <row r="25" spans="1:6" ht="21" customHeight="1">
      <c r="A25" s="77" t="s">
        <v>1074</v>
      </c>
      <c r="B25" s="77">
        <v>1</v>
      </c>
      <c r="C25" s="77"/>
      <c r="D25" s="77"/>
      <c r="E25" s="77"/>
      <c r="F25" s="77"/>
    </row>
    <row r="26" spans="1:6" ht="21" customHeight="1">
      <c r="A26" s="77" t="s">
        <v>1075</v>
      </c>
      <c r="B26" s="77">
        <v>1</v>
      </c>
      <c r="C26" s="77"/>
      <c r="D26" s="77"/>
      <c r="E26" s="77"/>
      <c r="F26" s="77"/>
    </row>
    <row r="27" spans="1:6" ht="21" customHeight="1">
      <c r="A27" s="77"/>
      <c r="B27" s="81"/>
      <c r="C27" s="81"/>
      <c r="D27" s="81"/>
      <c r="E27" s="81"/>
      <c r="F27" s="77"/>
    </row>
    <row r="28" spans="1:6" ht="21" customHeight="1">
      <c r="A28" s="79" t="s">
        <v>1076</v>
      </c>
      <c r="B28" s="80" t="s">
        <v>1077</v>
      </c>
      <c r="C28" s="80" t="s">
        <v>1078</v>
      </c>
      <c r="D28" s="80" t="s">
        <v>1079</v>
      </c>
      <c r="E28" s="80" t="s">
        <v>1080</v>
      </c>
      <c r="F28" s="79" t="s">
        <v>1081</v>
      </c>
    </row>
    <row r="29" spans="1:6" ht="21" customHeight="1">
      <c r="A29" s="77" t="s">
        <v>1082</v>
      </c>
      <c r="B29" s="81">
        <v>3500</v>
      </c>
      <c r="C29" s="81">
        <v>10000</v>
      </c>
      <c r="D29" s="81">
        <v>800</v>
      </c>
      <c r="E29" s="81">
        <v>2350</v>
      </c>
      <c r="F29" s="77" t="s">
        <v>1083</v>
      </c>
    </row>
    <row r="30" spans="1:6" ht="21" customHeight="1">
      <c r="A30" s="77"/>
      <c r="B30" s="77"/>
      <c r="C30" s="77"/>
      <c r="D30" s="77"/>
      <c r="E30" s="77"/>
      <c r="F30" s="77"/>
    </row>
    <row r="31" spans="1:6" ht="21" customHeight="1">
      <c r="A31" s="79" t="s">
        <v>1084</v>
      </c>
      <c r="B31" s="80" t="s">
        <v>1077</v>
      </c>
      <c r="C31" s="80" t="s">
        <v>1078</v>
      </c>
      <c r="D31" s="80" t="s">
        <v>1079</v>
      </c>
      <c r="E31" s="80" t="s">
        <v>1080</v>
      </c>
      <c r="F31" s="79" t="s">
        <v>1081</v>
      </c>
    </row>
    <row r="32" spans="1:6" ht="21" customHeight="1">
      <c r="A32" s="77" t="s">
        <v>159</v>
      </c>
      <c r="B32" s="81">
        <v>3000</v>
      </c>
      <c r="C32" s="81">
        <v>9750</v>
      </c>
      <c r="D32" s="81">
        <v>0</v>
      </c>
      <c r="E32" s="81">
        <v>0</v>
      </c>
      <c r="F32" s="77" t="s">
        <v>1085</v>
      </c>
    </row>
    <row r="33" spans="1:6" ht="21" customHeight="1">
      <c r="A33" s="77" t="s">
        <v>170</v>
      </c>
      <c r="B33" s="81">
        <v>3000</v>
      </c>
      <c r="C33" s="81">
        <v>9750</v>
      </c>
      <c r="D33" s="81">
        <v>250</v>
      </c>
      <c r="E33" s="81">
        <v>800</v>
      </c>
      <c r="F33" s="77" t="s">
        <v>1086</v>
      </c>
    </row>
    <row r="34" spans="1:6" ht="21" customHeight="1">
      <c r="A34" s="77" t="s">
        <v>180</v>
      </c>
      <c r="B34" s="81">
        <v>2000</v>
      </c>
      <c r="C34" s="81">
        <v>6500</v>
      </c>
      <c r="D34" s="81">
        <v>500</v>
      </c>
      <c r="E34" s="81">
        <v>1600</v>
      </c>
      <c r="F34" s="77" t="s">
        <v>1087</v>
      </c>
    </row>
    <row r="35" spans="1:6" ht="21" customHeight="1">
      <c r="A35" s="77" t="s">
        <v>191</v>
      </c>
      <c r="B35" s="81">
        <v>3000</v>
      </c>
      <c r="C35" s="81">
        <v>9750</v>
      </c>
      <c r="D35" s="81">
        <v>750</v>
      </c>
      <c r="E35" s="81">
        <v>2400</v>
      </c>
      <c r="F35" s="77" t="s">
        <v>1088</v>
      </c>
    </row>
    <row r="36" spans="1:6" ht="21" customHeight="1">
      <c r="A36" s="77" t="s">
        <v>202</v>
      </c>
      <c r="B36" s="81">
        <v>4000</v>
      </c>
      <c r="C36" s="81">
        <v>13000</v>
      </c>
      <c r="D36" s="81">
        <v>1000</v>
      </c>
      <c r="E36" s="81">
        <v>3200</v>
      </c>
      <c r="F36" s="77" t="s">
        <v>1089</v>
      </c>
    </row>
    <row r="37" spans="1:6" ht="21" customHeight="1">
      <c r="A37" s="77" t="s">
        <v>212</v>
      </c>
      <c r="B37" s="81">
        <v>6000</v>
      </c>
      <c r="C37" s="81">
        <v>19500</v>
      </c>
      <c r="D37" s="81">
        <v>1500</v>
      </c>
      <c r="E37" s="81">
        <v>4800</v>
      </c>
      <c r="F37" s="77" t="s">
        <v>1090</v>
      </c>
    </row>
    <row r="38" spans="1:6" ht="21" customHeight="1">
      <c r="A38" s="77"/>
      <c r="B38" s="81"/>
      <c r="C38" s="81"/>
      <c r="D38" s="81"/>
      <c r="E38" s="81"/>
      <c r="F38" s="77"/>
    </row>
    <row r="39" spans="1:6" ht="21" customHeight="1">
      <c r="A39" s="79" t="s">
        <v>1091</v>
      </c>
      <c r="B39" s="79" t="s">
        <v>1077</v>
      </c>
      <c r="C39" s="79" t="s">
        <v>1078</v>
      </c>
      <c r="D39" s="79" t="s">
        <v>1079</v>
      </c>
      <c r="E39" s="79" t="s">
        <v>1080</v>
      </c>
      <c r="F39" s="79" t="s">
        <v>1081</v>
      </c>
    </row>
    <row r="40" spans="1:6" ht="21" customHeight="1">
      <c r="A40" s="77" t="s">
        <v>159</v>
      </c>
      <c r="B40" s="81">
        <v>0</v>
      </c>
      <c r="C40" s="81">
        <v>0</v>
      </c>
      <c r="D40" s="81">
        <v>0</v>
      </c>
      <c r="E40" s="81">
        <v>0</v>
      </c>
      <c r="F40" s="77" t="s">
        <v>1092</v>
      </c>
    </row>
    <row r="41" spans="1:6" ht="21" customHeight="1">
      <c r="A41" s="77" t="s">
        <v>170</v>
      </c>
      <c r="B41" s="81">
        <v>0</v>
      </c>
      <c r="C41" s="81">
        <v>0</v>
      </c>
      <c r="D41" s="81">
        <v>0</v>
      </c>
      <c r="E41" s="81">
        <v>0</v>
      </c>
      <c r="F41" s="77" t="s">
        <v>1092</v>
      </c>
    </row>
    <row r="42" spans="1:6" ht="21" customHeight="1">
      <c r="A42" s="77" t="s">
        <v>180</v>
      </c>
      <c r="B42" s="81">
        <v>0</v>
      </c>
      <c r="C42" s="81">
        <v>0</v>
      </c>
      <c r="D42" s="81">
        <v>0</v>
      </c>
      <c r="E42" s="81">
        <v>0</v>
      </c>
      <c r="F42" s="77" t="s">
        <v>1092</v>
      </c>
    </row>
    <row r="43" spans="1:6" ht="21" customHeight="1">
      <c r="A43" s="77" t="s">
        <v>191</v>
      </c>
      <c r="B43" s="81">
        <v>0</v>
      </c>
      <c r="C43" s="81">
        <v>0</v>
      </c>
      <c r="D43" s="81">
        <v>0</v>
      </c>
      <c r="E43" s="81">
        <v>0</v>
      </c>
      <c r="F43" s="77" t="s">
        <v>1092</v>
      </c>
    </row>
    <row r="44" spans="1:6" ht="21" customHeight="1">
      <c r="A44" s="77" t="s">
        <v>202</v>
      </c>
      <c r="B44" s="81">
        <v>0</v>
      </c>
      <c r="C44" s="81">
        <v>0</v>
      </c>
      <c r="D44" s="81">
        <v>0</v>
      </c>
      <c r="E44" s="81">
        <v>0</v>
      </c>
      <c r="F44" s="77" t="s">
        <v>1092</v>
      </c>
    </row>
    <row r="45" spans="1:6" ht="21" customHeight="1">
      <c r="A45" s="77" t="s">
        <v>212</v>
      </c>
      <c r="B45" s="81">
        <v>0</v>
      </c>
      <c r="C45" s="81">
        <v>0</v>
      </c>
      <c r="D45" s="81">
        <v>0</v>
      </c>
      <c r="E45" s="81">
        <v>0</v>
      </c>
      <c r="F45" s="77" t="s">
        <v>1092</v>
      </c>
    </row>
    <row r="46" spans="1:6" ht="21" customHeight="1">
      <c r="A46" s="77"/>
      <c r="B46" s="81"/>
      <c r="C46" s="81"/>
      <c r="D46" s="81"/>
      <c r="E46" s="81"/>
      <c r="F46" s="77"/>
    </row>
    <row r="47" spans="1:6" ht="21" customHeight="1">
      <c r="A47" s="82" t="s">
        <v>1093</v>
      </c>
      <c r="B47" s="82"/>
      <c r="C47" s="82"/>
      <c r="D47" s="82"/>
      <c r="E47" s="82"/>
      <c r="F47" s="82"/>
    </row>
    <row r="48" spans="1:6" ht="21" customHeight="1">
      <c r="A48" s="76" t="s">
        <v>1094</v>
      </c>
      <c r="B48" s="83" t="s">
        <v>1095</v>
      </c>
      <c r="C48" s="83"/>
      <c r="D48" s="83"/>
      <c r="E48" s="83"/>
      <c r="F48" s="76"/>
    </row>
    <row r="49" spans="1:6" ht="21" customHeight="1">
      <c r="A49" s="76" t="s">
        <v>1096</v>
      </c>
      <c r="B49" s="83" t="s">
        <v>1097</v>
      </c>
      <c r="C49" s="83"/>
      <c r="D49" s="83"/>
      <c r="E49" s="83"/>
      <c r="F49" s="76"/>
    </row>
    <row r="50" spans="1:6" ht="21" customHeight="1">
      <c r="A50" s="76" t="s">
        <v>1098</v>
      </c>
      <c r="B50" s="83" t="s">
        <v>1099</v>
      </c>
      <c r="C50" s="83"/>
      <c r="D50" s="83"/>
      <c r="E50" s="83"/>
      <c r="F50" s="76"/>
    </row>
    <row r="51" spans="1:6" ht="21" customHeight="1">
      <c r="A51" s="77"/>
      <c r="B51" s="77"/>
      <c r="C51" s="77"/>
      <c r="D51" s="77"/>
      <c r="E51" s="77"/>
      <c r="F51" s="77"/>
    </row>
    <row r="52" spans="1:6" ht="21" customHeight="1">
      <c r="A52" s="77"/>
      <c r="B52" s="77"/>
      <c r="C52" s="77"/>
      <c r="D52" s="77"/>
      <c r="E52" s="77"/>
      <c r="F52" s="77"/>
    </row>
    <row r="53" spans="1:6" ht="21" customHeight="1">
      <c r="A53" s="77"/>
      <c r="B53" s="77"/>
      <c r="C53" s="77"/>
      <c r="D53" s="77"/>
      <c r="E53" s="77"/>
      <c r="F53" s="77"/>
    </row>
    <row r="54" spans="1:6" ht="21" customHeight="1">
      <c r="A54" s="77"/>
      <c r="B54" s="77"/>
      <c r="C54" s="77"/>
      <c r="D54" s="77"/>
      <c r="E54" s="77"/>
      <c r="F54" s="77"/>
    </row>
    <row r="55" spans="1:6" ht="21" customHeight="1">
      <c r="A55" s="77"/>
      <c r="B55" s="77"/>
      <c r="C55" s="77"/>
      <c r="D55" s="77"/>
      <c r="E55" s="77"/>
      <c r="F55" s="77"/>
    </row>
    <row r="56" spans="1:6" ht="21" customHeight="1">
      <c r="A56" s="77"/>
      <c r="B56" s="77"/>
      <c r="C56" s="77"/>
      <c r="D56" s="77"/>
      <c r="E56" s="77"/>
      <c r="F56" s="77"/>
    </row>
    <row r="57" spans="1:6" ht="21" customHeight="1">
      <c r="A57" s="77"/>
      <c r="B57" s="77"/>
      <c r="C57" s="77"/>
      <c r="D57" s="77"/>
      <c r="E57" s="77"/>
      <c r="F57" s="77"/>
    </row>
    <row r="58" spans="1:6" ht="21" customHeight="1">
      <c r="A58" s="77"/>
      <c r="B58" s="77"/>
      <c r="C58" s="77"/>
      <c r="D58" s="77"/>
      <c r="E58" s="77"/>
      <c r="F58" s="77"/>
    </row>
    <row r="59" spans="1:6" ht="21" customHeight="1">
      <c r="A59" s="77"/>
      <c r="B59" s="77"/>
      <c r="C59" s="77"/>
      <c r="D59" s="77"/>
      <c r="E59" s="77"/>
      <c r="F59" s="77"/>
    </row>
    <row r="60" spans="1:6" ht="21" customHeight="1">
      <c r="A60" s="77"/>
      <c r="B60" s="77"/>
      <c r="C60" s="77"/>
      <c r="D60" s="77"/>
      <c r="E60" s="77"/>
      <c r="F60" s="77"/>
    </row>
    <row r="61" spans="1:6" ht="21" customHeight="1">
      <c r="A61" s="77"/>
      <c r="B61" s="77"/>
      <c r="C61" s="77"/>
      <c r="D61" s="77"/>
      <c r="E61" s="77"/>
      <c r="F61" s="77"/>
    </row>
    <row r="62" spans="1:6" ht="21" customHeight="1">
      <c r="A62" s="77"/>
      <c r="B62" s="77"/>
      <c r="C62" s="77"/>
      <c r="D62" s="77"/>
      <c r="E62" s="77"/>
      <c r="F62" s="77"/>
    </row>
    <row r="63" spans="1:6" ht="21" customHeight="1">
      <c r="A63" s="77"/>
      <c r="B63" s="77"/>
      <c r="C63" s="77"/>
      <c r="D63" s="77"/>
      <c r="E63" s="77"/>
      <c r="F63" s="77"/>
    </row>
    <row r="64" spans="1:6" ht="21" customHeight="1">
      <c r="A64" s="77"/>
      <c r="B64" s="77"/>
      <c r="C64" s="77"/>
      <c r="D64" s="77"/>
      <c r="E64" s="77"/>
      <c r="F64" s="77"/>
    </row>
    <row r="65" spans="1:6" ht="21" customHeight="1">
      <c r="A65" s="77"/>
      <c r="B65" s="77"/>
      <c r="C65" s="77"/>
      <c r="D65" s="77"/>
      <c r="E65" s="77"/>
      <c r="F65" s="77"/>
    </row>
    <row r="66" spans="1:6" ht="21" customHeight="1">
      <c r="A66" s="77"/>
      <c r="B66" s="77"/>
      <c r="C66" s="77"/>
      <c r="D66" s="77"/>
      <c r="E66" s="77"/>
      <c r="F66" s="77"/>
    </row>
    <row r="67" spans="1:6" ht="21" customHeight="1">
      <c r="A67" s="77"/>
      <c r="B67" s="77"/>
      <c r="C67" s="77"/>
      <c r="D67" s="77"/>
      <c r="E67" s="77"/>
      <c r="F67" s="77"/>
    </row>
    <row r="68" spans="1:6" ht="21" customHeight="1">
      <c r="A68" s="77"/>
      <c r="B68" s="77"/>
      <c r="C68" s="77"/>
      <c r="D68" s="77"/>
      <c r="E68" s="77"/>
      <c r="F68" s="77"/>
    </row>
    <row r="69" spans="1:6" ht="21" customHeight="1">
      <c r="A69" s="77"/>
      <c r="B69" s="77"/>
      <c r="C69" s="77"/>
      <c r="D69" s="77"/>
      <c r="E69" s="77"/>
      <c r="F69" s="77"/>
    </row>
    <row r="70" spans="1:6" ht="21" customHeight="1">
      <c r="A70" s="77"/>
      <c r="B70" s="77"/>
      <c r="C70" s="77"/>
      <c r="D70" s="77"/>
      <c r="E70" s="77"/>
      <c r="F70" s="77"/>
    </row>
    <row r="71" spans="1:6" ht="21" customHeight="1">
      <c r="A71" s="77"/>
      <c r="B71" s="77"/>
      <c r="C71" s="77"/>
      <c r="D71" s="77"/>
      <c r="E71" s="77"/>
      <c r="F71" s="77"/>
    </row>
    <row r="72" spans="1:6" ht="21" customHeight="1">
      <c r="A72" s="77"/>
      <c r="B72" s="77"/>
      <c r="C72" s="77"/>
      <c r="D72" s="77"/>
      <c r="E72" s="77"/>
      <c r="F72" s="77"/>
    </row>
    <row r="73" spans="1:6" ht="21" customHeight="1">
      <c r="A73" s="77"/>
      <c r="B73" s="77"/>
      <c r="C73" s="77"/>
      <c r="D73" s="77"/>
      <c r="E73" s="77"/>
      <c r="F73" s="77"/>
    </row>
    <row r="74" spans="1:6" ht="21" customHeight="1">
      <c r="A74" s="77"/>
      <c r="B74" s="77"/>
      <c r="C74" s="77"/>
      <c r="D74" s="77"/>
      <c r="E74" s="77"/>
      <c r="F74" s="77"/>
    </row>
    <row r="75" spans="1:6" ht="21" customHeight="1">
      <c r="A75" s="77"/>
      <c r="B75" s="77"/>
      <c r="C75" s="77"/>
      <c r="D75" s="77"/>
      <c r="E75" s="77"/>
      <c r="F75" s="77"/>
    </row>
    <row r="76" spans="1:6" ht="21" customHeight="1">
      <c r="A76" s="77"/>
      <c r="B76" s="77"/>
      <c r="C76" s="77"/>
      <c r="D76" s="77"/>
      <c r="E76" s="77"/>
      <c r="F76" s="77"/>
    </row>
    <row r="77" spans="1:6" ht="21" customHeight="1">
      <c r="A77" s="77"/>
      <c r="B77" s="77"/>
      <c r="C77" s="77"/>
      <c r="D77" s="77"/>
      <c r="E77" s="77"/>
      <c r="F77" s="77"/>
    </row>
    <row r="78" spans="1:6" ht="21" customHeight="1">
      <c r="A78" s="77"/>
      <c r="B78" s="77"/>
      <c r="C78" s="77"/>
      <c r="D78" s="77"/>
      <c r="E78" s="77"/>
      <c r="F78" s="77"/>
    </row>
    <row r="79" spans="1:6" ht="21" customHeight="1">
      <c r="A79" s="77"/>
      <c r="B79" s="77"/>
      <c r="C79" s="77"/>
      <c r="D79" s="77"/>
      <c r="E79" s="77"/>
      <c r="F79" s="77"/>
    </row>
    <row r="80" spans="1:6" ht="21" customHeight="1">
      <c r="A80" s="77"/>
      <c r="B80" s="77"/>
      <c r="C80" s="77"/>
      <c r="D80" s="77"/>
      <c r="E80" s="77"/>
      <c r="F80" s="77"/>
    </row>
  </sheetData>
  <mergeCells count="1">
    <mergeCell ref="A1:F1"/>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2"/>
  <sheetViews>
    <sheetView zoomScale="120" zoomScaleNormal="120" workbookViewId="0">
      <selection activeCell="A3" sqref="A3"/>
    </sheetView>
  </sheetViews>
  <sheetFormatPr baseColWidth="10" defaultColWidth="8.83203125" defaultRowHeight="15"/>
  <cols>
    <col min="1" max="1" width="30" customWidth="1"/>
    <col min="2" max="3" width="28" customWidth="1"/>
    <col min="4" max="4" width="24" customWidth="1"/>
    <col min="5" max="6" width="28" customWidth="1"/>
  </cols>
  <sheetData>
    <row r="1" spans="1:6" ht="33.75" customHeight="1">
      <c r="A1" s="132" t="s">
        <v>1100</v>
      </c>
      <c r="B1" s="126"/>
      <c r="C1" s="126"/>
      <c r="D1" s="126"/>
      <c r="E1" s="126"/>
      <c r="F1" s="126"/>
    </row>
    <row r="2" spans="1:6" ht="21" customHeight="1">
      <c r="A2" s="87" t="s">
        <v>1101</v>
      </c>
      <c r="B2" s="84"/>
      <c r="C2" s="84"/>
      <c r="D2" s="84"/>
      <c r="E2" s="84"/>
      <c r="F2" s="84"/>
    </row>
    <row r="3" spans="1:6" ht="33.75" customHeight="1">
      <c r="A3" s="85" t="s">
        <v>281</v>
      </c>
      <c r="B3" s="85" t="s">
        <v>1102</v>
      </c>
      <c r="C3" s="85" t="s">
        <v>1103</v>
      </c>
      <c r="D3" s="85" t="s">
        <v>1104</v>
      </c>
      <c r="E3" s="85" t="s">
        <v>1105</v>
      </c>
      <c r="F3" s="85" t="s">
        <v>1106</v>
      </c>
    </row>
    <row r="4" spans="1:6" ht="21" customHeight="1">
      <c r="A4" s="84" t="s">
        <v>159</v>
      </c>
      <c r="B4" s="84" t="s">
        <v>1107</v>
      </c>
      <c r="C4" s="84" t="s">
        <v>1108</v>
      </c>
      <c r="D4" s="84" t="s">
        <v>1109</v>
      </c>
      <c r="E4" s="84" t="s">
        <v>1108</v>
      </c>
      <c r="F4" s="84" t="s">
        <v>1108</v>
      </c>
    </row>
    <row r="5" spans="1:6" ht="21" customHeight="1">
      <c r="A5" s="84" t="s">
        <v>170</v>
      </c>
      <c r="B5" s="84" t="s">
        <v>1107</v>
      </c>
      <c r="C5" s="84" t="s">
        <v>1110</v>
      </c>
      <c r="D5" s="84" t="s">
        <v>1111</v>
      </c>
      <c r="E5" s="84" t="s">
        <v>1108</v>
      </c>
      <c r="F5" s="84" t="s">
        <v>1108</v>
      </c>
    </row>
    <row r="6" spans="1:6" ht="21" customHeight="1">
      <c r="A6" s="84" t="s">
        <v>180</v>
      </c>
      <c r="B6" s="84" t="s">
        <v>1112</v>
      </c>
      <c r="C6" s="84" t="s">
        <v>1113</v>
      </c>
      <c r="D6" s="84" t="s">
        <v>1114</v>
      </c>
      <c r="E6" s="84" t="s">
        <v>1108</v>
      </c>
      <c r="F6" s="84" t="s">
        <v>1108</v>
      </c>
    </row>
    <row r="7" spans="1:6" ht="21" customHeight="1">
      <c r="A7" s="84" t="s">
        <v>191</v>
      </c>
      <c r="B7" s="84" t="s">
        <v>1107</v>
      </c>
      <c r="C7" s="84" t="s">
        <v>1115</v>
      </c>
      <c r="D7" s="84" t="s">
        <v>1116</v>
      </c>
      <c r="E7" s="84" t="s">
        <v>1108</v>
      </c>
      <c r="F7" s="84" t="s">
        <v>1108</v>
      </c>
    </row>
    <row r="8" spans="1:6" ht="21" customHeight="1">
      <c r="A8" s="84" t="s">
        <v>202</v>
      </c>
      <c r="B8" s="84" t="s">
        <v>1117</v>
      </c>
      <c r="C8" s="84" t="s">
        <v>1118</v>
      </c>
      <c r="D8" s="84" t="s">
        <v>1119</v>
      </c>
      <c r="E8" s="84" t="s">
        <v>1108</v>
      </c>
      <c r="F8" s="84" t="s">
        <v>1108</v>
      </c>
    </row>
    <row r="9" spans="1:6" ht="21" customHeight="1">
      <c r="A9" s="84" t="s">
        <v>212</v>
      </c>
      <c r="B9" s="84" t="s">
        <v>1120</v>
      </c>
      <c r="C9" s="84" t="s">
        <v>1121</v>
      </c>
      <c r="D9" s="84" t="s">
        <v>1122</v>
      </c>
      <c r="E9" s="84" t="s">
        <v>1108</v>
      </c>
      <c r="F9" s="84" t="s">
        <v>1108</v>
      </c>
    </row>
    <row r="10" spans="1:6" ht="21" customHeight="1">
      <c r="A10" s="84"/>
      <c r="B10" s="84"/>
      <c r="C10" s="84"/>
      <c r="D10" s="84"/>
      <c r="E10" s="84"/>
      <c r="F10" s="84"/>
    </row>
    <row r="11" spans="1:6" ht="21" customHeight="1">
      <c r="A11" t="s">
        <v>1123</v>
      </c>
      <c r="B11" t="s">
        <v>1124</v>
      </c>
      <c r="C11" s="84"/>
      <c r="D11" s="84"/>
      <c r="E11" s="84"/>
      <c r="F11" s="84"/>
    </row>
    <row r="12" spans="1:6" ht="21" customHeight="1">
      <c r="A12" t="s">
        <v>1123</v>
      </c>
      <c r="B12" t="s">
        <v>1125</v>
      </c>
      <c r="C12" s="84"/>
      <c r="D12" s="84"/>
      <c r="E12" s="84"/>
      <c r="F12" s="84"/>
    </row>
  </sheetData>
  <mergeCells count="1">
    <mergeCell ref="A1:F1"/>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A68"/>
  <sheetViews>
    <sheetView topLeftCell="A48" zoomScale="120" zoomScaleNormal="120" workbookViewId="0">
      <selection activeCell="B73" sqref="B73"/>
    </sheetView>
  </sheetViews>
  <sheetFormatPr baseColWidth="10" defaultColWidth="5.83203125" defaultRowHeight="15"/>
  <cols>
    <col min="2" max="3" width="5.83203125" style="94" customWidth="1"/>
  </cols>
  <sheetData>
    <row r="2" spans="2:27">
      <c r="B2" s="94" t="s">
        <v>1126</v>
      </c>
    </row>
    <row r="3" spans="2:27" s="94" customFormat="1">
      <c r="B3" s="94" t="s">
        <v>1127</v>
      </c>
      <c r="D3" s="94" t="s">
        <v>1128</v>
      </c>
      <c r="E3" s="94" t="s">
        <v>1129</v>
      </c>
      <c r="F3" s="94" t="s">
        <v>1130</v>
      </c>
      <c r="G3" s="94" t="s">
        <v>1131</v>
      </c>
      <c r="H3" s="94" t="s">
        <v>1132</v>
      </c>
      <c r="I3" s="94" t="s">
        <v>1133</v>
      </c>
      <c r="J3" s="94" t="s">
        <v>1134</v>
      </c>
      <c r="K3" s="94" t="s">
        <v>1132</v>
      </c>
      <c r="L3" s="95" t="s">
        <v>1132</v>
      </c>
      <c r="M3" s="94" t="s">
        <v>1135</v>
      </c>
      <c r="T3" s="95"/>
    </row>
    <row r="4" spans="2:27" s="94" customFormat="1">
      <c r="B4" s="94" t="s">
        <v>1136</v>
      </c>
      <c r="L4" s="95"/>
      <c r="T4" s="95"/>
    </row>
    <row r="5" spans="2:27" s="94" customFormat="1">
      <c r="B5" s="94" t="s">
        <v>1137</v>
      </c>
      <c r="L5" s="95"/>
      <c r="T5" s="95"/>
    </row>
    <row r="6" spans="2:27">
      <c r="B6" s="94" t="s">
        <v>1138</v>
      </c>
      <c r="D6">
        <v>2</v>
      </c>
      <c r="E6">
        <v>7</v>
      </c>
      <c r="F6">
        <v>1</v>
      </c>
      <c r="G6">
        <v>2</v>
      </c>
      <c r="H6">
        <v>1</v>
      </c>
      <c r="I6">
        <v>9</v>
      </c>
      <c r="J6">
        <v>6</v>
      </c>
      <c r="K6">
        <v>1</v>
      </c>
      <c r="L6" s="89" t="s">
        <v>1139</v>
      </c>
      <c r="M6" s="96">
        <f>IF(LEN(O6)=1,O6,SUM(LEFT(O6,1),RIGHT(O6,1)))</f>
        <v>2</v>
      </c>
      <c r="O6" s="93">
        <f>SUM(LEFT(P6,1),RIGHT(P6,1))</f>
        <v>11</v>
      </c>
      <c r="P6">
        <f>SUM(D6:K6)</f>
        <v>29</v>
      </c>
      <c r="Q6" s="92" t="str">
        <f>LEFT(P6,1)</f>
        <v>2</v>
      </c>
      <c r="R6" s="92" t="str">
        <f>RIGHT(P6,1)</f>
        <v>9</v>
      </c>
    </row>
    <row r="7" spans="2:27">
      <c r="K7" s="91" t="s">
        <v>1134</v>
      </c>
      <c r="L7" s="89" t="s">
        <v>1139</v>
      </c>
      <c r="M7" s="97" t="str">
        <f>CONCATENATE(D6,E6)</f>
        <v>27</v>
      </c>
      <c r="P7" s="90"/>
    </row>
    <row r="8" spans="2:27">
      <c r="K8" s="91" t="s">
        <v>1140</v>
      </c>
      <c r="L8" s="89" t="s">
        <v>1139</v>
      </c>
      <c r="M8" s="97" t="str">
        <f>CONCATENATE(F6,G6)</f>
        <v>12</v>
      </c>
    </row>
    <row r="9" spans="2:27">
      <c r="K9" s="91" t="s">
        <v>1141</v>
      </c>
      <c r="L9" s="89" t="s">
        <v>1139</v>
      </c>
      <c r="M9" s="97">
        <f>P6</f>
        <v>29</v>
      </c>
    </row>
    <row r="11" spans="2:27">
      <c r="B11" s="94" t="s">
        <v>1126</v>
      </c>
    </row>
    <row r="12" spans="2:27" s="94" customFormat="1">
      <c r="B12" s="94" t="s">
        <v>1127</v>
      </c>
      <c r="D12" s="94" t="s">
        <v>1142</v>
      </c>
      <c r="E12" s="94" t="s">
        <v>1143</v>
      </c>
      <c r="F12" s="94" t="s">
        <v>1144</v>
      </c>
      <c r="G12" s="94" t="s">
        <v>1143</v>
      </c>
      <c r="H12" s="94" t="s">
        <v>1145</v>
      </c>
      <c r="J12" s="94" t="s">
        <v>1146</v>
      </c>
      <c r="K12" s="94" t="s">
        <v>1145</v>
      </c>
      <c r="L12" s="94" t="s">
        <v>1130</v>
      </c>
      <c r="M12" s="95" t="s">
        <v>1143</v>
      </c>
      <c r="N12" s="94" t="s">
        <v>1145</v>
      </c>
      <c r="O12" s="94" t="s">
        <v>1147</v>
      </c>
      <c r="P12" s="94" t="s">
        <v>1147</v>
      </c>
      <c r="Q12" s="94" t="s">
        <v>1145</v>
      </c>
      <c r="S12" s="94" t="s">
        <v>1148</v>
      </c>
      <c r="T12" s="94" t="s">
        <v>1130</v>
      </c>
      <c r="U12" s="94" t="s">
        <v>1132</v>
      </c>
      <c r="V12" s="95" t="s">
        <v>1131</v>
      </c>
      <c r="W12" s="94" t="s">
        <v>1129</v>
      </c>
      <c r="X12" s="94" t="s">
        <v>1149</v>
      </c>
      <c r="Y12" s="94" t="s">
        <v>1150</v>
      </c>
      <c r="Z12" s="94" t="s">
        <v>1148</v>
      </c>
      <c r="AA12" s="94" t="s">
        <v>1145</v>
      </c>
    </row>
    <row r="13" spans="2:27" s="94" customFormat="1">
      <c r="B13" s="94" t="s">
        <v>1136</v>
      </c>
      <c r="L13" s="95"/>
      <c r="T13" s="95"/>
    </row>
    <row r="14" spans="2:27" s="94" customFormat="1">
      <c r="B14" s="94" t="s">
        <v>1137</v>
      </c>
      <c r="L14" s="95"/>
      <c r="T14" s="95"/>
    </row>
    <row r="15" spans="2:27">
      <c r="B15" s="94" t="s">
        <v>1138</v>
      </c>
      <c r="D15">
        <v>2</v>
      </c>
      <c r="E15">
        <v>7</v>
      </c>
      <c r="F15">
        <v>1</v>
      </c>
      <c r="G15">
        <v>2</v>
      </c>
      <c r="H15">
        <v>1</v>
      </c>
      <c r="I15">
        <v>9</v>
      </c>
      <c r="J15">
        <v>6</v>
      </c>
      <c r="K15">
        <v>1</v>
      </c>
      <c r="L15" s="89" t="s">
        <v>1139</v>
      </c>
      <c r="M15" s="96">
        <f>IF(LEN(O15)=1,O15,SUM(LEFT(O15,1),RIGHT(O15,1)))</f>
        <v>2</v>
      </c>
      <c r="O15" s="93">
        <f>SUM(LEFT(P15,1),RIGHT(P15,1))</f>
        <v>11</v>
      </c>
      <c r="P15">
        <f>SUM(D15:K15)</f>
        <v>29</v>
      </c>
      <c r="Q15" s="92" t="str">
        <f>LEFT(P15,1)</f>
        <v>2</v>
      </c>
      <c r="R15" s="92" t="str">
        <f>RIGHT(P15,1)</f>
        <v>9</v>
      </c>
    </row>
    <row r="16" spans="2:27">
      <c r="K16" s="91" t="s">
        <v>1134</v>
      </c>
      <c r="L16" s="89" t="s">
        <v>1139</v>
      </c>
      <c r="M16" s="97" t="str">
        <f>CONCATENATE(D15,E15)</f>
        <v>27</v>
      </c>
      <c r="P16" s="90"/>
    </row>
    <row r="17" spans="2:23">
      <c r="K17" s="91" t="s">
        <v>1140</v>
      </c>
      <c r="L17" s="89" t="s">
        <v>1139</v>
      </c>
      <c r="M17" s="97" t="str">
        <f>CONCATENATE(F15,G15)</f>
        <v>12</v>
      </c>
    </row>
    <row r="18" spans="2:23">
      <c r="K18" s="91" t="s">
        <v>1141</v>
      </c>
      <c r="L18" s="89" t="s">
        <v>1139</v>
      </c>
      <c r="M18" s="97">
        <f>P15</f>
        <v>29</v>
      </c>
    </row>
    <row r="19" spans="2:23">
      <c r="K19" s="91"/>
      <c r="L19" s="89"/>
      <c r="M19" s="92"/>
    </row>
    <row r="20" spans="2:23">
      <c r="B20" s="94" t="s">
        <v>1126</v>
      </c>
      <c r="K20" s="91"/>
      <c r="L20" s="89"/>
      <c r="M20" s="92"/>
    </row>
    <row r="21" spans="2:23" s="94" customFormat="1">
      <c r="B21" s="94" t="s">
        <v>1127</v>
      </c>
      <c r="D21" s="94" t="s">
        <v>1146</v>
      </c>
      <c r="E21" s="94" t="s">
        <v>1145</v>
      </c>
      <c r="F21" s="94" t="s">
        <v>1151</v>
      </c>
      <c r="G21" s="94" t="s">
        <v>1143</v>
      </c>
      <c r="H21" s="94" t="s">
        <v>1132</v>
      </c>
      <c r="I21" s="94" t="s">
        <v>1152</v>
      </c>
      <c r="K21" s="94" t="s">
        <v>1152</v>
      </c>
      <c r="L21" s="94" t="s">
        <v>1132</v>
      </c>
      <c r="M21" s="94" t="s">
        <v>1130</v>
      </c>
      <c r="N21" s="94" t="s">
        <v>1153</v>
      </c>
      <c r="O21" s="94" t="s">
        <v>1154</v>
      </c>
      <c r="Q21" s="94" t="s">
        <v>1150</v>
      </c>
      <c r="R21" s="94" t="s">
        <v>1153</v>
      </c>
      <c r="S21" s="94" t="s">
        <v>1151</v>
      </c>
      <c r="T21" s="94" t="s">
        <v>1153</v>
      </c>
      <c r="U21" s="94" t="s">
        <v>1132</v>
      </c>
      <c r="V21" s="94" t="s">
        <v>1151</v>
      </c>
      <c r="W21" s="94" t="s">
        <v>1155</v>
      </c>
    </row>
    <row r="22" spans="2:23" s="94" customFormat="1">
      <c r="B22" s="94" t="s">
        <v>1136</v>
      </c>
    </row>
    <row r="23" spans="2:23" s="94" customFormat="1">
      <c r="B23" s="94" t="s">
        <v>1137</v>
      </c>
    </row>
    <row r="24" spans="2:23">
      <c r="B24" s="94" t="s">
        <v>1138</v>
      </c>
      <c r="D24">
        <v>1</v>
      </c>
      <c r="E24">
        <v>1</v>
      </c>
      <c r="F24">
        <v>0</v>
      </c>
      <c r="G24">
        <v>4</v>
      </c>
      <c r="H24">
        <v>1</v>
      </c>
      <c r="I24">
        <v>9</v>
      </c>
      <c r="J24">
        <v>6</v>
      </c>
      <c r="K24">
        <v>8</v>
      </c>
      <c r="L24" s="89" t="s">
        <v>1139</v>
      </c>
      <c r="M24" s="96">
        <f>IF(LEN(O24)=1,O24,SUM(LEFT(O24,1),RIGHT(O24,1)))</f>
        <v>3</v>
      </c>
      <c r="O24" s="93">
        <f>SUM(LEFT(P24,1),RIGHT(P24,1))</f>
        <v>3</v>
      </c>
      <c r="P24">
        <f>SUM(D24:K24)</f>
        <v>30</v>
      </c>
      <c r="Q24" s="92" t="str">
        <f>LEFT(P24,1)</f>
        <v>3</v>
      </c>
      <c r="R24" s="92" t="str">
        <f>RIGHT(P24,1)</f>
        <v>0</v>
      </c>
    </row>
    <row r="25" spans="2:23">
      <c r="K25" s="91" t="s">
        <v>1134</v>
      </c>
      <c r="L25" s="89" t="s">
        <v>1139</v>
      </c>
      <c r="M25" s="97" t="str">
        <f>CONCATENATE(D24,E24)</f>
        <v>11</v>
      </c>
    </row>
    <row r="26" spans="2:23">
      <c r="K26" s="91" t="s">
        <v>1140</v>
      </c>
      <c r="L26" s="89" t="s">
        <v>1139</v>
      </c>
      <c r="M26" s="97" t="str">
        <f>CONCATENATE(F24,G24)</f>
        <v>04</v>
      </c>
    </row>
    <row r="27" spans="2:23">
      <c r="K27" s="91" t="s">
        <v>1141</v>
      </c>
      <c r="L27" s="89" t="s">
        <v>1139</v>
      </c>
      <c r="M27" s="97">
        <f>P24</f>
        <v>30</v>
      </c>
    </row>
    <row r="28" spans="2:23">
      <c r="K28" s="91"/>
      <c r="L28" s="89"/>
      <c r="M28" s="92"/>
    </row>
    <row r="29" spans="2:23">
      <c r="B29" s="94" t="s">
        <v>1126</v>
      </c>
    </row>
    <row r="30" spans="2:23" s="94" customFormat="1">
      <c r="B30" s="94" t="s">
        <v>1127</v>
      </c>
      <c r="D30" s="94" t="s">
        <v>1146</v>
      </c>
      <c r="E30" s="94" t="s">
        <v>1145</v>
      </c>
      <c r="F30" s="94" t="s">
        <v>1130</v>
      </c>
      <c r="G30" s="94" t="s">
        <v>1151</v>
      </c>
      <c r="H30" s="94" t="s">
        <v>1143</v>
      </c>
      <c r="I30" s="94" t="s">
        <v>1147</v>
      </c>
      <c r="K30" s="94" t="s">
        <v>1152</v>
      </c>
      <c r="L30" s="94" t="s">
        <v>1145</v>
      </c>
      <c r="M30" s="94" t="s">
        <v>1147</v>
      </c>
      <c r="O30" s="94" t="s">
        <v>1148</v>
      </c>
      <c r="P30" s="94" t="s">
        <v>1130</v>
      </c>
      <c r="Q30" s="94" t="s">
        <v>1132</v>
      </c>
      <c r="R30" s="94" t="s">
        <v>1131</v>
      </c>
      <c r="S30" s="94" t="s">
        <v>1129</v>
      </c>
      <c r="T30" s="94" t="s">
        <v>1149</v>
      </c>
      <c r="U30" s="94" t="s">
        <v>1150</v>
      </c>
      <c r="V30" s="94" t="s">
        <v>1148</v>
      </c>
      <c r="W30" s="94" t="s">
        <v>1143</v>
      </c>
    </row>
    <row r="31" spans="2:23" s="94" customFormat="1">
      <c r="B31" s="94" t="s">
        <v>1136</v>
      </c>
    </row>
    <row r="32" spans="2:23" s="94" customFormat="1">
      <c r="B32" s="94" t="s">
        <v>1137</v>
      </c>
    </row>
    <row r="33" spans="2:26">
      <c r="B33" s="94" t="s">
        <v>1138</v>
      </c>
      <c r="D33">
        <v>0</v>
      </c>
      <c r="E33">
        <v>4</v>
      </c>
      <c r="F33">
        <v>1</v>
      </c>
      <c r="G33">
        <v>0</v>
      </c>
      <c r="H33">
        <v>1</v>
      </c>
      <c r="I33">
        <v>9</v>
      </c>
      <c r="J33">
        <v>7</v>
      </c>
      <c r="K33">
        <v>9</v>
      </c>
      <c r="L33" s="89" t="s">
        <v>1139</v>
      </c>
      <c r="M33" s="96">
        <f>IF(LEN(O33)=1,O33,SUM(LEFT(O33,1),RIGHT(O33,1)))</f>
        <v>4</v>
      </c>
      <c r="O33" s="93">
        <f>SUM(LEFT(P33,1),RIGHT(P33,1))</f>
        <v>4</v>
      </c>
      <c r="P33">
        <f>SUM(D33:K33)</f>
        <v>31</v>
      </c>
      <c r="Q33" s="92" t="str">
        <f>LEFT(P33,1)</f>
        <v>3</v>
      </c>
      <c r="R33" s="92" t="str">
        <f>RIGHT(P33,1)</f>
        <v>1</v>
      </c>
    </row>
    <row r="34" spans="2:26">
      <c r="K34" s="91" t="s">
        <v>1134</v>
      </c>
      <c r="L34" s="89" t="s">
        <v>1139</v>
      </c>
      <c r="M34" s="97" t="str">
        <f>CONCATENATE(D33,E33)</f>
        <v>04</v>
      </c>
    </row>
    <row r="35" spans="2:26">
      <c r="K35" s="91" t="s">
        <v>1140</v>
      </c>
      <c r="L35" s="89" t="s">
        <v>1139</v>
      </c>
      <c r="M35" s="97" t="str">
        <f>CONCATENATE(F33,G33)</f>
        <v>10</v>
      </c>
    </row>
    <row r="36" spans="2:26">
      <c r="K36" s="91" t="s">
        <v>1141</v>
      </c>
      <c r="L36" s="89" t="s">
        <v>1139</v>
      </c>
      <c r="M36" s="97">
        <f>P33</f>
        <v>31</v>
      </c>
    </row>
    <row r="37" spans="2:26">
      <c r="K37" s="91"/>
      <c r="L37" s="89"/>
      <c r="M37" s="92"/>
    </row>
    <row r="38" spans="2:26">
      <c r="B38" s="94" t="s">
        <v>1126</v>
      </c>
      <c r="K38" s="91"/>
      <c r="L38" s="89"/>
      <c r="M38" s="92"/>
    </row>
    <row r="39" spans="2:26" s="94" customFormat="1">
      <c r="B39" s="94" t="s">
        <v>1127</v>
      </c>
      <c r="D39" s="94" t="s">
        <v>1152</v>
      </c>
      <c r="E39" s="94" t="s">
        <v>1156</v>
      </c>
      <c r="F39" s="94" t="s">
        <v>1150</v>
      </c>
      <c r="G39" s="94" t="s">
        <v>1131</v>
      </c>
      <c r="H39" s="94" t="s">
        <v>1154</v>
      </c>
      <c r="I39" s="94" t="s">
        <v>1147</v>
      </c>
      <c r="J39" s="94" t="s">
        <v>1145</v>
      </c>
      <c r="K39" s="94" t="s">
        <v>291</v>
      </c>
      <c r="L39" s="94" t="s">
        <v>1157</v>
      </c>
      <c r="M39" s="94" t="s">
        <v>1129</v>
      </c>
      <c r="N39" s="94" t="s">
        <v>1153</v>
      </c>
      <c r="O39" s="94" t="s">
        <v>1132</v>
      </c>
      <c r="P39" s="94" t="s">
        <v>1147</v>
      </c>
      <c r="Q39" s="94" t="s">
        <v>1145</v>
      </c>
      <c r="R39" s="94" t="s">
        <v>291</v>
      </c>
      <c r="S39" s="94" t="s">
        <v>1153</v>
      </c>
      <c r="T39" s="94" t="s">
        <v>1145</v>
      </c>
      <c r="U39" s="94" t="s">
        <v>1149</v>
      </c>
      <c r="V39" s="94" t="s">
        <v>1145</v>
      </c>
      <c r="W39" s="94" t="s">
        <v>1144</v>
      </c>
      <c r="X39" s="94" t="s">
        <v>1153</v>
      </c>
      <c r="Y39" s="94" t="s">
        <v>1148</v>
      </c>
      <c r="Z39" s="94" t="s">
        <v>1145</v>
      </c>
    </row>
    <row r="40" spans="2:26" s="94" customFormat="1">
      <c r="B40" s="94" t="s">
        <v>1136</v>
      </c>
    </row>
    <row r="41" spans="2:26" s="94" customFormat="1">
      <c r="B41" s="94" t="s">
        <v>1137</v>
      </c>
    </row>
    <row r="42" spans="2:26">
      <c r="B42" s="94" t="s">
        <v>1138</v>
      </c>
      <c r="D42">
        <v>1</v>
      </c>
      <c r="E42">
        <v>6</v>
      </c>
      <c r="F42">
        <v>1</v>
      </c>
      <c r="G42">
        <v>1</v>
      </c>
      <c r="H42">
        <v>1</v>
      </c>
      <c r="I42">
        <v>9</v>
      </c>
      <c r="J42">
        <v>8</v>
      </c>
      <c r="K42">
        <v>2</v>
      </c>
      <c r="L42" s="89" t="s">
        <v>1139</v>
      </c>
      <c r="M42" s="96">
        <f>IF(LEN(O42)=1,O42,SUM(LEFT(O42,1),RIGHT(O42,1)))</f>
        <v>2</v>
      </c>
      <c r="O42" s="93">
        <f>SUM(LEFT(P42,1),RIGHT(P42,1))</f>
        <v>11</v>
      </c>
      <c r="P42">
        <f>SUM(D42:K42)</f>
        <v>29</v>
      </c>
      <c r="Q42" s="92" t="str">
        <f>LEFT(P42,1)</f>
        <v>2</v>
      </c>
      <c r="R42" s="92" t="str">
        <f>RIGHT(P42,1)</f>
        <v>9</v>
      </c>
    </row>
    <row r="43" spans="2:26">
      <c r="K43" s="91" t="s">
        <v>1134</v>
      </c>
      <c r="L43" s="89" t="s">
        <v>1139</v>
      </c>
      <c r="M43" s="97" t="str">
        <f>CONCATENATE(D42,E42)</f>
        <v>16</v>
      </c>
    </row>
    <row r="44" spans="2:26">
      <c r="K44" s="91" t="s">
        <v>1140</v>
      </c>
      <c r="L44" s="89" t="s">
        <v>1139</v>
      </c>
      <c r="M44" s="97" t="str">
        <f>CONCATENATE(F42,G42)</f>
        <v>11</v>
      </c>
    </row>
    <row r="45" spans="2:26">
      <c r="K45" s="91" t="s">
        <v>1141</v>
      </c>
      <c r="L45" s="89" t="s">
        <v>1139</v>
      </c>
      <c r="M45" s="97">
        <f>P42</f>
        <v>29</v>
      </c>
    </row>
    <row r="46" spans="2:26">
      <c r="K46" s="91"/>
      <c r="L46" s="89"/>
      <c r="M46" s="92"/>
    </row>
    <row r="47" spans="2:26">
      <c r="B47" s="94" t="s">
        <v>1126</v>
      </c>
      <c r="K47" s="91"/>
      <c r="L47" s="89"/>
      <c r="M47" s="92"/>
    </row>
    <row r="48" spans="2:26" s="94" customFormat="1">
      <c r="B48" s="94" t="s">
        <v>1127</v>
      </c>
      <c r="D48" s="94" t="s">
        <v>1150</v>
      </c>
      <c r="E48" s="94" t="s">
        <v>1131</v>
      </c>
      <c r="F48" s="94" t="s">
        <v>1132</v>
      </c>
      <c r="G48" s="94" t="s">
        <v>1158</v>
      </c>
      <c r="H48" s="94" t="s">
        <v>1145</v>
      </c>
      <c r="I48" s="94" t="s">
        <v>1147</v>
      </c>
      <c r="K48" s="94" t="s">
        <v>1146</v>
      </c>
      <c r="L48" s="94" t="s">
        <v>1145</v>
      </c>
      <c r="M48" s="94" t="s">
        <v>1130</v>
      </c>
      <c r="N48" s="94" t="s">
        <v>1151</v>
      </c>
      <c r="O48" s="94" t="s">
        <v>1143</v>
      </c>
      <c r="P48" s="94" t="s">
        <v>1147</v>
      </c>
      <c r="Q48" s="94" t="s">
        <v>291</v>
      </c>
      <c r="R48" s="94" t="s">
        <v>1148</v>
      </c>
      <c r="S48" s="94" t="s">
        <v>1130</v>
      </c>
      <c r="T48" s="94" t="s">
        <v>1132</v>
      </c>
      <c r="U48" s="94" t="s">
        <v>1131</v>
      </c>
      <c r="V48" s="94" t="s">
        <v>1129</v>
      </c>
      <c r="W48" s="94" t="s">
        <v>1149</v>
      </c>
      <c r="X48" s="94" t="s">
        <v>1150</v>
      </c>
      <c r="Y48" s="94" t="s">
        <v>1148</v>
      </c>
      <c r="Z48" s="94" t="s">
        <v>1143</v>
      </c>
    </row>
    <row r="49" spans="2:18" s="94" customFormat="1">
      <c r="B49" s="94" t="s">
        <v>1136</v>
      </c>
    </row>
    <row r="50" spans="2:18" s="94" customFormat="1">
      <c r="B50" s="94" t="s">
        <v>1137</v>
      </c>
    </row>
    <row r="51" spans="2:18">
      <c r="B51" s="94" t="s">
        <v>1138</v>
      </c>
      <c r="D51">
        <v>1</v>
      </c>
      <c r="E51">
        <v>2</v>
      </c>
      <c r="F51">
        <v>0</v>
      </c>
      <c r="G51">
        <v>9</v>
      </c>
      <c r="H51">
        <v>2</v>
      </c>
      <c r="I51">
        <v>0</v>
      </c>
      <c r="J51">
        <v>2</v>
      </c>
      <c r="K51">
        <v>3</v>
      </c>
      <c r="L51" s="89" t="s">
        <v>1139</v>
      </c>
      <c r="M51" s="96">
        <f>IF(LEN(O51)=1,O51,SUM(LEFT(O51,1),RIGHT(O51,1)))</f>
        <v>1</v>
      </c>
      <c r="O51" s="93">
        <f>SUM(LEFT(P51,1),RIGHT(P51,1))</f>
        <v>10</v>
      </c>
      <c r="P51">
        <f>SUM(D51:K51)</f>
        <v>19</v>
      </c>
      <c r="Q51" s="92" t="str">
        <f>LEFT(P51,1)</f>
        <v>1</v>
      </c>
      <c r="R51" s="92" t="str">
        <f>RIGHT(P51,1)</f>
        <v>9</v>
      </c>
    </row>
    <row r="52" spans="2:18">
      <c r="K52" s="91" t="s">
        <v>1134</v>
      </c>
      <c r="L52" s="89" t="s">
        <v>1139</v>
      </c>
      <c r="M52" s="97" t="str">
        <f>CONCATENATE(D51,E51)</f>
        <v>12</v>
      </c>
    </row>
    <row r="53" spans="2:18">
      <c r="K53" s="91" t="s">
        <v>1140</v>
      </c>
      <c r="L53" s="89" t="s">
        <v>1139</v>
      </c>
      <c r="M53" s="97" t="str">
        <f>CONCATENATE(F51,G51)</f>
        <v>09</v>
      </c>
    </row>
    <row r="54" spans="2:18">
      <c r="K54" s="91" t="s">
        <v>1141</v>
      </c>
      <c r="L54" s="89" t="s">
        <v>1139</v>
      </c>
      <c r="M54" s="97">
        <f>P51</f>
        <v>19</v>
      </c>
    </row>
    <row r="55" spans="2:18">
      <c r="K55" s="91"/>
      <c r="L55" s="89"/>
      <c r="M55" s="92"/>
    </row>
    <row r="56" spans="2:18">
      <c r="K56" s="91"/>
      <c r="L56" s="89"/>
      <c r="M56" s="92"/>
    </row>
    <row r="57" spans="2:18">
      <c r="K57" s="91"/>
      <c r="L57" s="89"/>
      <c r="M57" s="92"/>
    </row>
    <row r="58" spans="2:18">
      <c r="K58" s="91"/>
      <c r="L58" s="89"/>
      <c r="M58" s="92"/>
    </row>
    <row r="59" spans="2:18">
      <c r="K59" s="91"/>
      <c r="L59" s="89"/>
      <c r="M59" s="92"/>
    </row>
    <row r="60" spans="2:18">
      <c r="B60" s="87" t="s">
        <v>1159</v>
      </c>
      <c r="C60" s="87"/>
      <c r="D60" s="90"/>
      <c r="H60" s="90" t="s">
        <v>1160</v>
      </c>
      <c r="K60" s="90" t="s">
        <v>1161</v>
      </c>
    </row>
    <row r="61" spans="2:18">
      <c r="D61" s="98">
        <v>1</v>
      </c>
      <c r="E61" s="98">
        <v>2</v>
      </c>
      <c r="F61" s="98">
        <v>3</v>
      </c>
      <c r="G61" s="98">
        <v>4</v>
      </c>
      <c r="H61" s="98">
        <v>5</v>
      </c>
      <c r="I61" s="98">
        <v>6</v>
      </c>
      <c r="J61" s="98">
        <v>7</v>
      </c>
      <c r="K61" s="98">
        <v>8</v>
      </c>
      <c r="L61" s="98">
        <v>9</v>
      </c>
    </row>
    <row r="62" spans="2:18">
      <c r="D62" s="91" t="s">
        <v>553</v>
      </c>
      <c r="E62" s="91" t="s">
        <v>1162</v>
      </c>
      <c r="F62" s="91" t="s">
        <v>1163</v>
      </c>
      <c r="G62" s="91" t="s">
        <v>1134</v>
      </c>
      <c r="H62" s="91" t="s">
        <v>1164</v>
      </c>
      <c r="I62" s="91" t="s">
        <v>1165</v>
      </c>
      <c r="J62" s="91" t="s">
        <v>1166</v>
      </c>
      <c r="K62" s="91" t="s">
        <v>1167</v>
      </c>
      <c r="L62" s="91" t="s">
        <v>1168</v>
      </c>
    </row>
    <row r="63" spans="2:18">
      <c r="D63" s="91" t="s">
        <v>1169</v>
      </c>
      <c r="E63" s="91" t="s">
        <v>1170</v>
      </c>
      <c r="F63" s="91" t="s">
        <v>1171</v>
      </c>
      <c r="G63" s="91" t="s">
        <v>1140</v>
      </c>
      <c r="H63" s="91" t="s">
        <v>1172</v>
      </c>
      <c r="I63" s="91" t="s">
        <v>1173</v>
      </c>
      <c r="J63" s="91" t="s">
        <v>1174</v>
      </c>
      <c r="K63" s="91" t="s">
        <v>551</v>
      </c>
      <c r="L63" s="91" t="s">
        <v>1175</v>
      </c>
    </row>
    <row r="64" spans="2:18">
      <c r="D64" s="91" t="s">
        <v>1176</v>
      </c>
      <c r="E64" s="91" t="s">
        <v>1177</v>
      </c>
      <c r="F64" s="91" t="s">
        <v>1178</v>
      </c>
      <c r="G64" s="91" t="s">
        <v>1128</v>
      </c>
      <c r="H64" s="91" t="s">
        <v>1179</v>
      </c>
      <c r="I64" s="91" t="s">
        <v>1180</v>
      </c>
      <c r="J64" s="91" t="s">
        <v>1181</v>
      </c>
      <c r="K64" s="91" t="s">
        <v>1182</v>
      </c>
      <c r="L64" s="92"/>
    </row>
    <row r="66" spans="2:4">
      <c r="B66" s="94" t="s">
        <v>1126</v>
      </c>
      <c r="D66" s="90" t="s">
        <v>1183</v>
      </c>
    </row>
    <row r="67" spans="2:4">
      <c r="B67" s="94" t="s">
        <v>1136</v>
      </c>
      <c r="D67" s="90" t="s">
        <v>1184</v>
      </c>
    </row>
    <row r="68" spans="2:4">
      <c r="B68" s="94" t="s">
        <v>1137</v>
      </c>
      <c r="D68" s="90" t="s">
        <v>1185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I142"/>
  <sheetViews>
    <sheetView topLeftCell="A114" zoomScale="120" zoomScaleNormal="120" workbookViewId="0">
      <selection activeCell="B143" sqref="B143"/>
    </sheetView>
  </sheetViews>
  <sheetFormatPr baseColWidth="10" defaultColWidth="5.83203125" defaultRowHeight="15"/>
  <sheetData>
    <row r="2" spans="2:9">
      <c r="B2">
        <v>0</v>
      </c>
      <c r="C2">
        <v>6</v>
      </c>
      <c r="D2">
        <v>0</v>
      </c>
      <c r="E2">
        <v>6</v>
      </c>
      <c r="F2">
        <v>2</v>
      </c>
      <c r="G2">
        <v>0</v>
      </c>
      <c r="H2">
        <v>2</v>
      </c>
      <c r="I2">
        <v>6</v>
      </c>
    </row>
    <row r="5" spans="2:9" ht="17" customHeight="1">
      <c r="B5" s="101" t="s">
        <v>1186</v>
      </c>
    </row>
    <row r="7" spans="2:9" ht="17" customHeight="1">
      <c r="B7" s="102" t="s">
        <v>1187</v>
      </c>
    </row>
    <row r="8" spans="2:9" ht="17" customHeight="1">
      <c r="B8" s="102" t="s">
        <v>1188</v>
      </c>
    </row>
    <row r="9" spans="2:9" ht="17" customHeight="1">
      <c r="B9" s="102" t="s">
        <v>1189</v>
      </c>
    </row>
    <row r="10" spans="2:9" ht="17" customHeight="1">
      <c r="B10" s="102" t="s">
        <v>1190</v>
      </c>
    </row>
    <row r="12" spans="2:9" ht="17" customHeight="1">
      <c r="B12" s="102" t="s">
        <v>1191</v>
      </c>
    </row>
    <row r="13" spans="2:9" ht="17" customHeight="1">
      <c r="B13" s="102" t="s">
        <v>1192</v>
      </c>
    </row>
    <row r="14" spans="2:9" ht="17" customHeight="1">
      <c r="B14" s="102" t="s">
        <v>1193</v>
      </c>
    </row>
    <row r="15" spans="2:9" ht="17" customHeight="1">
      <c r="B15" s="102" t="s">
        <v>1194</v>
      </c>
    </row>
    <row r="16" spans="2:9" ht="17" customHeight="1">
      <c r="B16" s="101" t="s">
        <v>1195</v>
      </c>
    </row>
    <row r="20" spans="2:2" ht="17" customHeight="1">
      <c r="B20" s="102" t="s">
        <v>1196</v>
      </c>
    </row>
    <row r="21" spans="2:2" ht="17" customHeight="1">
      <c r="B21" s="102" t="s">
        <v>1197</v>
      </c>
    </row>
    <row r="22" spans="2:2" ht="17" customHeight="1">
      <c r="B22" s="102" t="s">
        <v>1198</v>
      </c>
    </row>
    <row r="24" spans="2:2" ht="17" customHeight="1">
      <c r="B24" s="102" t="s">
        <v>1199</v>
      </c>
    </row>
    <row r="25" spans="2:2" ht="17" customHeight="1">
      <c r="B25" s="101" t="s">
        <v>1200</v>
      </c>
    </row>
    <row r="27" spans="2:2" ht="17" customHeight="1">
      <c r="B27" s="103" t="s">
        <v>1201</v>
      </c>
    </row>
    <row r="28" spans="2:2" ht="17" customHeight="1">
      <c r="B28" s="101" t="s">
        <v>1202</v>
      </c>
    </row>
    <row r="32" spans="2:2" ht="17" customHeight="1">
      <c r="B32" s="101" t="s">
        <v>1203</v>
      </c>
    </row>
    <row r="34" spans="2:2" ht="17" customHeight="1">
      <c r="B34" s="102" t="s">
        <v>1204</v>
      </c>
    </row>
    <row r="35" spans="2:2" ht="17" customHeight="1">
      <c r="B35" s="102" t="s">
        <v>1205</v>
      </c>
    </row>
    <row r="36" spans="2:2" ht="17" customHeight="1">
      <c r="B36" s="102" t="s">
        <v>1206</v>
      </c>
    </row>
    <row r="37" spans="2:2" ht="17" customHeight="1">
      <c r="B37" s="102" t="s">
        <v>1207</v>
      </c>
    </row>
    <row r="38" spans="2:2" ht="17" customHeight="1">
      <c r="B38" s="102" t="s">
        <v>1208</v>
      </c>
    </row>
    <row r="42" spans="2:2" ht="17" customHeight="1">
      <c r="B42" s="101" t="s">
        <v>1209</v>
      </c>
    </row>
    <row r="46" spans="2:2" ht="17" customHeight="1">
      <c r="B46" s="101" t="s">
        <v>1210</v>
      </c>
    </row>
    <row r="48" spans="2:2" ht="17" customHeight="1">
      <c r="B48" s="102" t="s">
        <v>1211</v>
      </c>
    </row>
    <row r="49" spans="2:2" ht="17" customHeight="1">
      <c r="B49" s="102" t="s">
        <v>1212</v>
      </c>
    </row>
    <row r="50" spans="2:2" ht="17" customHeight="1">
      <c r="B50" s="102" t="s">
        <v>1213</v>
      </c>
    </row>
    <row r="51" spans="2:2" ht="17" customHeight="1">
      <c r="B51" s="102" t="s">
        <v>1214</v>
      </c>
    </row>
    <row r="52" spans="2:2" ht="17" customHeight="1">
      <c r="B52" s="102" t="s">
        <v>1215</v>
      </c>
    </row>
    <row r="56" spans="2:2" ht="17" customHeight="1">
      <c r="B56" s="101" t="s">
        <v>1216</v>
      </c>
    </row>
    <row r="60" spans="2:2" ht="17" customHeight="1">
      <c r="B60" s="102" t="s">
        <v>1217</v>
      </c>
    </row>
    <row r="61" spans="2:2" ht="17" customHeight="1">
      <c r="B61" s="101" t="s">
        <v>1218</v>
      </c>
    </row>
    <row r="62" spans="2:2" ht="17" customHeight="1">
      <c r="B62" s="102" t="s">
        <v>1219</v>
      </c>
    </row>
    <row r="63" spans="2:2" ht="17" customHeight="1">
      <c r="B63" s="102" t="s">
        <v>1220</v>
      </c>
    </row>
    <row r="64" spans="2:2" ht="17" customHeight="1">
      <c r="B64" s="102" t="s">
        <v>1221</v>
      </c>
    </row>
    <row r="66" spans="2:2" ht="17" customHeight="1">
      <c r="B66" s="102" t="s">
        <v>1222</v>
      </c>
    </row>
    <row r="67" spans="2:2" ht="17" customHeight="1">
      <c r="B67" s="101" t="s">
        <v>1223</v>
      </c>
    </row>
    <row r="68" spans="2:2" ht="17" customHeight="1">
      <c r="B68" s="102" t="s">
        <v>1224</v>
      </c>
    </row>
    <row r="69" spans="2:2" ht="17" customHeight="1">
      <c r="B69" s="102" t="s">
        <v>1225</v>
      </c>
    </row>
    <row r="70" spans="2:2" ht="17" customHeight="1">
      <c r="B70" s="102" t="s">
        <v>1226</v>
      </c>
    </row>
    <row r="74" spans="2:2" ht="17" customHeight="1">
      <c r="B74" s="102" t="s">
        <v>1227</v>
      </c>
    </row>
    <row r="75" spans="2:2" ht="17" customHeight="1">
      <c r="B75" s="101" t="s">
        <v>1228</v>
      </c>
    </row>
    <row r="79" spans="2:2" ht="17" customHeight="1">
      <c r="B79" s="101" t="s">
        <v>1229</v>
      </c>
    </row>
    <row r="83" spans="2:2" ht="17" customHeight="1">
      <c r="B83" s="102" t="s">
        <v>1230</v>
      </c>
    </row>
    <row r="84" spans="2:2" ht="17" customHeight="1">
      <c r="B84" s="102" t="s">
        <v>1231</v>
      </c>
    </row>
    <row r="85" spans="2:2" ht="17" customHeight="1">
      <c r="B85" s="102" t="s">
        <v>1232</v>
      </c>
    </row>
    <row r="86" spans="2:2" ht="17" customHeight="1">
      <c r="B86" s="102" t="s">
        <v>1233</v>
      </c>
    </row>
    <row r="87" spans="2:2" ht="17" customHeight="1">
      <c r="B87" s="102" t="s">
        <v>1234</v>
      </c>
    </row>
    <row r="91" spans="2:2" ht="17" customHeight="1">
      <c r="B91" s="102" t="s">
        <v>1235</v>
      </c>
    </row>
    <row r="92" spans="2:2" ht="17" customHeight="1">
      <c r="B92" s="101" t="s">
        <v>1236</v>
      </c>
    </row>
    <row r="96" spans="2:2" ht="17" customHeight="1">
      <c r="B96" s="102" t="s">
        <v>1237</v>
      </c>
    </row>
    <row r="97" spans="2:2" ht="17" customHeight="1">
      <c r="B97" s="101" t="s">
        <v>1238</v>
      </c>
    </row>
    <row r="98" spans="2:2" ht="17" customHeight="1">
      <c r="B98" s="102" t="s">
        <v>1239</v>
      </c>
    </row>
    <row r="99" spans="2:2" ht="17" customHeight="1">
      <c r="B99" s="102" t="s">
        <v>1240</v>
      </c>
    </row>
    <row r="101" spans="2:2" ht="17" customHeight="1">
      <c r="B101" s="102" t="s">
        <v>1241</v>
      </c>
    </row>
    <row r="102" spans="2:2" ht="17" customHeight="1">
      <c r="B102" s="101" t="s">
        <v>1242</v>
      </c>
    </row>
    <row r="103" spans="2:2" ht="17" customHeight="1">
      <c r="B103" s="102" t="s">
        <v>1243</v>
      </c>
    </row>
    <row r="104" spans="2:2" ht="17" customHeight="1">
      <c r="B104" s="102" t="s">
        <v>1244</v>
      </c>
    </row>
    <row r="105" spans="2:2" ht="17" customHeight="1">
      <c r="B105" s="102" t="s">
        <v>1245</v>
      </c>
    </row>
    <row r="109" spans="2:2" ht="17" customHeight="1">
      <c r="B109" s="102" t="s">
        <v>1246</v>
      </c>
    </row>
    <row r="110" spans="2:2" ht="17" customHeight="1">
      <c r="B110" s="101" t="s">
        <v>1247</v>
      </c>
    </row>
    <row r="114" spans="2:2" ht="17" customHeight="1">
      <c r="B114" s="101" t="s">
        <v>1248</v>
      </c>
    </row>
    <row r="118" spans="2:2" ht="17" customHeight="1">
      <c r="B118" s="102" t="s">
        <v>1249</v>
      </c>
    </row>
    <row r="119" spans="2:2" ht="17" customHeight="1">
      <c r="B119" s="102" t="s">
        <v>1250</v>
      </c>
    </row>
    <row r="120" spans="2:2" ht="17" customHeight="1">
      <c r="B120" s="102" t="s">
        <v>1251</v>
      </c>
    </row>
    <row r="121" spans="2:2" ht="17" customHeight="1">
      <c r="B121" s="102" t="s">
        <v>1252</v>
      </c>
    </row>
    <row r="126" spans="2:2" ht="17" customHeight="1">
      <c r="B126" s="102" t="s">
        <v>1253</v>
      </c>
    </row>
    <row r="127" spans="2:2" ht="17" customHeight="1">
      <c r="B127" s="102" t="s">
        <v>1254</v>
      </c>
    </row>
    <row r="128" spans="2:2" ht="17" customHeight="1">
      <c r="B128" s="102" t="s">
        <v>1255</v>
      </c>
    </row>
    <row r="129" spans="2:2" ht="17" customHeight="1">
      <c r="B129" s="102" t="s">
        <v>1256</v>
      </c>
    </row>
    <row r="130" spans="2:2" ht="17" customHeight="1">
      <c r="B130" s="102" t="s">
        <v>1257</v>
      </c>
    </row>
    <row r="131" spans="2:2" ht="17" customHeight="1">
      <c r="B131" s="102" t="s">
        <v>1258</v>
      </c>
    </row>
    <row r="132" spans="2:2" ht="17" customHeight="1">
      <c r="B132" s="102" t="s">
        <v>1259</v>
      </c>
    </row>
    <row r="133" spans="2:2" ht="17" customHeight="1">
      <c r="B133" s="101" t="s">
        <v>1260</v>
      </c>
    </row>
    <row r="138" spans="2:2" ht="17" customHeight="1">
      <c r="B138" s="101" t="s">
        <v>1261</v>
      </c>
    </row>
    <row r="139" spans="2:2" ht="17" customHeight="1">
      <c r="B139" s="101" t="s">
        <v>1262</v>
      </c>
    </row>
    <row r="140" spans="2:2" ht="17" customHeight="1">
      <c r="B140" s="102" t="s">
        <v>1263</v>
      </c>
    </row>
    <row r="141" spans="2:2" ht="17" customHeight="1">
      <c r="B141" s="102" t="s">
        <v>1264</v>
      </c>
    </row>
    <row r="142" spans="2:2" ht="17" customHeight="1">
      <c r="B142" s="101" t="s">
        <v>1265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START HERE</vt:lpstr>
      <vt:lpstr>Package Reference</vt:lpstr>
      <vt:lpstr>Complexity Reference</vt:lpstr>
      <vt:lpstr>Quote Calculator</vt:lpstr>
      <vt:lpstr>ROI App</vt:lpstr>
      <vt:lpstr>ROI App_v1</vt:lpstr>
      <vt:lpstr>ROI App_v0</vt:lpstr>
      <vt:lpstr>Example Quotes</vt:lpstr>
      <vt:lpstr>Access Models</vt:lpstr>
      <vt:lpstr>Client Quote Summary</vt:lpstr>
      <vt:lpstr>Pricing Logic</vt:lpstr>
      <vt:lpstr>AI Aut Logic</vt:lpstr>
      <vt:lpstr>AUDIT Pricing</vt:lpstr>
      <vt:lpstr>B&amp;T Matrix</vt:lpstr>
      <vt:lpstr>Numerologia</vt:lpstr>
      <vt:lpstr>Numertologia VD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2026-07-16T15:55:24Z</dcterms:modified>
  <dc:language>en-US</dc:language>
</cp:coreProperties>
</file>