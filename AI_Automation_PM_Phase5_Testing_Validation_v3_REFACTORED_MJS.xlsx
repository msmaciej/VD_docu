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ables/table6.xml" ContentType="application/vnd.openxmlformats-officedocument.spreadsheetml.table+xml"/>
  <Override PartName="/xl/tables/table7.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Test Result Triage Helper" sheetId="2" state="visible" r:id="rId4"/>
    <sheet name="Phase4 to Phase5 Handoff" sheetId="3" state="visible" r:id="rId5"/>
    <sheet name="Test Case Matrix" sheetId="4" state="visible" r:id="rId6"/>
    <sheet name="AI Validation" sheetId="5" state="visible" r:id="rId7"/>
    <sheet name="Approval Escalation Tests" sheetId="6" state="visible" r:id="rId8"/>
    <sheet name="Error Monitoring Tests" sheetId="7" state="visible" r:id="rId9"/>
    <sheet name="Defect Log" sheetId="8" state="visible" r:id="rId10"/>
    <sheet name="Go No-Go Checklist" sheetId="9" state="visible" r:id="rId11"/>
    <sheet name="List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<sst xmlns="http://schemas.openxmlformats.org/spreadsheetml/2006/main" count="455" uniqueCount="353">
  <si>
    <t xml:space="preserve">Phase 5 — Testing / Validation</t>
  </si>
  <si>
    <t xml:space="preserve">Purpose: validate that the MVP built in Phase 4 is safe, reliable, and ready for go-live.</t>
  </si>
  <si>
    <t xml:space="preserve">Step</t>
  </si>
  <si>
    <t xml:space="preserve">What to do</t>
  </si>
  <si>
    <t xml:space="preserve">Output</t>
  </si>
  <si>
    <t xml:space="preserve">1</t>
  </si>
  <si>
    <t xml:space="preserve">Copy approved MVP modules from Phase 4 into the handoff sheet.</t>
  </si>
  <si>
    <t xml:space="preserve">Clear list of items to test.</t>
  </si>
  <si>
    <t xml:space="preserve">2</t>
  </si>
  <si>
    <t xml:space="preserve">Create test cases covering normal, edge, risk, and failure scenarios.</t>
  </si>
  <si>
    <t xml:space="preserve">Test Case Matrix completed.</t>
  </si>
  <si>
    <t xml:space="preserve">3</t>
  </si>
  <si>
    <t xml:space="preserve">Run each test and record actual result, pass/fail, defect, owner, and fix notes.</t>
  </si>
  <si>
    <t xml:space="preserve">Evidence-based validation.</t>
  </si>
  <si>
    <t xml:space="preserve">4</t>
  </si>
  <si>
    <t xml:space="preserve">Review AI classification quality separately: category, confidence, fallback, hallucination risk.</t>
  </si>
  <si>
    <t xml:space="preserve">AI Validation completed.</t>
  </si>
  <si>
    <t xml:space="preserve">5</t>
  </si>
  <si>
    <t xml:space="preserve">Review approval, escalation, audit, error handling, and security behavior.</t>
  </si>
  <si>
    <t xml:space="preserve">Safety checks completed.</t>
  </si>
  <si>
    <t xml:space="preserve">6</t>
  </si>
  <si>
    <t xml:space="preserve">Only approve go-live if critical issues are closed and success criteria are met.</t>
  </si>
  <si>
    <t xml:space="preserve">Go / No-Go decision.</t>
  </si>
  <si>
    <t xml:space="preserve">We planned this PM flow:</t>
  </si>
  <si>
    <t xml:space="preserve">Phase 1 — Discovery / Analysis</t>
  </si>
  <si>
    <t xml:space="preserve">Understand client needs, channels, risks, pain points, possible package direction.</t>
  </si>
  <si>
    <t xml:space="preserve">Phase 2 — Scope Definition / MVP Design</t>
  </si>
  <si>
    <t xml:space="preserve">Convert discovery answers into a clear first project scope.</t>
  </si>
  <si>
    <t xml:space="preserve">Phase 3 — Solution Blueprint</t>
  </si>
  <si>
    <t xml:space="preserve">Design workflow logic, tools, data fields, routing, approvals, security.</t>
  </si>
  <si>
    <t xml:space="preserve">Phase 4 — MVP Build</t>
  </si>
  <si>
    <t xml:space="preserve">Build the first safe automation version.</t>
  </si>
  <si>
    <t xml:space="preserve">Test real cases, edge cases, errors, wrong classifications, approvals.</t>
  </si>
  <si>
    <t xml:space="preserve">Phase 6 — Go-live / Managed Service</t>
  </si>
  <si>
    <t xml:space="preserve">Launch, monitor, maintain, improve, report.</t>
  </si>
  <si>
    <t xml:space="preserve">Phase 5 Progress (auto-computed)</t>
  </si>
  <si>
    <t xml:space="preserve">Test Case Matrix — by Pass/Fail</t>
  </si>
  <si>
    <t xml:space="preserve">Status</t>
  </si>
  <si>
    <t xml:space="preserve">Meaning</t>
  </si>
  <si>
    <t xml:space="preserve">Count</t>
  </si>
  <si>
    <t xml:space="preserve">Pass</t>
  </si>
  <si>
    <t xml:space="preserve">Test passed.</t>
  </si>
  <si>
    <t xml:space="preserve">Fail</t>
  </si>
  <si>
    <t xml:space="preserve">Test failed.</t>
  </si>
  <si>
    <t xml:space="preserve">Partial</t>
  </si>
  <si>
    <t xml:space="preserve">Partial pass — close but not exact.</t>
  </si>
  <si>
    <t xml:space="preserve">Not Tested</t>
  </si>
  <si>
    <t xml:space="preserve">Not yet run.</t>
  </si>
  <si>
    <t xml:space="preserve">Blocked</t>
  </si>
  <si>
    <t xml:space="preserve">Cannot test.</t>
  </si>
  <si>
    <t xml:space="preserve">Approval Escalation Tests — by Pass/Fail</t>
  </si>
  <si>
    <t xml:space="preserve">Approval/escalation behavior correct.</t>
  </si>
  <si>
    <t xml:space="preserve">Failed — risky behavior detected.</t>
  </si>
  <si>
    <t xml:space="preserve">Partial pass.</t>
  </si>
  <si>
    <t xml:space="preserve">Error Monitoring Tests — by Pass/Fail</t>
  </si>
  <si>
    <t xml:space="preserve">Fallback behaved correctly.</t>
  </si>
  <si>
    <t xml:space="preserve">Fallback failed.</t>
  </si>
  <si>
    <t xml:space="preserve">Defect Log — by Status</t>
  </si>
  <si>
    <t xml:space="preserve">Open</t>
  </si>
  <si>
    <t xml:space="preserve">Defect open.</t>
  </si>
  <si>
    <t xml:space="preserve">In Progress</t>
  </si>
  <si>
    <t xml:space="preserve">Being worked.</t>
  </si>
  <si>
    <t xml:space="preserve">Retest</t>
  </si>
  <si>
    <t xml:space="preserve">Fixed; awaiting retest.</t>
  </si>
  <si>
    <t xml:space="preserve">Closed</t>
  </si>
  <si>
    <t xml:space="preserve">Closed (fixed and verified).</t>
  </si>
  <si>
    <t xml:space="preserve">Accepted Risk</t>
  </si>
  <si>
    <t xml:space="preserve">Closed without fix — risk accepted.</t>
  </si>
  <si>
    <t xml:space="preserve">Go No-Go Checklist — by Status</t>
  </si>
  <si>
    <t xml:space="preserve">Gate passed.</t>
  </si>
  <si>
    <t xml:space="preserve">Gate failed.</t>
  </si>
  <si>
    <t xml:space="preserve">Gate partly met.</t>
  </si>
  <si>
    <t xml:space="preserve">Gate not yet evaluated.</t>
  </si>
  <si>
    <t xml:space="preserve">Ready for Phase 6 go-live when (a) every Test Case Matrix row is 'Pass' (or 'Partial' with documented exception), (b) every Approval and Error test is 'Pass', (c) every Defect Log row is 'Closed' or 'Accepted Risk', and (d) every Go No-Go gate is 'Pass'.</t>
  </si>
  <si>
    <t xml:space="preserve">Test Result Triage Helper — one test, one verdict</t>
  </si>
  <si>
    <t xml:space="preserve">Use this AFTER running a single test, before recording Pass/Fail on the Test Case Matrix. Fill the 6 yellow inputs; the blue cells suggest verdict, severity, whether a defect is needed, go-live blocker status, and recommended next action. PM judgment still final.</t>
  </si>
  <si>
    <t xml:space="preserve">INPUTS — about this one test run</t>
  </si>
  <si>
    <t xml:space="preserve">#</t>
  </si>
  <si>
    <t xml:space="preserve">Question</t>
  </si>
  <si>
    <t xml:space="preserve">Allowed values</t>
  </si>
  <si>
    <t xml:space="preserve">Answer</t>
  </si>
  <si>
    <t xml:space="preserve">Q1</t>
  </si>
  <si>
    <t xml:space="preserve">Q1. Did the actual result match the expected?</t>
  </si>
  <si>
    <t xml:space="preserve">Exactly / Close (minor differences) / Partially / No / Errored before completion</t>
  </si>
  <si>
    <t xml:space="preserve">Exactly</t>
  </si>
  <si>
    <t xml:space="preserve">Q2</t>
  </si>
  <si>
    <t xml:space="preserve">Q2. Type of mismatch (if any)</t>
  </si>
  <si>
    <t xml:space="preserve">None / Wrong category / Wrong action / Wrong route / Unsafe behavior / Other</t>
  </si>
  <si>
    <t xml:space="preserve">None</t>
  </si>
  <si>
    <t xml:space="preserve">Q3</t>
  </si>
  <si>
    <t xml:space="preserve">Q3. Reproducibility</t>
  </si>
  <si>
    <t xml:space="preserve">Always / Sometimes / Once (could not reproduce)</t>
  </si>
  <si>
    <t xml:space="preserve">Always</t>
  </si>
  <si>
    <t xml:space="preserve">Q4</t>
  </si>
  <si>
    <t xml:space="preserve">Q4. Safety / privacy impact if this bug ships</t>
  </si>
  <si>
    <t xml:space="preserve">None / Minor / Major / Critical (data loss, sensitive harm, legal)</t>
  </si>
  <si>
    <t xml:space="preserve">Q5</t>
  </si>
  <si>
    <t xml:space="preserve">Q5. Affected scope</t>
  </si>
  <si>
    <t xml:space="preserve">Single test / Single category / Whole workflow / Multiple workflows</t>
  </si>
  <si>
    <t xml:space="preserve">Single test</t>
  </si>
  <si>
    <t xml:space="preserve">Q6</t>
  </si>
  <si>
    <t xml:space="preserve">Q6. Test scenario type</t>
  </si>
  <si>
    <t xml:space="preserve">Normal / Edge / Risk / Failure / Error simulation</t>
  </si>
  <si>
    <t xml:space="preserve">Normal</t>
  </si>
  <si>
    <t xml:space="preserve">SUGGESTED VERDICT (auto-calculated)</t>
  </si>
  <si>
    <t xml:space="preserve">Indicator</t>
  </si>
  <si>
    <t xml:space="preserve">Suggested Value (formula)</t>
  </si>
  <si>
    <t xml:space="preserve">Reasoning hint</t>
  </si>
  <si>
    <t xml:space="preserve">O1</t>
  </si>
  <si>
    <t xml:space="preserve">Verdict (Pass/Fail)</t>
  </si>
  <si>
    <t xml:space="preserve">Exactly match → Pass. Unsafe behavior → Fail regardless. Partial → Partial.</t>
  </si>
  <si>
    <t xml:space="preserve">O2</t>
  </si>
  <si>
    <t xml:space="preserve">Severity (if defect)</t>
  </si>
  <si>
    <t xml:space="preserve">Critical safety → Critical. Wrong action/route → High. Wrong category → Medium.</t>
  </si>
  <si>
    <t xml:space="preserve">O3</t>
  </si>
  <si>
    <t xml:space="preserve">Defect needed?</t>
  </si>
  <si>
    <t xml:space="preserve">Exact pass → No. Close → Maybe (log only). Otherwise → Yes.</t>
  </si>
  <si>
    <t xml:space="preserve">O4</t>
  </si>
  <si>
    <t xml:space="preserve">Go-live blocker?</t>
  </si>
  <si>
    <t xml:space="preserve">Critical safety always blocks. Risk/Failure scenarios that fail block. Whole-workflow scope blocks.</t>
  </si>
  <si>
    <t xml:space="preserve">O5</t>
  </si>
  <si>
    <t xml:space="preserve">Recommended next action</t>
  </si>
  <si>
    <t xml:space="preserve">Single concrete next step based on the combination.</t>
  </si>
  <si>
    <t xml:space="preserve">How to use this with the Test Case Matrix:</t>
  </si>
  <si>
    <t xml:space="preserve">  1) Run one test (TC-### row on Test Case Matrix).</t>
  </si>
  <si>
    <t xml:space="preserve">  2) Fill the 6 yellow inputs here.</t>
  </si>
  <si>
    <t xml:space="preserve">  3) Read the 5 blue suggestions; record the Pass/Fail on the matrix.</t>
  </si>
  <si>
    <t xml:space="preserve">  4) If a defect is needed → open a Defect Log row with the suggested severity and blocker status.</t>
  </si>
  <si>
    <t xml:space="preserve">Caveat: this is decision support. PM judgment overrides — especially for 'Conditional' go-live blocker calls.</t>
  </si>
  <si>
    <t xml:space="preserve">Phase4 to Phase5 Handoff</t>
  </si>
  <si>
    <t xml:space="preserve">Transfer the built MVP components and expected behavior from Phase 4.</t>
  </si>
  <si>
    <t xml:space="preserve">Build Component</t>
  </si>
  <si>
    <t xml:space="preserve">Expected Behavior</t>
  </si>
  <si>
    <t xml:space="preserve">Source from Phase4</t>
  </si>
  <si>
    <t xml:space="preserve">Test Priority</t>
  </si>
  <si>
    <t xml:space="preserve">Risk Level</t>
  </si>
  <si>
    <t xml:space="preserve">Ready for Test?</t>
  </si>
  <si>
    <t xml:space="preserve">Notes</t>
  </si>
  <si>
    <t xml:space="preserve">Owner</t>
  </si>
  <si>
    <t xml:space="preserve">Trigger / Intake</t>
  </si>
  <si>
    <t xml:space="preserve">Receives only intended trigger inputs (messages, documents, events, or data records).</t>
  </si>
  <si>
    <t xml:space="preserve">Phase4 Module Build Plan</t>
  </si>
  <si>
    <t xml:space="preserve">High</t>
  </si>
  <si>
    <t xml:space="preserve">Medium</t>
  </si>
  <si>
    <t xml:space="preserve">Data Normalization</t>
  </si>
  <si>
    <t xml:space="preserve">Maps source input fields into standard format correctly (channel, type, content, timestamp, source_id).</t>
  </si>
  <si>
    <t xml:space="preserve">Phase4 Data Map</t>
  </si>
  <si>
    <t xml:space="preserve">AI Classifier</t>
  </si>
  <si>
    <t xml:space="preserve">Returns valid JSON with category, confidence, reason, action.</t>
  </si>
  <si>
    <t xml:space="preserve">Phase4 AI Prompt Config</t>
  </si>
  <si>
    <t xml:space="preserve">Router</t>
  </si>
  <si>
    <t xml:space="preserve">Routes each classification to the correct branch.</t>
  </si>
  <si>
    <t xml:space="preserve">CRM / Log</t>
  </si>
  <si>
    <t xml:space="preserve">Creates correct record with status and audit fields.</t>
  </si>
  <si>
    <t xml:space="preserve">Phase4 Build Backlog</t>
  </si>
  <si>
    <t xml:space="preserve">Human Approval</t>
  </si>
  <si>
    <t xml:space="preserve">Drafts or actions are held for approval where required.</t>
  </si>
  <si>
    <t xml:space="preserve">Phase4 Approval Design</t>
  </si>
  <si>
    <t xml:space="preserve">Error Handling</t>
  </si>
  <si>
    <t xml:space="preserve">Failed modules create error status and alert owner.</t>
  </si>
  <si>
    <t xml:space="preserve">Phase4 Error Build</t>
  </si>
  <si>
    <t xml:space="preserve">Test Case Matrix</t>
  </si>
  <si>
    <t xml:space="preserve">Main testing sheet: define cases, run tests, record evidence, defects, and decisions.</t>
  </si>
  <si>
    <t xml:space="preserve">Test ID</t>
  </si>
  <si>
    <t xml:space="preserve">Scenario Type</t>
  </si>
  <si>
    <t xml:space="preserve">Input Channel</t>
  </si>
  <si>
    <t xml:space="preserve">Test Input / Message</t>
  </si>
  <si>
    <t xml:space="preserve">Expected Classification</t>
  </si>
  <si>
    <t xml:space="preserve">Expected Action</t>
  </si>
  <si>
    <t xml:space="preserve">Human Approval Required?</t>
  </si>
  <si>
    <t xml:space="preserve">Expected Output / Evidence</t>
  </si>
  <si>
    <t xml:space="preserve">Actual Result</t>
  </si>
  <si>
    <t xml:space="preserve">Pass/Fail</t>
  </si>
  <si>
    <t xml:space="preserve">Defect ID</t>
  </si>
  <si>
    <t xml:space="preserve">Severity</t>
  </si>
  <si>
    <t xml:space="preserve">Fix / Retest Notes</t>
  </si>
  <si>
    <t xml:space="preserve">Retest Result</t>
  </si>
  <si>
    <t xml:space="preserve">Completeness Status (AUTO)</t>
  </si>
  <si>
    <t xml:space="preserve">TC-001</t>
  </si>
  <si>
    <t xml:space="preserve">Website form</t>
  </si>
  <si>
    <t xml:space="preserve">Customer asks where to buy product in Switzerland.</t>
  </si>
  <si>
    <t xml:space="preserve">LEAD</t>
  </si>
  <si>
    <t xml:space="preserve">Create CRM item, move email to Leads, no auto-send.</t>
  </si>
  <si>
    <t xml:space="preserve">Yes</t>
  </si>
  <si>
    <t xml:space="preserve">CRM item + folder move + audit log</t>
  </si>
  <si>
    <t xml:space="preserve">TC-002</t>
  </si>
  <si>
    <t xml:space="preserve">Out-of-scope</t>
  </si>
  <si>
    <t xml:space="preserve">Distributor request for Bangladesh.</t>
  </si>
  <si>
    <t xml:space="preserve">SEEKER</t>
  </si>
  <si>
    <t xml:space="preserve">Create SEEKER record, use approved short reply draft or no reply depending policy.</t>
  </si>
  <si>
    <t xml:space="preserve">SEEKER status + audit log</t>
  </si>
  <si>
    <t xml:space="preserve">TC-003</t>
  </si>
  <si>
    <t xml:space="preserve">Spam</t>
  </si>
  <si>
    <t xml:space="preserve">Generic SEO offer with suspicious links.</t>
  </si>
  <si>
    <t xml:space="preserve">SPAM</t>
  </si>
  <si>
    <t xml:space="preserve">Move to spam-review folder, do not delete.</t>
  </si>
  <si>
    <t xml:space="preserve">No</t>
  </si>
  <si>
    <t xml:space="preserve">Email moved + audit log</t>
  </si>
  <si>
    <t xml:space="preserve">TC-004</t>
  </si>
  <si>
    <t xml:space="preserve">Sensitive</t>
  </si>
  <si>
    <t xml:space="preserve">Gmail</t>
  </si>
  <si>
    <t xml:space="preserve">Client asks for personal medical/therapy advice.</t>
  </si>
  <si>
    <t xml:space="preserve">SENSITIVE / HUMAN_REVIEW</t>
  </si>
  <si>
    <t xml:space="preserve">Escalate to human, no AI advice.</t>
  </si>
  <si>
    <t xml:space="preserve">Human review alert</t>
  </si>
  <si>
    <t xml:space="preserve">TC-005</t>
  </si>
  <si>
    <t xml:space="preserve">Error</t>
  </si>
  <si>
    <t xml:space="preserve">Force AI API failure or invalid JSON response.</t>
  </si>
  <si>
    <t xml:space="preserve">ERROR</t>
  </si>
  <si>
    <t xml:space="preserve">Stop action, log error, notify owner.</t>
  </si>
  <si>
    <t xml:space="preserve">Error log + notification</t>
  </si>
  <si>
    <t xml:space="preserve">TC-D01</t>
  </si>
  <si>
    <t xml:space="preserve">Non-normal</t>
  </si>
  <si>
    <t xml:space="preserve">Document upload (email attachment)</t>
  </si>
  <si>
    <t xml:space="preserve">[Invoice PDF] Supplier: ABC GmbH, CHF 4'850, due 2026-07-15</t>
  </si>
  <si>
    <t xml:space="preserve">INVOICE / EXTRACT</t>
  </si>
  <si>
    <t xml:space="preserve">Extract all required fields → validate → log to accounting tool; flag mismatches for review.</t>
  </si>
  <si>
    <t xml:space="preserve">Extracted data logged; mismatch → exception alert sent</t>
  </si>
  <si>
    <t xml:space="preserve">TC-D02</t>
  </si>
  <si>
    <t xml:space="preserve">Approval request form submission</t>
  </si>
  <si>
    <t xml:space="preserve">[Purchase request] CHF 1'200 office equipment — route to manager for approval</t>
  </si>
  <si>
    <t xml:space="preserve">APPROVAL_REQUEST</t>
  </si>
  <si>
    <t xml:space="preserve">Route to approver → send notification and log; reminder if no response within 24h.</t>
  </si>
  <si>
    <t xml:space="preserve">Notification sent; request logged; reminder scheduled at +24h</t>
  </si>
  <si>
    <t xml:space="preserve">Low</t>
  </si>
  <si>
    <t xml:space="preserve">AI Validation</t>
  </si>
  <si>
    <t xml:space="preserve">Validate AI behavior separately from workflow execution.</t>
  </si>
  <si>
    <t xml:space="preserve">Message</t>
  </si>
  <si>
    <t xml:space="preserve">Expected Category</t>
  </si>
  <si>
    <t xml:space="preserve">AI Category</t>
  </si>
  <si>
    <t xml:space="preserve">Confidence</t>
  </si>
  <si>
    <t xml:space="preserve">Reason Quality</t>
  </si>
  <si>
    <t xml:space="preserve">JSON Valid?</t>
  </si>
  <si>
    <t xml:space="preserve">Fallback Triggered?</t>
  </si>
  <si>
    <t xml:space="preserve">Hallucination / Unsafe Content?</t>
  </si>
  <si>
    <t xml:space="preserve">Decision</t>
  </si>
  <si>
    <t xml:space="preserve">AI-001</t>
  </si>
  <si>
    <t xml:space="preserve">Booking request / product purchase question.</t>
  </si>
  <si>
    <t xml:space="preserve">LEAD or BOOKING</t>
  </si>
  <si>
    <t xml:space="preserve">AI-002</t>
  </si>
  <si>
    <t xml:space="preserve">Distributor / reseller request outside target country.</t>
  </si>
  <si>
    <t xml:space="preserve">AI-003</t>
  </si>
  <si>
    <t xml:space="preserve">Complaint or angry message.</t>
  </si>
  <si>
    <t xml:space="preserve">COMPLAINT / HUMAN_REVIEW</t>
  </si>
  <si>
    <t xml:space="preserve">AI-004</t>
  </si>
  <si>
    <t xml:space="preserve">Sensitive therapy or medical question.</t>
  </si>
  <si>
    <t xml:space="preserve">AI-005</t>
  </si>
  <si>
    <t xml:space="preserve">Empty or unclear message.</t>
  </si>
  <si>
    <t xml:space="preserve">UNKNOWN / HUMAN_REVIEW</t>
  </si>
  <si>
    <t xml:space="preserve">AI-D01</t>
  </si>
  <si>
    <t xml:space="preserve">[Invoice PDF] Supplier ABC GmbH, CHF 4'850, due 2026-07-15</t>
  </si>
  <si>
    <t xml:space="preserve">INVOICE / EXTRACT — fields: supplier, amount, due_date, currency</t>
  </si>
  <si>
    <t xml:space="preserve">AI-D02</t>
  </si>
  <si>
    <t xml:space="preserve">Source blog post (800 words) submitted for repurposing to Instagram and LinkedIn</t>
  </si>
  <si>
    <t xml:space="preserve">CONTENT_REPURPOSE — drafts per platform; never auto-publish</t>
  </si>
  <si>
    <t xml:space="preserve">Approval &amp; Escalation Tests</t>
  </si>
  <si>
    <t xml:space="preserve">Validate that human control works where required.</t>
  </si>
  <si>
    <t xml:space="preserve">Rule / Case</t>
  </si>
  <si>
    <t xml:space="preserve">Test Input</t>
  </si>
  <si>
    <t xml:space="preserve">Actual Behavior</t>
  </si>
  <si>
    <t xml:space="preserve">Risk if Failed</t>
  </si>
  <si>
    <t xml:space="preserve">Fix Required</t>
  </si>
  <si>
    <t xml:space="preserve">AI draft reply</t>
  </si>
  <si>
    <t xml:space="preserve">Draft is created but not sent automatically.</t>
  </si>
  <si>
    <t xml:space="preserve">Wrong message may be sent.</t>
  </si>
  <si>
    <t xml:space="preserve">Sensitive case</t>
  </si>
  <si>
    <t xml:space="preserve">Escalates to human review and no advice is generated.</t>
  </si>
  <si>
    <t xml:space="preserve">Client safety/privacy risk.</t>
  </si>
  <si>
    <t xml:space="preserve">Complaint</t>
  </si>
  <si>
    <t xml:space="preserve">Marked urgent or human review.</t>
  </si>
  <si>
    <t xml:space="preserve">Reputation risk.</t>
  </si>
  <si>
    <t xml:space="preserve">Low confidence</t>
  </si>
  <si>
    <t xml:space="preserve">Routes to Human Review.</t>
  </si>
  <si>
    <t xml:space="preserve">Misclassification risk.</t>
  </si>
  <si>
    <t xml:space="preserve">Agentic action</t>
  </si>
  <si>
    <t xml:space="preserve">No calendar/CRM action without allowed rule and approval.</t>
  </si>
  <si>
    <t xml:space="preserve">Uncontrolled action risk.</t>
  </si>
  <si>
    <t xml:space="preserve">Error &amp; Monitoring Tests</t>
  </si>
  <si>
    <t xml:space="preserve">Validate failure behavior before go-live.</t>
  </si>
  <si>
    <t xml:space="preserve">Failure Scenario</t>
  </si>
  <si>
    <t xml:space="preserve">Expected Fallback</t>
  </si>
  <si>
    <t xml:space="preserve">How to Simulate</t>
  </si>
  <si>
    <t xml:space="preserve">Alert Sent?</t>
  </si>
  <si>
    <t xml:space="preserve">Audit Log Created?</t>
  </si>
  <si>
    <t xml:space="preserve">Fix Notes</t>
  </si>
  <si>
    <t xml:space="preserve">AI API unavailable</t>
  </si>
  <si>
    <t xml:space="preserve">Stop workflow, no wrong action, notify owner.</t>
  </si>
  <si>
    <t xml:space="preserve">Disable key / use test bad endpoint.</t>
  </si>
  <si>
    <t xml:space="preserve">Invalid AI JSON</t>
  </si>
  <si>
    <t xml:space="preserve">Route to error/human review.</t>
  </si>
  <si>
    <t xml:space="preserve">Force malformed response.</t>
  </si>
  <si>
    <t xml:space="preserve">CRM/Notion unavailable</t>
  </si>
  <si>
    <t xml:space="preserve">Do not lose message; create error notification.</t>
  </si>
  <si>
    <t xml:space="preserve">Disconnect CRM temporarily.</t>
  </si>
  <si>
    <t xml:space="preserve">Duplicate message</t>
  </si>
  <si>
    <t xml:space="preserve">Avoid duplicate CRM item or mark duplicate.</t>
  </si>
  <si>
    <t xml:space="preserve">Send same message twice.</t>
  </si>
  <si>
    <t xml:space="preserve">Wrong/empty required field</t>
  </si>
  <si>
    <t xml:space="preserve">Human review or error status.</t>
  </si>
  <si>
    <t xml:space="preserve">Submit empty email/message.</t>
  </si>
  <si>
    <t xml:space="preserve">Defect Log</t>
  </si>
  <si>
    <t xml:space="preserve">Track all issues found during testing until closed.</t>
  </si>
  <si>
    <t xml:space="preserve">Found In Test ID</t>
  </si>
  <si>
    <t xml:space="preserve">Description</t>
  </si>
  <si>
    <t xml:space="preserve">Root Cause</t>
  </si>
  <si>
    <t xml:space="preserve">Fix Action</t>
  </si>
  <si>
    <t xml:space="preserve">Retest Date</t>
  </si>
  <si>
    <t xml:space="preserve">Go-live Blocker?</t>
  </si>
  <si>
    <t xml:space="preserve">D-001</t>
  </si>
  <si>
    <t xml:space="preserve">D-002</t>
  </si>
  <si>
    <t xml:space="preserve">Go / No-Go Checklist</t>
  </si>
  <si>
    <t xml:space="preserve">Final validation gate before Phase 6 go-live.</t>
  </si>
  <si>
    <t xml:space="preserve">Gate</t>
  </si>
  <si>
    <t xml:space="preserve">Criteria</t>
  </si>
  <si>
    <t xml:space="preserve">Evidence / Notes</t>
  </si>
  <si>
    <t xml:space="preserve">Scope</t>
  </si>
  <si>
    <t xml:space="preserve">All MVP in-scope items tested.</t>
  </si>
  <si>
    <t xml:space="preserve">Critical Defects</t>
  </si>
  <si>
    <t xml:space="preserve">No open critical/high go-live blockers.</t>
  </si>
  <si>
    <t xml:space="preserve">AI Safety</t>
  </si>
  <si>
    <t xml:space="preserve">Sensitive/low-confidence cases route to human review.</t>
  </si>
  <si>
    <t xml:space="preserve">Approval</t>
  </si>
  <si>
    <t xml:space="preserve">No risky auto-send or autonomous action without approval.</t>
  </si>
  <si>
    <t xml:space="preserve">Errors generate notifications and audit logs.</t>
  </si>
  <si>
    <t xml:space="preserve">Security</t>
  </si>
  <si>
    <t xml:space="preserve">No exposed API keys or hardcoded secrets.</t>
  </si>
  <si>
    <t xml:space="preserve">Client Review</t>
  </si>
  <si>
    <t xml:space="preserve">Client reviewed and accepted MVP behavior.</t>
  </si>
  <si>
    <t xml:space="preserve">Go-live Decision</t>
  </si>
  <si>
    <t xml:space="preserve">GO / NO-GO / GO WITH LIMITATIONS</t>
  </si>
  <si>
    <t xml:space="preserve">Go-Live Readiness Summary (auto-computed)</t>
  </si>
  <si>
    <t xml:space="preserve">Test cases defined</t>
  </si>
  <si>
    <t xml:space="preserve">Test cases — Pass</t>
  </si>
  <si>
    <t xml:space="preserve">Test cases — Fail</t>
  </si>
  <si>
    <t xml:space="preserve">Test cases — Not Tested</t>
  </si>
  <si>
    <t xml:space="preserve">Defects logged</t>
  </si>
  <si>
    <t xml:space="preserve">Defects — Open or In Progress</t>
  </si>
  <si>
    <t xml:space="preserve">Defects — Closed / Accepted Risk</t>
  </si>
  <si>
    <t xml:space="preserve">Go-live blockers (col K = Yes)</t>
  </si>
  <si>
    <t xml:space="preserve">Approval/Escalation tests — Pass</t>
  </si>
  <si>
    <t xml:space="preserve">Error/Monitoring tests — Pass</t>
  </si>
  <si>
    <t xml:space="preserve">Go No-Go gates — Pass</t>
  </si>
  <si>
    <t xml:space="preserve">PassFail</t>
  </si>
  <si>
    <t xml:space="preserve">RiskLevel</t>
  </si>
  <si>
    <t xml:space="preserve">MVPRelevant</t>
  </si>
  <si>
    <t xml:space="preserve">Package</t>
  </si>
  <si>
    <t xml:space="preserve">Critical</t>
  </si>
  <si>
    <t xml:space="preserve">Basic</t>
  </si>
  <si>
    <t xml:space="preserve">Pro</t>
  </si>
  <si>
    <t xml:space="preserve">Later</t>
  </si>
  <si>
    <t xml:space="preserve">Managed</t>
  </si>
  <si>
    <t xml:space="preserve">Agentic</t>
  </si>
  <si>
    <t xml:space="preserve">Mixed</t>
  </si>
</sst>
</file>

<file path=xl/styles.xml><?xml version="1.0" encoding="utf-8"?>
<styleSheet xmlns="http://schemas.openxmlformats.org/spreadsheetml/2006/main">
  <numFmts count="2">
    <numFmt numFmtId="164" formatCode="General"/>
    <numFmt numFmtId="165" formatCode="General"/>
  </numFmts>
  <fonts count="12">
    <font>
      <sz val="11"/>
      <name val="Calibri"/>
      <family val="0"/>
      <charset val="1"/>
    </font>
    <font>
      <sz val="10"/>
      <name val="Arial"/>
      <family val="0"/>
    </font>
    <font>
      <sz val="10"/>
      <name val="Arial"/>
      <family val="0"/>
    </font>
    <font>
      <sz val="10"/>
      <name val="Arial"/>
      <family val="0"/>
    </font>
    <font>
      <b val="true"/>
      <sz val="14"/>
      <color rgb="FFFFFFFF"/>
      <name val="Calibri"/>
      <family val="2"/>
      <charset val="1"/>
    </font>
    <font>
      <i val="true"/>
      <sz val="11"/>
      <name val="Calibri"/>
      <family val="2"/>
      <charset val="1"/>
    </font>
    <font>
      <b val="true"/>
      <sz val="11"/>
      <color rgb="FFFFFFFF"/>
      <name val="Calibri"/>
      <family val="2"/>
      <charset val="1"/>
    </font>
    <font>
      <b val="true"/>
      <sz val="11"/>
      <name val="Calibri"/>
      <family val="2"/>
      <charset val="1"/>
    </font>
    <font>
      <b val="true"/>
      <sz val="11"/>
      <color rgb="FF000000"/>
      <name val="Calibri"/>
      <family val="2"/>
      <charset val="1"/>
    </font>
    <font>
      <sz val="11"/>
      <color rgb="FF000000"/>
      <name val="Calibri"/>
      <family val="2"/>
      <charset val="1"/>
    </font>
    <font>
      <i val="true"/>
      <sz val="11"/>
      <color rgb="FF000000"/>
      <name val="Calibri"/>
      <family val="2"/>
      <charset val="1"/>
    </font>
    <font>
      <b val="true"/>
      <sz val="14"/>
      <color rgb="FF000000"/>
      <name val="Calibri"/>
      <family val="2"/>
      <charset val="1"/>
    </font>
  </fonts>
  <fills count="10">
    <fill>
      <patternFill patternType="none"/>
    </fill>
    <fill>
      <patternFill patternType="gray125"/>
    </fill>
    <fill>
      <patternFill patternType="solid">
        <fgColor rgb="FF0B1F33"/>
        <bgColor rgb="FF003300"/>
      </patternFill>
    </fill>
    <fill>
      <patternFill patternType="solid">
        <fgColor rgb="FFF2F2F2"/>
        <bgColor rgb="FFE7E6E6"/>
      </patternFill>
    </fill>
    <fill>
      <patternFill patternType="solid">
        <fgColor rgb="FF1F4E78"/>
        <bgColor rgb="FF333333"/>
      </patternFill>
    </fill>
    <fill>
      <patternFill patternType="solid">
        <fgColor rgb="FFFFF2CC"/>
        <bgColor rgb="FFF2F2F2"/>
      </patternFill>
    </fill>
    <fill>
      <patternFill patternType="solid">
        <fgColor rgb="FFE7E6E6"/>
        <bgColor rgb="FFE2F0D9"/>
      </patternFill>
    </fill>
    <fill>
      <patternFill patternType="solid">
        <fgColor rgb="FFD9EAF7"/>
        <bgColor rgb="FFE7E6E6"/>
      </patternFill>
    </fill>
    <fill>
      <patternFill patternType="solid">
        <fgColor rgb="FFE2F0D9"/>
        <bgColor rgb="FFE7E6E6"/>
      </patternFill>
    </fill>
    <fill>
      <patternFill patternType="solid">
        <fgColor rgb="FF000000"/>
        <bgColor rgb="FF0B1F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true" applyAlignment="true" applyProtection="false">
      <alignment horizontal="center" vertical="center" textRotation="0" wrapText="true" indent="0" shrinkToFit="false"/>
      <protection locked="true" hidden="false"/>
    </xf>
    <xf numFmtId="164" fontId="8" fillId="6" borderId="0"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5" fontId="9" fillId="7"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8" fillId="7" borderId="0"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0" fillId="8" borderId="0" xfId="0" applyFont="true" applyBorder="false" applyAlignment="true" applyProtection="false">
      <alignment horizontal="general" vertical="top" textRotation="0" wrapText="true" indent="0" shrinkToFit="false"/>
      <protection locked="true" hidden="false"/>
    </xf>
    <xf numFmtId="164" fontId="0" fillId="8" borderId="0" xfId="0" applyFont="true" applyBorder="false" applyAlignment="true" applyProtection="false">
      <alignment horizontal="left" vertical="top" textRotation="0" wrapText="true" indent="0" shrinkToFit="false"/>
      <protection locked="true" hidden="false"/>
    </xf>
    <xf numFmtId="164" fontId="0" fillId="6" borderId="0" xfId="0" applyFont="true" applyBorder="fals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0" fillId="9"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8"/>
          <bgColor rgb="FF000000"/>
        </patternFill>
      </fill>
    </dxf>
    <dxf>
      <fill>
        <patternFill patternType="solid">
          <fgColor rgb="FFE2F0D9"/>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E7E6E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AF7"/>
      <rgbColor rgb="FF660066"/>
      <rgbColor rgb="FFFF8080"/>
      <rgbColor rgb="FF0066CC"/>
      <rgbColor rgb="FFE7E6E6"/>
      <rgbColor rgb="FF000080"/>
      <rgbColor rgb="FFFF00FF"/>
      <rgbColor rgb="FFFFFF00"/>
      <rgbColor rgb="FF00FFFF"/>
      <rgbColor rgb="FF800080"/>
      <rgbColor rgb="FF800000"/>
      <rgbColor rgb="FF008080"/>
      <rgbColor rgb="FF0000FF"/>
      <rgbColor rgb="FF00CCFF"/>
      <rgbColor rgb="FFF2F2F2"/>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1F33"/>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ables/table1.xml><?xml version="1.0" encoding="utf-8"?>
<table xmlns="http://schemas.openxmlformats.org/spreadsheetml/2006/main" id="1" name="AIValidationTable" displayName="AIValidationTable" ref="A4:K60" headerRowCount="1" totalsRowCount="0" totalsRowShown="0">
  <tableColumns count="11">
    <tableColumn id="1" name="Test ID"/>
    <tableColumn id="2" name="Message"/>
    <tableColumn id="3" name="Expected Category"/>
    <tableColumn id="4" name="AI Category"/>
    <tableColumn id="5" name="Confidence"/>
    <tableColumn id="6" name="Reason Quality"/>
    <tableColumn id="7" name="JSON Valid?"/>
    <tableColumn id="8" name="Fallback Triggered?"/>
    <tableColumn id="9" name="Hallucination / Unsafe Content?"/>
    <tableColumn id="10" name="Decision"/>
    <tableColumn id="11" name="Notes"/>
  </tableColumns>
</table>
</file>

<file path=xl/tables/table2.xml><?xml version="1.0" encoding="utf-8"?>
<table xmlns="http://schemas.openxmlformats.org/spreadsheetml/2006/main" id="2" name="ApprovalEscalationTable" displayName="ApprovalEscalationTable" ref="A4:H50" headerRowCount="1" totalsRowCount="0" totalsRowShown="0">
  <tableColumns count="8">
    <tableColumn id="1" name="Rule / Case"/>
    <tableColumn id="2" name="Expected Behavior"/>
    <tableColumn id="3" name="Test Input"/>
    <tableColumn id="4" name="Actual Behavior"/>
    <tableColumn id="5" name="Pass/Fail"/>
    <tableColumn id="6" name="Risk if Failed"/>
    <tableColumn id="7" name="Fix Required"/>
    <tableColumn id="8" name="Owner"/>
  </tableColumns>
</table>
</file>

<file path=xl/tables/table3.xml><?xml version="1.0" encoding="utf-8"?>
<table xmlns="http://schemas.openxmlformats.org/spreadsheetml/2006/main" id="3" name="DefectLogTable" displayName="DefectLogTable" ref="A4:K80" headerRowCount="1" totalsRowCount="0" totalsRowShown="0">
  <tableColumns count="11">
    <tableColumn id="1" name="Defect ID"/>
    <tableColumn id="2" name="Found In Test ID"/>
    <tableColumn id="3" name="Description"/>
    <tableColumn id="4" name="Severity"/>
    <tableColumn id="5" name="Status"/>
    <tableColumn id="6" name="Owner"/>
    <tableColumn id="7" name="Root Cause"/>
    <tableColumn id="8" name="Fix Action"/>
    <tableColumn id="9" name="Retest Date"/>
    <tableColumn id="10" name="Retest Result"/>
    <tableColumn id="11" name="Go-live Blocker?"/>
  </tableColumns>
</table>
</file>

<file path=xl/tables/table4.xml><?xml version="1.0" encoding="utf-8"?>
<table xmlns="http://schemas.openxmlformats.org/spreadsheetml/2006/main" id="4" name="ErrorMonitoringTable" displayName="ErrorMonitoringTable" ref="A4:I50" headerRowCount="1" totalsRowCount="0" totalsRowShown="0">
  <tableColumns count="9">
    <tableColumn id="1" name="Failure Scenario"/>
    <tableColumn id="2" name="Expected Fallback"/>
    <tableColumn id="3" name="How to Simulate"/>
    <tableColumn id="4" name="Actual Result"/>
    <tableColumn id="5" name="Pass/Fail"/>
    <tableColumn id="6" name="Alert Sent?"/>
    <tableColumn id="7" name="Audit Log Created?"/>
    <tableColumn id="8" name="Severity"/>
    <tableColumn id="9" name="Fix Notes"/>
  </tableColumns>
</table>
</file>

<file path=xl/tables/table5.xml><?xml version="1.0" encoding="utf-8"?>
<table xmlns="http://schemas.openxmlformats.org/spreadsheetml/2006/main" id="5" name="GoNoGoTable" displayName="GoNoGoTable" ref="A4:E30" headerRowCount="1" totalsRowCount="0" totalsRowShown="0">
  <tableColumns count="5">
    <tableColumn id="1" name="Gate"/>
    <tableColumn id="2" name="Criteria"/>
    <tableColumn id="3" name="Status"/>
    <tableColumn id="4" name="Evidence / Notes"/>
    <tableColumn id="5" name="Owner"/>
  </tableColumns>
</table>
</file>

<file path=xl/tables/table6.xml><?xml version="1.0" encoding="utf-8"?>
<table xmlns="http://schemas.openxmlformats.org/spreadsheetml/2006/main" id="6" name="Phase5HandoffTable" displayName="Phase5HandoffTable" ref="A4:H30" headerRowCount="1" totalsRowCount="0" totalsRowShown="0">
  <tableColumns count="8">
    <tableColumn id="1" name="Build Component"/>
    <tableColumn id="2" name="Expected Behavior"/>
    <tableColumn id="3" name="Source from Phase4"/>
    <tableColumn id="4" name="Test Priority"/>
    <tableColumn id="5" name="Risk Level"/>
    <tableColumn id="6" name="Ready for Test?"/>
    <tableColumn id="7" name="Notes"/>
    <tableColumn id="8" name="Owner"/>
  </tableColumns>
</table>
</file>

<file path=xl/tables/table7.xml><?xml version="1.0" encoding="utf-8"?>
<table xmlns="http://schemas.openxmlformats.org/spreadsheetml/2006/main" id="7" name="TestCaseMatrixTable" displayName="TestCaseMatrixTable" ref="A4:O60" headerRowCount="1" totalsRowCount="0" totalsRowShown="0">
  <tableColumns count="15">
    <tableColumn id="1" name="Test ID"/>
    <tableColumn id="2" name="Scenario Type"/>
    <tableColumn id="3" name="Input Channel"/>
    <tableColumn id="4" name="Test Input / Message"/>
    <tableColumn id="5" name="Expected Classification"/>
    <tableColumn id="6" name="Expected Action"/>
    <tableColumn id="7" name="Human Approval Required?"/>
    <tableColumn id="8" name="Expected Output / Evidence"/>
    <tableColumn id="9" name="Actual Result"/>
    <tableColumn id="10" name="Pass/Fail"/>
    <tableColumn id="11" name="Defect ID"/>
    <tableColumn id="12" name="Severity"/>
    <tableColumn id="13" name="Owner"/>
    <tableColumn id="14" name="Fix / Retest Notes"/>
    <tableColumn id="15" name="Retest Result"/>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6.xml"/>
</Relationships>
</file>

<file path=xl/worksheets/_rels/sheet4.xml.rels><?xml version="1.0" encoding="UTF-8"?>
<Relationships xmlns="http://schemas.openxmlformats.org/package/2006/relationships"><Relationship Id="rId1" Type="http://schemas.openxmlformats.org/officeDocument/2006/relationships/table" Target="../tables/table7.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table" Target="../tables/table4.xml"/>
</Relationships>
</file>

<file path=xl/worksheets/_rels/sheet8.xml.rels><?xml version="1.0" encoding="UTF-8"?>
<Relationships xmlns="http://schemas.openxmlformats.org/package/2006/relationships"><Relationship Id="rId1" Type="http://schemas.openxmlformats.org/officeDocument/2006/relationships/table" Target="../tables/table3.xml"/>
</Relationships>
</file>

<file path=xl/worksheets/_rels/sheet9.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4"/>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5" zeroHeight="false" outlineLevelRow="0" outlineLevelCol="0"/>
  <cols>
    <col collapsed="false" customWidth="true" hidden="false" outlineLevel="0" max="1" min="1" style="0" width="21.83"/>
    <col collapsed="false" customWidth="true" hidden="false" outlineLevel="0" max="2" min="2" style="0" width="55"/>
    <col collapsed="false" customWidth="true" hidden="false" outlineLevel="0" max="3" min="3" style="0" width="34"/>
  </cols>
  <sheetData>
    <row r="1" customFormat="false" ht="33.75" hidden="false" customHeight="true" outlineLevel="0" collapsed="false">
      <c r="A1" s="1" t="s">
        <v>0</v>
      </c>
      <c r="B1" s="1"/>
      <c r="C1" s="1"/>
      <c r="D1" s="1"/>
      <c r="E1" s="1"/>
      <c r="F1" s="1"/>
      <c r="G1" s="1"/>
      <c r="H1" s="1"/>
    </row>
    <row r="2" customFormat="false" ht="15" hidden="false" customHeight="true" outlineLevel="0" collapsed="false">
      <c r="A2" s="2" t="s">
        <v>1</v>
      </c>
      <c r="B2" s="2"/>
      <c r="C2" s="2"/>
      <c r="D2" s="2"/>
      <c r="E2" s="2"/>
      <c r="F2" s="2"/>
      <c r="G2" s="2"/>
      <c r="H2" s="2"/>
    </row>
    <row r="4" customFormat="false" ht="33.75" hidden="false" customHeight="true" outlineLevel="0" collapsed="false">
      <c r="A4" s="3" t="s">
        <v>2</v>
      </c>
      <c r="B4" s="3" t="s">
        <v>3</v>
      </c>
      <c r="C4" s="3" t="s">
        <v>4</v>
      </c>
    </row>
    <row r="5" customFormat="false" ht="31.5" hidden="false" customHeight="true" outlineLevel="0" collapsed="false">
      <c r="A5" s="4" t="s">
        <v>5</v>
      </c>
      <c r="B5" s="4" t="s">
        <v>6</v>
      </c>
      <c r="C5" s="4" t="s">
        <v>7</v>
      </c>
    </row>
    <row r="6" customFormat="false" ht="31.5" hidden="false" customHeight="true" outlineLevel="0" collapsed="false">
      <c r="A6" s="4" t="s">
        <v>8</v>
      </c>
      <c r="B6" s="4" t="s">
        <v>9</v>
      </c>
      <c r="C6" s="4" t="s">
        <v>10</v>
      </c>
    </row>
    <row r="7" customFormat="false" ht="31.5" hidden="false" customHeight="true" outlineLevel="0" collapsed="false">
      <c r="A7" s="4" t="s">
        <v>11</v>
      </c>
      <c r="B7" s="4" t="s">
        <v>12</v>
      </c>
      <c r="C7" s="4" t="s">
        <v>13</v>
      </c>
    </row>
    <row r="8" customFormat="false" ht="31.5" hidden="false" customHeight="true" outlineLevel="0" collapsed="false">
      <c r="A8" s="4" t="s">
        <v>14</v>
      </c>
      <c r="B8" s="4" t="s">
        <v>15</v>
      </c>
      <c r="C8" s="4" t="s">
        <v>16</v>
      </c>
    </row>
    <row r="9" customFormat="false" ht="31.5" hidden="false" customHeight="true" outlineLevel="0" collapsed="false">
      <c r="A9" s="4" t="s">
        <v>17</v>
      </c>
      <c r="B9" s="4" t="s">
        <v>18</v>
      </c>
      <c r="C9" s="4" t="s">
        <v>19</v>
      </c>
    </row>
    <row r="10" customFormat="false" ht="31.5" hidden="false" customHeight="true" outlineLevel="0" collapsed="false">
      <c r="A10" s="4" t="s">
        <v>20</v>
      </c>
      <c r="B10" s="4" t="s">
        <v>21</v>
      </c>
      <c r="C10" s="4" t="s">
        <v>22</v>
      </c>
    </row>
    <row r="14" customFormat="false" ht="15" hidden="false" customHeight="false" outlineLevel="0" collapsed="false">
      <c r="A14" s="0" t="s">
        <v>23</v>
      </c>
    </row>
    <row r="16" customFormat="false" ht="15" hidden="false" customHeight="false" outlineLevel="0" collapsed="false">
      <c r="A16" s="5" t="s">
        <v>24</v>
      </c>
    </row>
    <row r="17" customFormat="false" ht="15" hidden="false" customHeight="false" outlineLevel="0" collapsed="false">
      <c r="A17" s="0" t="s">
        <v>25</v>
      </c>
    </row>
    <row r="19" customFormat="false" ht="15" hidden="false" customHeight="false" outlineLevel="0" collapsed="false">
      <c r="A19" s="5" t="s">
        <v>26</v>
      </c>
    </row>
    <row r="20" customFormat="false" ht="15" hidden="false" customHeight="false" outlineLevel="0" collapsed="false">
      <c r="A20" s="0" t="s">
        <v>27</v>
      </c>
    </row>
    <row r="22" customFormat="false" ht="15" hidden="false" customHeight="false" outlineLevel="0" collapsed="false">
      <c r="A22" s="5" t="s">
        <v>28</v>
      </c>
    </row>
    <row r="23" customFormat="false" ht="15" hidden="false" customHeight="false" outlineLevel="0" collapsed="false">
      <c r="A23" s="0" t="s">
        <v>29</v>
      </c>
    </row>
    <row r="25" customFormat="false" ht="15" hidden="false" customHeight="false" outlineLevel="0" collapsed="false">
      <c r="A25" s="5" t="s">
        <v>30</v>
      </c>
    </row>
    <row r="26" customFormat="false" ht="15" hidden="false" customHeight="false" outlineLevel="0" collapsed="false">
      <c r="A26" s="0" t="s">
        <v>31</v>
      </c>
    </row>
    <row r="28" customFormat="false" ht="15" hidden="false" customHeight="false" outlineLevel="0" collapsed="false">
      <c r="A28" s="5" t="s">
        <v>0</v>
      </c>
    </row>
    <row r="29" customFormat="false" ht="15" hidden="false" customHeight="false" outlineLevel="0" collapsed="false">
      <c r="A29" s="0" t="s">
        <v>32</v>
      </c>
    </row>
    <row r="31" customFormat="false" ht="15" hidden="false" customHeight="false" outlineLevel="0" collapsed="false">
      <c r="A31" s="5" t="s">
        <v>33</v>
      </c>
    </row>
    <row r="32" customFormat="false" ht="15" hidden="false" customHeight="false" outlineLevel="0" collapsed="false">
      <c r="A32" s="0" t="s">
        <v>34</v>
      </c>
    </row>
    <row r="34" customFormat="false" ht="21.75" hidden="false" customHeight="true" outlineLevel="0" collapsed="false">
      <c r="A34" s="6" t="s">
        <v>35</v>
      </c>
      <c r="B34" s="6"/>
      <c r="C34" s="6"/>
    </row>
    <row r="36" customFormat="false" ht="15" hidden="false" customHeight="true" outlineLevel="0" collapsed="false">
      <c r="A36" s="7" t="s">
        <v>36</v>
      </c>
      <c r="B36" s="7"/>
      <c r="C36" s="7"/>
    </row>
    <row r="37" customFormat="false" ht="15.75" hidden="false" customHeight="true" outlineLevel="0" collapsed="false">
      <c r="A37" s="8" t="s">
        <v>37</v>
      </c>
      <c r="B37" s="8" t="s">
        <v>38</v>
      </c>
      <c r="C37" s="8" t="s">
        <v>39</v>
      </c>
    </row>
    <row r="38" customFormat="false" ht="15.75" hidden="false" customHeight="true" outlineLevel="0" collapsed="false">
      <c r="A38" s="9" t="s">
        <v>40</v>
      </c>
      <c r="B38" s="10" t="s">
        <v>41</v>
      </c>
      <c r="C38" s="11" t="n">
        <f aca="false">COUNTIF('Test Case Matrix'!J5:J60,"Pass")</f>
        <v>0</v>
      </c>
    </row>
    <row r="39" customFormat="false" ht="15.75" hidden="false" customHeight="true" outlineLevel="0" collapsed="false">
      <c r="A39" s="9" t="s">
        <v>42</v>
      </c>
      <c r="B39" s="10" t="s">
        <v>43</v>
      </c>
      <c r="C39" s="11" t="n">
        <f aca="false">COUNTIF('Test Case Matrix'!J5:J60,"Fail")</f>
        <v>0</v>
      </c>
    </row>
    <row r="40" customFormat="false" ht="15.75" hidden="false" customHeight="true" outlineLevel="0" collapsed="false">
      <c r="A40" s="9" t="s">
        <v>44</v>
      </c>
      <c r="B40" s="10" t="s">
        <v>45</v>
      </c>
      <c r="C40" s="11" t="n">
        <f aca="false">COUNTIF('Test Case Matrix'!J5:J60,"Partial")</f>
        <v>0</v>
      </c>
    </row>
    <row r="41" customFormat="false" ht="15.75" hidden="false" customHeight="true" outlineLevel="0" collapsed="false">
      <c r="A41" s="9" t="s">
        <v>46</v>
      </c>
      <c r="B41" s="10" t="s">
        <v>47</v>
      </c>
      <c r="C41" s="11" t="n">
        <f aca="false">COUNTIF('Test Case Matrix'!J5:J60,"Not Tested")</f>
        <v>0</v>
      </c>
    </row>
    <row r="42" customFormat="false" ht="15.75" hidden="false" customHeight="true" outlineLevel="0" collapsed="false">
      <c r="A42" s="9" t="s">
        <v>48</v>
      </c>
      <c r="B42" s="10" t="s">
        <v>49</v>
      </c>
      <c r="C42" s="11" t="n">
        <f aca="false">COUNTIF('Test Case Matrix'!J5:J60,"Blocked")</f>
        <v>0</v>
      </c>
    </row>
    <row r="44" customFormat="false" ht="15" hidden="false" customHeight="true" outlineLevel="0" collapsed="false">
      <c r="A44" s="7" t="s">
        <v>50</v>
      </c>
      <c r="B44" s="7"/>
      <c r="C44" s="7"/>
    </row>
    <row r="45" customFormat="false" ht="15.75" hidden="false" customHeight="true" outlineLevel="0" collapsed="false">
      <c r="A45" s="8" t="s">
        <v>37</v>
      </c>
      <c r="B45" s="8" t="s">
        <v>38</v>
      </c>
      <c r="C45" s="8" t="s">
        <v>39</v>
      </c>
    </row>
    <row r="46" customFormat="false" ht="15.75" hidden="false" customHeight="true" outlineLevel="0" collapsed="false">
      <c r="A46" s="9" t="s">
        <v>40</v>
      </c>
      <c r="B46" s="10" t="s">
        <v>51</v>
      </c>
      <c r="C46" s="11" t="n">
        <f aca="false">COUNTIF('Approval Escalation Tests'!E5:E40,"Pass")</f>
        <v>0</v>
      </c>
    </row>
    <row r="47" customFormat="false" ht="15.75" hidden="false" customHeight="true" outlineLevel="0" collapsed="false">
      <c r="A47" s="9" t="s">
        <v>42</v>
      </c>
      <c r="B47" s="10" t="s">
        <v>52</v>
      </c>
      <c r="C47" s="11" t="n">
        <f aca="false">COUNTIF('Approval Escalation Tests'!E5:E40,"Fail")</f>
        <v>0</v>
      </c>
    </row>
    <row r="48" customFormat="false" ht="15.75" hidden="false" customHeight="true" outlineLevel="0" collapsed="false">
      <c r="A48" s="9" t="s">
        <v>44</v>
      </c>
      <c r="B48" s="10" t="s">
        <v>53</v>
      </c>
      <c r="C48" s="11" t="n">
        <f aca="false">COUNTIF('Approval Escalation Tests'!E5:E40,"Partial")</f>
        <v>0</v>
      </c>
    </row>
    <row r="49" customFormat="false" ht="15.75" hidden="false" customHeight="true" outlineLevel="0" collapsed="false">
      <c r="A49" s="9" t="s">
        <v>46</v>
      </c>
      <c r="B49" s="10" t="s">
        <v>47</v>
      </c>
      <c r="C49" s="11" t="n">
        <f aca="false">COUNTIF('Approval Escalation Tests'!E5:E40,"Not Tested")</f>
        <v>0</v>
      </c>
    </row>
    <row r="51" customFormat="false" ht="15" hidden="false" customHeight="true" outlineLevel="0" collapsed="false">
      <c r="A51" s="7" t="s">
        <v>54</v>
      </c>
      <c r="B51" s="7"/>
      <c r="C51" s="7"/>
    </row>
    <row r="52" customFormat="false" ht="15.75" hidden="false" customHeight="true" outlineLevel="0" collapsed="false">
      <c r="A52" s="8" t="s">
        <v>37</v>
      </c>
      <c r="B52" s="8" t="s">
        <v>38</v>
      </c>
      <c r="C52" s="8" t="s">
        <v>39</v>
      </c>
    </row>
    <row r="53" customFormat="false" ht="15.75" hidden="false" customHeight="true" outlineLevel="0" collapsed="false">
      <c r="A53" s="9" t="s">
        <v>40</v>
      </c>
      <c r="B53" s="10" t="s">
        <v>55</v>
      </c>
      <c r="C53" s="11" t="n">
        <f aca="false">COUNTIF('Error Monitoring Tests'!E5:E40,"Pass")</f>
        <v>0</v>
      </c>
    </row>
    <row r="54" customFormat="false" ht="15.75" hidden="false" customHeight="true" outlineLevel="0" collapsed="false">
      <c r="A54" s="9" t="s">
        <v>42</v>
      </c>
      <c r="B54" s="10" t="s">
        <v>56</v>
      </c>
      <c r="C54" s="11" t="n">
        <f aca="false">COUNTIF('Error Monitoring Tests'!E5:E40,"Fail")</f>
        <v>0</v>
      </c>
    </row>
    <row r="55" customFormat="false" ht="15.75" hidden="false" customHeight="true" outlineLevel="0" collapsed="false">
      <c r="A55" s="9" t="s">
        <v>44</v>
      </c>
      <c r="B55" s="10" t="s">
        <v>53</v>
      </c>
      <c r="C55" s="11" t="n">
        <f aca="false">COUNTIF('Error Monitoring Tests'!E5:E40,"Partial")</f>
        <v>0</v>
      </c>
    </row>
    <row r="56" customFormat="false" ht="15.75" hidden="false" customHeight="true" outlineLevel="0" collapsed="false">
      <c r="A56" s="9" t="s">
        <v>46</v>
      </c>
      <c r="B56" s="10" t="s">
        <v>47</v>
      </c>
      <c r="C56" s="11" t="n">
        <f aca="false">COUNTIF('Error Monitoring Tests'!E5:E40,"Not Tested")</f>
        <v>0</v>
      </c>
    </row>
    <row r="58" customFormat="false" ht="15" hidden="false" customHeight="true" outlineLevel="0" collapsed="false">
      <c r="A58" s="7" t="s">
        <v>57</v>
      </c>
      <c r="B58" s="7"/>
      <c r="C58" s="7"/>
    </row>
    <row r="59" customFormat="false" ht="15.75" hidden="false" customHeight="true" outlineLevel="0" collapsed="false">
      <c r="A59" s="8" t="s">
        <v>37</v>
      </c>
      <c r="B59" s="8" t="s">
        <v>38</v>
      </c>
      <c r="C59" s="8" t="s">
        <v>39</v>
      </c>
    </row>
    <row r="60" customFormat="false" ht="15.75" hidden="false" customHeight="true" outlineLevel="0" collapsed="false">
      <c r="A60" s="9" t="s">
        <v>58</v>
      </c>
      <c r="B60" s="10" t="s">
        <v>59</v>
      </c>
      <c r="C60" s="11" t="n">
        <f aca="false">COUNTIF('Defect Log'!E5:E40,"Open")</f>
        <v>2</v>
      </c>
    </row>
    <row r="61" customFormat="false" ht="15.75" hidden="false" customHeight="true" outlineLevel="0" collapsed="false">
      <c r="A61" s="9" t="s">
        <v>60</v>
      </c>
      <c r="B61" s="10" t="s">
        <v>61</v>
      </c>
      <c r="C61" s="11" t="n">
        <f aca="false">COUNTIF('Defect Log'!E5:E40,"In Progress")</f>
        <v>0</v>
      </c>
    </row>
    <row r="62" customFormat="false" ht="15.75" hidden="false" customHeight="true" outlineLevel="0" collapsed="false">
      <c r="A62" s="9" t="s">
        <v>62</v>
      </c>
      <c r="B62" s="10" t="s">
        <v>63</v>
      </c>
      <c r="C62" s="11" t="n">
        <f aca="false">COUNTIF('Defect Log'!E5:E40,"Retest")</f>
        <v>0</v>
      </c>
    </row>
    <row r="63" customFormat="false" ht="15.75" hidden="false" customHeight="true" outlineLevel="0" collapsed="false">
      <c r="A63" s="9" t="s">
        <v>64</v>
      </c>
      <c r="B63" s="10" t="s">
        <v>65</v>
      </c>
      <c r="C63" s="11" t="n">
        <f aca="false">COUNTIF('Defect Log'!E5:E40,"Closed")</f>
        <v>0</v>
      </c>
    </row>
    <row r="64" customFormat="false" ht="15.75" hidden="false" customHeight="true" outlineLevel="0" collapsed="false">
      <c r="A64" s="9" t="s">
        <v>66</v>
      </c>
      <c r="B64" s="10" t="s">
        <v>67</v>
      </c>
      <c r="C64" s="11" t="n">
        <f aca="false">COUNTIF('Defect Log'!E5:E40,"Accepted Risk")</f>
        <v>0</v>
      </c>
    </row>
    <row r="66" customFormat="false" ht="15" hidden="false" customHeight="true" outlineLevel="0" collapsed="false">
      <c r="A66" s="7" t="s">
        <v>68</v>
      </c>
      <c r="B66" s="7"/>
      <c r="C66" s="7"/>
    </row>
    <row r="67" customFormat="false" ht="15.75" hidden="false" customHeight="true" outlineLevel="0" collapsed="false">
      <c r="A67" s="8" t="s">
        <v>37</v>
      </c>
      <c r="B67" s="8" t="s">
        <v>38</v>
      </c>
      <c r="C67" s="8" t="s">
        <v>39</v>
      </c>
    </row>
    <row r="68" customFormat="false" ht="15.75" hidden="false" customHeight="true" outlineLevel="0" collapsed="false">
      <c r="A68" s="9" t="s">
        <v>40</v>
      </c>
      <c r="B68" s="10" t="s">
        <v>69</v>
      </c>
      <c r="C68" s="11" t="n">
        <f aca="false">COUNTIF('Go No-Go Checklist'!C5:C30,"Pass")</f>
        <v>0</v>
      </c>
    </row>
    <row r="69" customFormat="false" ht="15.75" hidden="false" customHeight="true" outlineLevel="0" collapsed="false">
      <c r="A69" s="9" t="s">
        <v>42</v>
      </c>
      <c r="B69" s="10" t="s">
        <v>70</v>
      </c>
      <c r="C69" s="11" t="n">
        <f aca="false">COUNTIF('Go No-Go Checklist'!C5:C30,"Fail")</f>
        <v>0</v>
      </c>
    </row>
    <row r="70" customFormat="false" ht="15.75" hidden="false" customHeight="true" outlineLevel="0" collapsed="false">
      <c r="A70" s="9" t="s">
        <v>44</v>
      </c>
      <c r="B70" s="10" t="s">
        <v>71</v>
      </c>
      <c r="C70" s="11" t="n">
        <f aca="false">COUNTIF('Go No-Go Checklist'!C5:C30,"Partial")</f>
        <v>0</v>
      </c>
    </row>
    <row r="71" customFormat="false" ht="15.75" hidden="false" customHeight="true" outlineLevel="0" collapsed="false">
      <c r="A71" s="9" t="s">
        <v>46</v>
      </c>
      <c r="B71" s="10" t="s">
        <v>72</v>
      </c>
      <c r="C71" s="11" t="n">
        <f aca="false">COUNTIF('Go No-Go Checklist'!C5:C30,"Not Tested")</f>
        <v>0</v>
      </c>
    </row>
    <row r="74" customFormat="false" ht="27.75" hidden="false" customHeight="true" outlineLevel="0" collapsed="false">
      <c r="A74" s="12" t="s">
        <v>73</v>
      </c>
      <c r="B74" s="12"/>
      <c r="C74" s="12"/>
    </row>
  </sheetData>
  <mergeCells count="9">
    <mergeCell ref="A1:H1"/>
    <mergeCell ref="A2:H2"/>
    <mergeCell ref="A34:C34"/>
    <mergeCell ref="A36:C36"/>
    <mergeCell ref="A44:C44"/>
    <mergeCell ref="A51:C51"/>
    <mergeCell ref="A58:C58"/>
    <mergeCell ref="A66:C66"/>
    <mergeCell ref="A74:C7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5" activeCellId="0" sqref="A5"/>
    </sheetView>
  </sheetViews>
  <sheetFormatPr defaultColWidth="8.66796875" defaultRowHeight="1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55"/>
    <col collapsed="false" customWidth="true" hidden="false" outlineLevel="0" max="4" min="4" style="0" width="48"/>
  </cols>
  <sheetData>
    <row r="1" customFormat="false" ht="18.75" hidden="false" customHeight="true" outlineLevel="0" collapsed="false">
      <c r="A1" s="13" t="s">
        <v>74</v>
      </c>
      <c r="B1" s="13"/>
      <c r="C1" s="13"/>
      <c r="D1" s="13"/>
    </row>
    <row r="2" customFormat="false" ht="54.75" hidden="false" customHeight="true" outlineLevel="0" collapsed="false">
      <c r="A2" s="12" t="s">
        <v>75</v>
      </c>
      <c r="B2" s="12"/>
      <c r="C2" s="12"/>
      <c r="D2" s="12"/>
    </row>
    <row r="4" customFormat="false" ht="24" hidden="false" customHeight="true" outlineLevel="0" collapsed="false">
      <c r="A4" s="7" t="s">
        <v>76</v>
      </c>
      <c r="B4" s="7"/>
      <c r="C4" s="7"/>
      <c r="D4" s="7"/>
    </row>
    <row r="5" customFormat="false" ht="25.5" hidden="false" customHeight="true" outlineLevel="0" collapsed="false">
      <c r="A5" s="8" t="s">
        <v>77</v>
      </c>
      <c r="B5" s="8" t="s">
        <v>78</v>
      </c>
      <c r="C5" s="8" t="s">
        <v>79</v>
      </c>
      <c r="D5" s="14" t="s">
        <v>80</v>
      </c>
    </row>
    <row r="6" customFormat="false" ht="33.75" hidden="false" customHeight="true" outlineLevel="0" collapsed="false">
      <c r="A6" s="9" t="s">
        <v>81</v>
      </c>
      <c r="B6" s="9" t="s">
        <v>82</v>
      </c>
      <c r="C6" s="10" t="s">
        <v>83</v>
      </c>
      <c r="D6" s="15" t="s">
        <v>84</v>
      </c>
    </row>
    <row r="7" customFormat="false" ht="33.75" hidden="false" customHeight="true" outlineLevel="0" collapsed="false">
      <c r="A7" s="9" t="s">
        <v>85</v>
      </c>
      <c r="B7" s="9" t="s">
        <v>86</v>
      </c>
      <c r="C7" s="10" t="s">
        <v>87</v>
      </c>
      <c r="D7" s="15" t="s">
        <v>88</v>
      </c>
    </row>
    <row r="8" customFormat="false" ht="33.75" hidden="false" customHeight="true" outlineLevel="0" collapsed="false">
      <c r="A8" s="9" t="s">
        <v>89</v>
      </c>
      <c r="B8" s="9" t="s">
        <v>90</v>
      </c>
      <c r="C8" s="10" t="s">
        <v>91</v>
      </c>
      <c r="D8" s="15" t="s">
        <v>92</v>
      </c>
    </row>
    <row r="9" customFormat="false" ht="33.75" hidden="false" customHeight="true" outlineLevel="0" collapsed="false">
      <c r="A9" s="9" t="s">
        <v>93</v>
      </c>
      <c r="B9" s="9" t="s">
        <v>94</v>
      </c>
      <c r="C9" s="10" t="s">
        <v>95</v>
      </c>
      <c r="D9" s="15" t="s">
        <v>88</v>
      </c>
    </row>
    <row r="10" customFormat="false" ht="33.75" hidden="false" customHeight="true" outlineLevel="0" collapsed="false">
      <c r="A10" s="9" t="s">
        <v>96</v>
      </c>
      <c r="B10" s="9" t="s">
        <v>97</v>
      </c>
      <c r="C10" s="10" t="s">
        <v>98</v>
      </c>
      <c r="D10" s="15" t="s">
        <v>99</v>
      </c>
    </row>
    <row r="11" customFormat="false" ht="33.75" hidden="false" customHeight="true" outlineLevel="0" collapsed="false">
      <c r="A11" s="9" t="s">
        <v>100</v>
      </c>
      <c r="B11" s="9" t="s">
        <v>101</v>
      </c>
      <c r="C11" s="10" t="s">
        <v>102</v>
      </c>
      <c r="D11" s="15" t="s">
        <v>103</v>
      </c>
    </row>
    <row r="13" customFormat="false" ht="24" hidden="false" customHeight="true" outlineLevel="0" collapsed="false">
      <c r="A13" s="16" t="s">
        <v>104</v>
      </c>
      <c r="B13" s="16"/>
      <c r="C13" s="16"/>
      <c r="D13" s="16"/>
    </row>
    <row r="14" customFormat="false" ht="27.75" hidden="false" customHeight="true" outlineLevel="0" collapsed="false">
      <c r="A14" s="17" t="s">
        <v>77</v>
      </c>
      <c r="B14" s="17" t="s">
        <v>105</v>
      </c>
      <c r="C14" s="17" t="s">
        <v>106</v>
      </c>
      <c r="D14" s="17" t="s">
        <v>107</v>
      </c>
    </row>
    <row r="15" customFormat="false" ht="33.75" hidden="false" customHeight="true" outlineLevel="0" collapsed="false">
      <c r="A15" s="18" t="s">
        <v>108</v>
      </c>
      <c r="B15" s="18" t="s">
        <v>109</v>
      </c>
      <c r="C15" s="18" t="str">
        <f aca="false">IF(D6="Errored","Re-run needed (errored before completing)",IF(D7="Unsafe behavior","Fail (unsafe)",IF(D6="Exactly","Pass",IF(D6="Close","Pass (with note)",IF(D6="Partially","Partial","Fail")))))</f>
        <v>Pass</v>
      </c>
      <c r="D15" s="10" t="s">
        <v>110</v>
      </c>
    </row>
    <row r="16" customFormat="false" ht="33.75" hidden="false" customHeight="true" outlineLevel="0" collapsed="false">
      <c r="A16" s="18" t="s">
        <v>111</v>
      </c>
      <c r="B16" s="18" t="s">
        <v>112</v>
      </c>
      <c r="C16" s="18" t="str">
        <f aca="false">IF(D6="Exactly","None",IF(D9="Critical","Critical",IF(D9="Major","High",IF(OR(D7="Wrong action",D7="Wrong route",D7="Unsafe behavior"),"High",IF(D7="Wrong category","Medium",IF(D6="Close","Low","Low"))))))</f>
        <v>None</v>
      </c>
      <c r="D16" s="10" t="s">
        <v>113</v>
      </c>
    </row>
    <row r="17" customFormat="false" ht="33.75" hidden="false" customHeight="true" outlineLevel="0" collapsed="false">
      <c r="A17" s="18" t="s">
        <v>114</v>
      </c>
      <c r="B17" s="18" t="s">
        <v>115</v>
      </c>
      <c r="C17" s="18" t="str">
        <f aca="false">IF(D6="Exactly","No",IF(D6="Close","Maybe (log a note)",IF(D6="Errored",IF(D8="Once","Maybe (try once more first)","Yes"),"Yes")))</f>
        <v>No</v>
      </c>
      <c r="D17" s="10" t="s">
        <v>116</v>
      </c>
    </row>
    <row r="18" customFormat="false" ht="33.75" hidden="false" customHeight="true" outlineLevel="0" collapsed="false">
      <c r="A18" s="18" t="s">
        <v>117</v>
      </c>
      <c r="B18" s="18" t="s">
        <v>118</v>
      </c>
      <c r="C18" s="18" t="str">
        <f aca="false">IF(D9="Critical","YES — critical safety issue.",IF(D7="Unsafe behavior","YES — unsafe behavior must be fixed.",IF(AND(D10="Whole workflow",D6&lt;&gt;"Exactly"),"YES — affects whole workflow.",IF(AND(D10="Multiple workflows",D6&lt;&gt;"Exactly"),"YES — affects multiple workflows.",IF(AND(OR(D11="Risk",D11="Failure",D11="Error simulation"),D6="No"),"YES — risk/failure scenario failed.",IF(D6="Exactly","No",IF(D9="None","No (low severity)","Conditional — depends on fix difficulty and client tolerance.")))))))</f>
        <v>No</v>
      </c>
      <c r="D18" s="10" t="s">
        <v>119</v>
      </c>
    </row>
    <row r="19" customFormat="false" ht="33.75" hidden="false" customHeight="true" outlineLevel="0" collapsed="false">
      <c r="A19" s="18" t="s">
        <v>120</v>
      </c>
      <c r="B19" s="18" t="s">
        <v>121</v>
      </c>
      <c r="C19" s="18" t="str">
        <f aca="false">IF(D6="Errored",IF(D8="Once","Re-run the test once; if still errors, file defect.","File defect; capture error trace; do not pass."),IF(D6="Exactly","Mark Pass; move to next test.",IF(D7="Unsafe behavior","Stop further testing in this area; file high-severity defect; review safety design.",IF(D9="Critical","Escalate to PM/client now; file critical defect; pause go-live discussion.",IF(D8="Sometimes","File defect with reproduction notes; flag flaky behavior.",IF(D6="Close","Note difference in test row; decide later if defect needed.","File defect; assign owner; schedule retest."))))))</f>
        <v>Mark Pass; move to next test.</v>
      </c>
      <c r="D19" s="10" t="s">
        <v>122</v>
      </c>
    </row>
    <row r="22" customFormat="false" ht="15" hidden="false" customHeight="true" outlineLevel="0" collapsed="false">
      <c r="A22" s="19" t="s">
        <v>123</v>
      </c>
      <c r="B22" s="19"/>
      <c r="C22" s="19"/>
      <c r="D22" s="19"/>
    </row>
    <row r="23" customFormat="false" ht="15" hidden="false" customHeight="true" outlineLevel="0" collapsed="false">
      <c r="A23" s="12" t="s">
        <v>124</v>
      </c>
      <c r="B23" s="12"/>
      <c r="C23" s="12"/>
      <c r="D23" s="12"/>
    </row>
    <row r="24" customFormat="false" ht="15" hidden="false" customHeight="true" outlineLevel="0" collapsed="false">
      <c r="A24" s="12" t="s">
        <v>125</v>
      </c>
      <c r="B24" s="12"/>
      <c r="C24" s="12"/>
      <c r="D24" s="12"/>
    </row>
    <row r="25" customFormat="false" ht="15" hidden="false" customHeight="true" outlineLevel="0" collapsed="false">
      <c r="A25" s="12" t="s">
        <v>126</v>
      </c>
      <c r="B25" s="12"/>
      <c r="C25" s="12"/>
      <c r="D25" s="12"/>
    </row>
    <row r="26" customFormat="false" ht="15" hidden="false" customHeight="true" outlineLevel="0" collapsed="false">
      <c r="A26" s="12" t="s">
        <v>127</v>
      </c>
      <c r="B26" s="12"/>
      <c r="C26" s="12"/>
      <c r="D26" s="12"/>
    </row>
    <row r="27" customFormat="false" ht="15" hidden="false" customHeight="false" outlineLevel="0" collapsed="false">
      <c r="A27" s="12"/>
      <c r="B27" s="12"/>
      <c r="C27" s="12"/>
      <c r="D27" s="12"/>
    </row>
    <row r="28" customFormat="false" ht="15" hidden="false" customHeight="true" outlineLevel="0" collapsed="false">
      <c r="A28" s="12" t="s">
        <v>128</v>
      </c>
      <c r="B28" s="12"/>
      <c r="C28" s="12"/>
      <c r="D28" s="12"/>
    </row>
  </sheetData>
  <mergeCells count="11">
    <mergeCell ref="A1:D1"/>
    <mergeCell ref="A2:D2"/>
    <mergeCell ref="A4:D4"/>
    <mergeCell ref="A13:D13"/>
    <mergeCell ref="A22:D22"/>
    <mergeCell ref="A23:D23"/>
    <mergeCell ref="A24:D24"/>
    <mergeCell ref="A25:D25"/>
    <mergeCell ref="A26:D26"/>
    <mergeCell ref="A27:D27"/>
    <mergeCell ref="A28:D28"/>
  </mergeCells>
  <dataValidations count="6">
    <dataValidation allowBlank="true" errorStyle="stop" operator="between" showDropDown="false" showErrorMessage="false" showInputMessage="false" sqref="D6" type="list">
      <formula1>"Exactly,Close,Partially,No,Errored"</formula1>
      <formula2>0</formula2>
    </dataValidation>
    <dataValidation allowBlank="true" errorStyle="stop" operator="between" showDropDown="false" showErrorMessage="false" showInputMessage="false" sqref="D7" type="list">
      <formula1>"None,Wrong category,Wrong action,Wrong route,Unsafe behavior,Other"</formula1>
      <formula2>0</formula2>
    </dataValidation>
    <dataValidation allowBlank="true" errorStyle="stop" operator="between" showDropDown="false" showErrorMessage="false" showInputMessage="false" sqref="D8" type="list">
      <formula1>"Always,Sometimes,Once"</formula1>
      <formula2>0</formula2>
    </dataValidation>
    <dataValidation allowBlank="true" errorStyle="stop" operator="between" showDropDown="false" showErrorMessage="false" showInputMessage="false" sqref="D9" type="list">
      <formula1>"None,Minor,Major,Critical"</formula1>
      <formula2>0</formula2>
    </dataValidation>
    <dataValidation allowBlank="true" errorStyle="stop" operator="between" showDropDown="false" showErrorMessage="false" showInputMessage="false" sqref="D10" type="list">
      <formula1>"Single test,Single category,Whole workflow,Multiple workflows"</formula1>
      <formula2>0</formula2>
    </dataValidation>
    <dataValidation allowBlank="true" errorStyle="stop" operator="between" showDropDown="false" showErrorMessage="false" showInputMessage="false" sqref="D11" type="list">
      <formula1>"Normal,Edge,Risk,Failure,Error simulation"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5" zeroHeight="false" outlineLevelRow="0" outlineLevelCol="0"/>
  <cols>
    <col collapsed="false" customWidth="true" hidden="false" outlineLevel="0" max="4" min="1" style="0" width="24"/>
    <col collapsed="false" customWidth="true" hidden="false" outlineLevel="0" max="8" min="5" style="0" width="18"/>
  </cols>
  <sheetData>
    <row r="1" customFormat="false" ht="33.75" hidden="false" customHeight="true" outlineLevel="0" collapsed="false">
      <c r="A1" s="1" t="s">
        <v>129</v>
      </c>
      <c r="B1" s="1"/>
      <c r="C1" s="1"/>
      <c r="D1" s="1"/>
      <c r="E1" s="1"/>
      <c r="F1" s="1"/>
      <c r="G1" s="1"/>
      <c r="H1" s="1"/>
    </row>
    <row r="2" customFormat="false" ht="15" hidden="false" customHeight="true" outlineLevel="0" collapsed="false">
      <c r="A2" s="2" t="s">
        <v>130</v>
      </c>
      <c r="B2" s="2"/>
      <c r="C2" s="2"/>
      <c r="D2" s="2"/>
      <c r="E2" s="2"/>
      <c r="F2" s="2"/>
      <c r="G2" s="2"/>
      <c r="H2" s="2"/>
    </row>
    <row r="4" customFormat="false" ht="33.75" hidden="false" customHeight="true" outlineLevel="0" collapsed="false">
      <c r="A4" s="3" t="s">
        <v>131</v>
      </c>
      <c r="B4" s="3" t="s">
        <v>132</v>
      </c>
      <c r="C4" s="3" t="s">
        <v>133</v>
      </c>
      <c r="D4" s="3" t="s">
        <v>134</v>
      </c>
      <c r="E4" s="3" t="s">
        <v>135</v>
      </c>
      <c r="F4" s="3" t="s">
        <v>136</v>
      </c>
      <c r="G4" s="3" t="s">
        <v>137</v>
      </c>
      <c r="H4" s="3" t="s">
        <v>138</v>
      </c>
    </row>
    <row r="5" customFormat="false" ht="31.5" hidden="false" customHeight="true" outlineLevel="0" collapsed="false">
      <c r="A5" s="20" t="s">
        <v>139</v>
      </c>
      <c r="B5" s="21" t="s">
        <v>140</v>
      </c>
      <c r="C5" s="20" t="s">
        <v>141</v>
      </c>
      <c r="D5" s="20" t="s">
        <v>142</v>
      </c>
      <c r="E5" s="20" t="s">
        <v>143</v>
      </c>
      <c r="F5" s="20"/>
      <c r="G5" s="20"/>
      <c r="H5" s="20"/>
    </row>
    <row r="6" customFormat="false" ht="48" hidden="false" customHeight="true" outlineLevel="0" collapsed="false">
      <c r="A6" s="20" t="s">
        <v>144</v>
      </c>
      <c r="B6" s="21" t="s">
        <v>145</v>
      </c>
      <c r="C6" s="20" t="s">
        <v>146</v>
      </c>
      <c r="D6" s="20" t="s">
        <v>142</v>
      </c>
      <c r="E6" s="20" t="s">
        <v>143</v>
      </c>
      <c r="F6" s="20"/>
      <c r="G6" s="20"/>
      <c r="H6" s="20"/>
    </row>
    <row r="7" customFormat="false" ht="48" hidden="false" customHeight="true" outlineLevel="0" collapsed="false">
      <c r="A7" s="20" t="s">
        <v>147</v>
      </c>
      <c r="B7" s="20" t="s">
        <v>148</v>
      </c>
      <c r="C7" s="20" t="s">
        <v>149</v>
      </c>
      <c r="D7" s="20" t="s">
        <v>142</v>
      </c>
      <c r="E7" s="20" t="s">
        <v>142</v>
      </c>
      <c r="F7" s="20"/>
      <c r="G7" s="20"/>
      <c r="H7" s="20"/>
    </row>
    <row r="8" customFormat="false" ht="31.5" hidden="false" customHeight="true" outlineLevel="0" collapsed="false">
      <c r="A8" s="20" t="s">
        <v>150</v>
      </c>
      <c r="B8" s="20" t="s">
        <v>151</v>
      </c>
      <c r="C8" s="20" t="s">
        <v>141</v>
      </c>
      <c r="D8" s="20" t="s">
        <v>142</v>
      </c>
      <c r="E8" s="20" t="s">
        <v>143</v>
      </c>
      <c r="F8" s="20"/>
      <c r="G8" s="20"/>
      <c r="H8" s="20"/>
    </row>
    <row r="9" customFormat="false" ht="31.5" hidden="false" customHeight="true" outlineLevel="0" collapsed="false">
      <c r="A9" s="20" t="s">
        <v>152</v>
      </c>
      <c r="B9" s="20" t="s">
        <v>153</v>
      </c>
      <c r="C9" s="20" t="s">
        <v>154</v>
      </c>
      <c r="D9" s="20" t="s">
        <v>143</v>
      </c>
      <c r="E9" s="20" t="s">
        <v>143</v>
      </c>
      <c r="F9" s="20"/>
      <c r="G9" s="20"/>
      <c r="H9" s="20"/>
    </row>
    <row r="10" customFormat="false" ht="48" hidden="false" customHeight="true" outlineLevel="0" collapsed="false">
      <c r="A10" s="20" t="s">
        <v>155</v>
      </c>
      <c r="B10" s="20" t="s">
        <v>156</v>
      </c>
      <c r="C10" s="20" t="s">
        <v>157</v>
      </c>
      <c r="D10" s="20" t="s">
        <v>142</v>
      </c>
      <c r="E10" s="20" t="s">
        <v>142</v>
      </c>
      <c r="F10" s="20"/>
      <c r="G10" s="20"/>
      <c r="H10" s="20"/>
    </row>
    <row r="11" customFormat="false" ht="31.5" hidden="false" customHeight="true" outlineLevel="0" collapsed="false">
      <c r="A11" s="20" t="s">
        <v>158</v>
      </c>
      <c r="B11" s="20" t="s">
        <v>159</v>
      </c>
      <c r="C11" s="20" t="s">
        <v>160</v>
      </c>
      <c r="D11" s="20" t="s">
        <v>142</v>
      </c>
      <c r="E11" s="20" t="s">
        <v>142</v>
      </c>
      <c r="F11" s="20"/>
      <c r="G11" s="20"/>
      <c r="H11" s="20"/>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3" min="1" style="0" width="18"/>
    <col collapsed="false" customWidth="true" hidden="false" outlineLevel="0" max="4" min="4" style="0" width="40"/>
    <col collapsed="false" customWidth="true" hidden="false" outlineLevel="0" max="7" min="5" style="0" width="18"/>
    <col collapsed="false" customWidth="true" hidden="false" outlineLevel="0" max="8" min="8" style="0" width="28"/>
    <col collapsed="false" customWidth="true" hidden="false" outlineLevel="0" max="9" min="9" style="0" width="32"/>
    <col collapsed="false" customWidth="true" hidden="false" outlineLevel="0" max="13" min="10" style="0" width="18"/>
    <col collapsed="false" customWidth="true" hidden="false" outlineLevel="0" max="14" min="14" style="0" width="30"/>
    <col collapsed="false" customWidth="true" hidden="false" outlineLevel="0" max="15" min="15" style="0" width="18"/>
    <col collapsed="false" customWidth="true" hidden="false" outlineLevel="0" max="16" min="16" style="0" width="22"/>
  </cols>
  <sheetData>
    <row r="1" customFormat="false" ht="33.75" hidden="false" customHeight="true" outlineLevel="0" collapsed="false">
      <c r="A1" s="3" t="s">
        <v>161</v>
      </c>
      <c r="B1" s="3"/>
      <c r="C1" s="3"/>
      <c r="D1" s="3"/>
      <c r="E1" s="3"/>
      <c r="F1" s="3"/>
      <c r="G1" s="3"/>
      <c r="H1" s="3"/>
      <c r="I1" s="3"/>
      <c r="J1" s="3"/>
      <c r="K1" s="3"/>
      <c r="L1" s="3"/>
      <c r="M1" s="3"/>
      <c r="N1" s="3"/>
      <c r="O1" s="3"/>
    </row>
    <row r="2" customFormat="false" ht="15" hidden="false" customHeight="true" outlineLevel="0" collapsed="false">
      <c r="A2" s="2" t="s">
        <v>162</v>
      </c>
      <c r="B2" s="2"/>
      <c r="C2" s="2"/>
      <c r="D2" s="2"/>
      <c r="E2" s="2"/>
      <c r="F2" s="2"/>
      <c r="G2" s="2"/>
      <c r="H2" s="2"/>
    </row>
    <row r="4" customFormat="false" ht="33.75" hidden="false" customHeight="true" outlineLevel="0" collapsed="false">
      <c r="A4" s="3" t="s">
        <v>163</v>
      </c>
      <c r="B4" s="3" t="s">
        <v>164</v>
      </c>
      <c r="C4" s="3" t="s">
        <v>165</v>
      </c>
      <c r="D4" s="3" t="s">
        <v>166</v>
      </c>
      <c r="E4" s="3" t="s">
        <v>167</v>
      </c>
      <c r="F4" s="3" t="s">
        <v>168</v>
      </c>
      <c r="G4" s="3" t="s">
        <v>169</v>
      </c>
      <c r="H4" s="3" t="s">
        <v>170</v>
      </c>
      <c r="I4" s="3" t="s">
        <v>171</v>
      </c>
      <c r="J4" s="3" t="s">
        <v>172</v>
      </c>
      <c r="K4" s="3" t="s">
        <v>173</v>
      </c>
      <c r="L4" s="3" t="s">
        <v>174</v>
      </c>
      <c r="M4" s="3" t="s">
        <v>138</v>
      </c>
      <c r="N4" s="3" t="s">
        <v>175</v>
      </c>
      <c r="O4" s="3" t="s">
        <v>176</v>
      </c>
      <c r="P4" s="8" t="s">
        <v>177</v>
      </c>
    </row>
    <row r="5" customFormat="false" ht="63.75" hidden="false" customHeight="true" outlineLevel="0" collapsed="false">
      <c r="A5" s="22" t="s">
        <v>178</v>
      </c>
      <c r="B5" s="22" t="s">
        <v>103</v>
      </c>
      <c r="C5" s="22" t="s">
        <v>179</v>
      </c>
      <c r="D5" s="22" t="s">
        <v>180</v>
      </c>
      <c r="E5" s="22" t="s">
        <v>181</v>
      </c>
      <c r="F5" s="22" t="s">
        <v>182</v>
      </c>
      <c r="G5" s="22" t="s">
        <v>183</v>
      </c>
      <c r="H5" s="22" t="s">
        <v>184</v>
      </c>
      <c r="I5" s="20"/>
      <c r="J5" s="20"/>
      <c r="K5" s="20"/>
      <c r="L5" s="20"/>
      <c r="M5" s="20"/>
      <c r="N5" s="20"/>
      <c r="O5" s="20"/>
      <c r="P5" s="23" t="str">
        <f aca="false">IF(COUNTA(A5,B5,D5,E5,F5,I5,J5)=0,"Empty",IF(COUNTA(A5,B5,D5,E5,F5,I5,J5)&lt;7,"Partial","Complete"))</f>
        <v>Partial</v>
      </c>
    </row>
    <row r="6" customFormat="false" ht="96" hidden="false" customHeight="true" outlineLevel="0" collapsed="false">
      <c r="A6" s="22" t="s">
        <v>185</v>
      </c>
      <c r="B6" s="22" t="s">
        <v>186</v>
      </c>
      <c r="C6" s="22" t="s">
        <v>179</v>
      </c>
      <c r="D6" s="22" t="s">
        <v>187</v>
      </c>
      <c r="E6" s="22" t="s">
        <v>188</v>
      </c>
      <c r="F6" s="22" t="s">
        <v>189</v>
      </c>
      <c r="G6" s="22" t="s">
        <v>183</v>
      </c>
      <c r="H6" s="22" t="s">
        <v>190</v>
      </c>
      <c r="I6" s="20"/>
      <c r="J6" s="20"/>
      <c r="K6" s="20"/>
      <c r="L6" s="20"/>
      <c r="M6" s="20"/>
      <c r="N6" s="20"/>
      <c r="O6" s="20"/>
      <c r="P6" s="23" t="str">
        <f aca="false">IF(COUNTA(A6,B6,D6,E6,F6,I6,J6)=0,"Empty",IF(COUNTA(A6,B6,D6,E6,F6,I6,J6)&lt;7,"Partial","Complete"))</f>
        <v>Partial</v>
      </c>
    </row>
    <row r="7" customFormat="false" ht="48" hidden="false" customHeight="true" outlineLevel="0" collapsed="false">
      <c r="A7" s="22" t="s">
        <v>191</v>
      </c>
      <c r="B7" s="22" t="s">
        <v>192</v>
      </c>
      <c r="C7" s="22" t="s">
        <v>179</v>
      </c>
      <c r="D7" s="22" t="s">
        <v>193</v>
      </c>
      <c r="E7" s="22" t="s">
        <v>194</v>
      </c>
      <c r="F7" s="22" t="s">
        <v>195</v>
      </c>
      <c r="G7" s="22" t="s">
        <v>196</v>
      </c>
      <c r="H7" s="22" t="s">
        <v>197</v>
      </c>
      <c r="I7" s="20"/>
      <c r="J7" s="20"/>
      <c r="K7" s="20"/>
      <c r="L7" s="20"/>
      <c r="M7" s="20"/>
      <c r="N7" s="20"/>
      <c r="O7" s="20"/>
      <c r="P7" s="23" t="str">
        <f aca="false">IF(COUNTA(A7,B7,D7,E7,F7,I7,J7)=0,"Empty",IF(COUNTA(A7,B7,D7,E7,F7,I7,J7)&lt;7,"Partial","Complete"))</f>
        <v>Partial</v>
      </c>
    </row>
    <row r="8" customFormat="false" ht="31.5" hidden="false" customHeight="true" outlineLevel="0" collapsed="false">
      <c r="A8" s="22" t="s">
        <v>198</v>
      </c>
      <c r="B8" s="22" t="s">
        <v>199</v>
      </c>
      <c r="C8" s="22" t="s">
        <v>200</v>
      </c>
      <c r="D8" s="22" t="s">
        <v>201</v>
      </c>
      <c r="E8" s="22" t="s">
        <v>202</v>
      </c>
      <c r="F8" s="22" t="s">
        <v>203</v>
      </c>
      <c r="G8" s="22" t="s">
        <v>183</v>
      </c>
      <c r="H8" s="22" t="s">
        <v>204</v>
      </c>
      <c r="I8" s="20"/>
      <c r="J8" s="20"/>
      <c r="K8" s="20"/>
      <c r="L8" s="20"/>
      <c r="M8" s="20"/>
      <c r="N8" s="20"/>
      <c r="O8" s="20"/>
      <c r="P8" s="23" t="str">
        <f aca="false">IF(COUNTA(A8,B8,D8,E8,F8,I8,J8)=0,"Empty",IF(COUNTA(A8,B8,D8,E8,F8,I8,J8)&lt;7,"Partial","Complete"))</f>
        <v>Partial</v>
      </c>
    </row>
    <row r="9" customFormat="false" ht="31.5" hidden="false" customHeight="true" outlineLevel="0" collapsed="false">
      <c r="A9" s="22" t="s">
        <v>205</v>
      </c>
      <c r="B9" s="22" t="s">
        <v>206</v>
      </c>
      <c r="C9" s="22" t="s">
        <v>200</v>
      </c>
      <c r="D9" s="22" t="s">
        <v>207</v>
      </c>
      <c r="E9" s="22" t="s">
        <v>208</v>
      </c>
      <c r="F9" s="22" t="s">
        <v>209</v>
      </c>
      <c r="G9" s="22" t="s">
        <v>183</v>
      </c>
      <c r="H9" s="22" t="s">
        <v>210</v>
      </c>
      <c r="I9" s="20"/>
      <c r="J9" s="20"/>
      <c r="K9" s="20"/>
      <c r="L9" s="20"/>
      <c r="M9" s="20"/>
      <c r="N9" s="20"/>
      <c r="O9" s="20"/>
      <c r="P9" s="23" t="str">
        <f aca="false">IF(COUNTA(A9,B9,D9,E9,F9,I9,J9)=0,"Empty",IF(COUNTA(A9,B9,D9,E9,F9,I9,J9)&lt;7,"Partial","Complete"))</f>
        <v>Partial</v>
      </c>
    </row>
    <row r="10" customFormat="false" ht="33.75" hidden="false" customHeight="true" outlineLevel="0" collapsed="false">
      <c r="A10" s="24" t="s">
        <v>211</v>
      </c>
      <c r="B10" s="24" t="s">
        <v>212</v>
      </c>
      <c r="C10" s="24" t="s">
        <v>213</v>
      </c>
      <c r="D10" s="24" t="s">
        <v>214</v>
      </c>
      <c r="E10" s="24" t="s">
        <v>215</v>
      </c>
      <c r="F10" s="24" t="s">
        <v>216</v>
      </c>
      <c r="G10" s="24" t="s">
        <v>183</v>
      </c>
      <c r="H10" s="24" t="s">
        <v>217</v>
      </c>
      <c r="I10" s="24"/>
      <c r="J10" s="24"/>
      <c r="K10" s="24"/>
      <c r="L10" s="24" t="s">
        <v>143</v>
      </c>
      <c r="M10" s="24"/>
      <c r="N10" s="24"/>
      <c r="O10" s="24"/>
      <c r="P10" s="23" t="str">
        <f aca="false">IF(COUNTA(A10,B10,D10,E10,F10,I10,J10)=0,"Empty",IF(COUNTA(A10,B10,D10,E10,F10,I10,J10)&lt;7,"Partial","Complete"))</f>
        <v>Partial</v>
      </c>
    </row>
    <row r="11" customFormat="false" ht="33.75" hidden="false" customHeight="true" outlineLevel="0" collapsed="false">
      <c r="A11" s="24" t="s">
        <v>218</v>
      </c>
      <c r="B11" s="24" t="s">
        <v>212</v>
      </c>
      <c r="C11" s="24" t="s">
        <v>219</v>
      </c>
      <c r="D11" s="24" t="s">
        <v>220</v>
      </c>
      <c r="E11" s="24" t="s">
        <v>221</v>
      </c>
      <c r="F11" s="24" t="s">
        <v>222</v>
      </c>
      <c r="G11" s="24" t="s">
        <v>183</v>
      </c>
      <c r="H11" s="24" t="s">
        <v>223</v>
      </c>
      <c r="I11" s="24"/>
      <c r="J11" s="24"/>
      <c r="K11" s="24"/>
      <c r="L11" s="24" t="s">
        <v>224</v>
      </c>
      <c r="M11" s="24"/>
      <c r="N11" s="24"/>
      <c r="O11" s="24"/>
      <c r="P11" s="23" t="str">
        <f aca="false">IF(COUNTA(A11,B11,D11,E11,F11,I11,J11)=0,"Empty",IF(COUNTA(A11,B11,D11,E11,F11,I11,J11)&lt;7,"Partial","Complete"))</f>
        <v>Partial</v>
      </c>
    </row>
    <row r="12" customFormat="false" ht="15.75" hidden="false" customHeight="true" outlineLevel="0" collapsed="false">
      <c r="A12" s="25"/>
      <c r="B12" s="25"/>
      <c r="C12" s="25"/>
      <c r="D12" s="25"/>
      <c r="E12" s="25"/>
      <c r="F12" s="25"/>
      <c r="G12" s="25"/>
      <c r="H12" s="25"/>
      <c r="I12" s="25"/>
      <c r="J12" s="25"/>
      <c r="K12" s="25"/>
      <c r="L12" s="25"/>
      <c r="M12" s="25"/>
      <c r="N12" s="25"/>
      <c r="O12" s="25"/>
      <c r="P12" s="23" t="str">
        <f aca="false">IF(COUNTA(A12,B12,D12,E12,F12,I12,J12)=0,"Empty",IF(COUNTA(A12,B12,D12,E12,F12,I12,J12)&lt;7,"Partial","Complete"))</f>
        <v>Empty</v>
      </c>
    </row>
    <row r="13" customFormat="false" ht="15.75" hidden="false" customHeight="true" outlineLevel="0" collapsed="false">
      <c r="A13" s="25"/>
      <c r="B13" s="25"/>
      <c r="C13" s="25"/>
      <c r="D13" s="25"/>
      <c r="E13" s="25"/>
      <c r="F13" s="25"/>
      <c r="G13" s="25"/>
      <c r="H13" s="25"/>
      <c r="I13" s="25"/>
      <c r="J13" s="25"/>
      <c r="K13" s="25"/>
      <c r="L13" s="25"/>
      <c r="M13" s="25"/>
      <c r="N13" s="25"/>
      <c r="O13" s="25"/>
      <c r="P13" s="23" t="str">
        <f aca="false">IF(COUNTA(A13,B13,D13,E13,F13,I13,J13)=0,"Empty",IF(COUNTA(A13,B13,D13,E13,F13,I13,J13)&lt;7,"Partial","Complete"))</f>
        <v>Empty</v>
      </c>
    </row>
    <row r="14" customFormat="false" ht="15.75" hidden="false" customHeight="true" outlineLevel="0" collapsed="false">
      <c r="A14" s="25"/>
      <c r="B14" s="25"/>
      <c r="C14" s="25"/>
      <c r="D14" s="25"/>
      <c r="E14" s="25"/>
      <c r="F14" s="25"/>
      <c r="G14" s="25"/>
      <c r="H14" s="25"/>
      <c r="I14" s="25"/>
      <c r="J14" s="25"/>
      <c r="K14" s="25"/>
      <c r="L14" s="25"/>
      <c r="M14" s="25"/>
      <c r="N14" s="25"/>
      <c r="O14" s="25"/>
      <c r="P14" s="23" t="str">
        <f aca="false">IF(COUNTA(A14,B14,D14,E14,F14,I14,J14)=0,"Empty",IF(COUNTA(A14,B14,D14,E14,F14,I14,J14)&lt;7,"Partial","Complete"))</f>
        <v>Empty</v>
      </c>
    </row>
    <row r="15" customFormat="false" ht="15.75" hidden="false" customHeight="true" outlineLevel="0" collapsed="false">
      <c r="A15" s="25"/>
      <c r="B15" s="25"/>
      <c r="C15" s="25"/>
      <c r="D15" s="25"/>
      <c r="E15" s="25"/>
      <c r="F15" s="25"/>
      <c r="G15" s="25"/>
      <c r="H15" s="25"/>
      <c r="I15" s="25"/>
      <c r="J15" s="25"/>
      <c r="K15" s="25"/>
      <c r="L15" s="25"/>
      <c r="M15" s="25"/>
      <c r="N15" s="25"/>
      <c r="O15" s="25"/>
      <c r="P15" s="23" t="str">
        <f aca="false">IF(COUNTA(A15,B15,D15,E15,F15,I15,J15)=0,"Empty",IF(COUNTA(A15,B15,D15,E15,F15,I15,J15)&lt;7,"Partial","Complete"))</f>
        <v>Empty</v>
      </c>
    </row>
    <row r="16" customFormat="false" ht="15.75" hidden="false" customHeight="true" outlineLevel="0" collapsed="false">
      <c r="A16" s="25"/>
      <c r="B16" s="25"/>
      <c r="C16" s="25"/>
      <c r="D16" s="25"/>
      <c r="E16" s="25"/>
      <c r="F16" s="25"/>
      <c r="G16" s="25"/>
      <c r="H16" s="25"/>
      <c r="I16" s="25"/>
      <c r="J16" s="25"/>
      <c r="K16" s="25"/>
      <c r="L16" s="25"/>
      <c r="M16" s="25"/>
      <c r="N16" s="25"/>
      <c r="O16" s="25"/>
      <c r="P16" s="23" t="str">
        <f aca="false">IF(COUNTA(A16,B16,D16,E16,F16,I16,J16)=0,"Empty",IF(COUNTA(A16,B16,D16,E16,F16,I16,J16)&lt;7,"Partial","Complete"))</f>
        <v>Empty</v>
      </c>
    </row>
    <row r="17" customFormat="false" ht="15.75" hidden="false" customHeight="true" outlineLevel="0" collapsed="false">
      <c r="A17" s="25"/>
      <c r="B17" s="25"/>
      <c r="C17" s="25"/>
      <c r="D17" s="25"/>
      <c r="E17" s="25"/>
      <c r="F17" s="25"/>
      <c r="G17" s="25"/>
      <c r="H17" s="25"/>
      <c r="I17" s="25"/>
      <c r="J17" s="25"/>
      <c r="K17" s="25"/>
      <c r="L17" s="25"/>
      <c r="M17" s="25"/>
      <c r="N17" s="25"/>
      <c r="O17" s="25"/>
      <c r="P17" s="23" t="str">
        <f aca="false">IF(COUNTA(A17,B17,D17,E17,F17,I17,J17)=0,"Empty",IF(COUNTA(A17,B17,D17,E17,F17,I17,J17)&lt;7,"Partial","Complete"))</f>
        <v>Empty</v>
      </c>
    </row>
    <row r="18" customFormat="false" ht="15.75" hidden="false" customHeight="true" outlineLevel="0" collapsed="false">
      <c r="A18" s="25"/>
      <c r="B18" s="25"/>
      <c r="C18" s="25"/>
      <c r="D18" s="25"/>
      <c r="E18" s="25"/>
      <c r="F18" s="25"/>
      <c r="G18" s="25"/>
      <c r="H18" s="25"/>
      <c r="I18" s="25"/>
      <c r="J18" s="25"/>
      <c r="K18" s="25"/>
      <c r="L18" s="25"/>
      <c r="M18" s="25"/>
      <c r="N18" s="25"/>
      <c r="O18" s="25"/>
      <c r="P18" s="23" t="str">
        <f aca="false">IF(COUNTA(A18,B18,D18,E18,F18,I18,J18)=0,"Empty",IF(COUNTA(A18,B18,D18,E18,F18,I18,J18)&lt;7,"Partial","Complete"))</f>
        <v>Empty</v>
      </c>
    </row>
    <row r="19" customFormat="false" ht="15.75" hidden="false" customHeight="true" outlineLevel="0" collapsed="false">
      <c r="A19" s="25"/>
      <c r="B19" s="25"/>
      <c r="C19" s="25"/>
      <c r="D19" s="25"/>
      <c r="E19" s="25"/>
      <c r="F19" s="25"/>
      <c r="G19" s="25"/>
      <c r="H19" s="25"/>
      <c r="I19" s="25"/>
      <c r="J19" s="25"/>
      <c r="K19" s="25"/>
      <c r="L19" s="25"/>
      <c r="M19" s="25"/>
      <c r="N19" s="25"/>
      <c r="O19" s="25"/>
      <c r="P19" s="23" t="str">
        <f aca="false">IF(COUNTA(A19,B19,D19,E19,F19,I19,J19)=0,"Empty",IF(COUNTA(A19,B19,D19,E19,F19,I19,J19)&lt;7,"Partial","Complete"))</f>
        <v>Empty</v>
      </c>
    </row>
    <row r="20" customFormat="false" ht="15.75" hidden="false" customHeight="true" outlineLevel="0" collapsed="false">
      <c r="A20" s="25"/>
      <c r="B20" s="25"/>
      <c r="C20" s="25"/>
      <c r="D20" s="25"/>
      <c r="E20" s="25"/>
      <c r="F20" s="25"/>
      <c r="G20" s="25"/>
      <c r="H20" s="25"/>
      <c r="I20" s="25"/>
      <c r="J20" s="25"/>
      <c r="K20" s="25"/>
      <c r="L20" s="25"/>
      <c r="M20" s="25"/>
      <c r="N20" s="25"/>
      <c r="O20" s="25"/>
      <c r="P20" s="23" t="str">
        <f aca="false">IF(COUNTA(A20,B20,D20,E20,F20,I20,J20)=0,"Empty",IF(COUNTA(A20,B20,D20,E20,F20,I20,J20)&lt;7,"Partial","Complete"))</f>
        <v>Empty</v>
      </c>
    </row>
    <row r="21" customFormat="false" ht="15.75" hidden="false" customHeight="true" outlineLevel="0" collapsed="false">
      <c r="A21" s="25"/>
      <c r="B21" s="25"/>
      <c r="C21" s="25"/>
      <c r="D21" s="25"/>
      <c r="E21" s="25"/>
      <c r="F21" s="25"/>
      <c r="G21" s="25"/>
      <c r="H21" s="25"/>
      <c r="I21" s="25"/>
      <c r="J21" s="25"/>
      <c r="K21" s="25"/>
      <c r="L21" s="25"/>
      <c r="M21" s="25"/>
      <c r="N21" s="25"/>
      <c r="O21" s="25"/>
      <c r="P21" s="23" t="str">
        <f aca="false">IF(COUNTA(A21,B21,D21,E21,F21,I21,J21)=0,"Empty",IF(COUNTA(A21,B21,D21,E21,F21,I21,J21)&lt;7,"Partial","Complete"))</f>
        <v>Empty</v>
      </c>
    </row>
    <row r="22" customFormat="false" ht="15.75" hidden="false" customHeight="true" outlineLevel="0" collapsed="false">
      <c r="A22" s="25"/>
      <c r="B22" s="25"/>
      <c r="C22" s="25"/>
      <c r="D22" s="25"/>
      <c r="E22" s="25"/>
      <c r="F22" s="25"/>
      <c r="G22" s="25"/>
      <c r="H22" s="25"/>
      <c r="I22" s="25"/>
      <c r="J22" s="25"/>
      <c r="K22" s="25"/>
      <c r="L22" s="25"/>
      <c r="M22" s="25"/>
      <c r="N22" s="25"/>
      <c r="O22" s="25"/>
      <c r="P22" s="23" t="str">
        <f aca="false">IF(COUNTA(A22,B22,D22,E22,F22,I22,J22)=0,"Empty",IF(COUNTA(A22,B22,D22,E22,F22,I22,J22)&lt;7,"Partial","Complete"))</f>
        <v>Empty</v>
      </c>
    </row>
    <row r="23" customFormat="false" ht="15.75" hidden="false" customHeight="true" outlineLevel="0" collapsed="false">
      <c r="A23" s="25"/>
      <c r="B23" s="25"/>
      <c r="C23" s="25"/>
      <c r="D23" s="25"/>
      <c r="E23" s="25"/>
      <c r="F23" s="25"/>
      <c r="G23" s="25"/>
      <c r="H23" s="25"/>
      <c r="I23" s="25"/>
      <c r="J23" s="25"/>
      <c r="K23" s="25"/>
      <c r="L23" s="25"/>
      <c r="M23" s="25"/>
      <c r="N23" s="25"/>
      <c r="O23" s="25"/>
      <c r="P23" s="23" t="str">
        <f aca="false">IF(COUNTA(A23,B23,D23,E23,F23,I23,J23)=0,"Empty",IF(COUNTA(A23,B23,D23,E23,F23,I23,J23)&lt;7,"Partial","Complete"))</f>
        <v>Empty</v>
      </c>
    </row>
    <row r="24" customFormat="false" ht="15.75" hidden="false" customHeight="true" outlineLevel="0" collapsed="false">
      <c r="A24" s="25"/>
      <c r="B24" s="25"/>
      <c r="C24" s="25"/>
      <c r="D24" s="25"/>
      <c r="E24" s="25"/>
      <c r="F24" s="25"/>
      <c r="G24" s="25"/>
      <c r="H24" s="25"/>
      <c r="I24" s="25"/>
      <c r="J24" s="25"/>
      <c r="K24" s="25"/>
      <c r="L24" s="25"/>
      <c r="M24" s="25"/>
      <c r="N24" s="25"/>
      <c r="O24" s="25"/>
      <c r="P24" s="23" t="str">
        <f aca="false">IF(COUNTA(A24,B24,D24,E24,F24,I24,J24)=0,"Empty",IF(COUNTA(A24,B24,D24,E24,F24,I24,J24)&lt;7,"Partial","Complete"))</f>
        <v>Empty</v>
      </c>
    </row>
    <row r="25" customFormat="false" ht="15.75" hidden="false" customHeight="true" outlineLevel="0" collapsed="false">
      <c r="A25" s="25"/>
      <c r="B25" s="25"/>
      <c r="C25" s="25"/>
      <c r="D25" s="25"/>
      <c r="E25" s="25"/>
      <c r="F25" s="25"/>
      <c r="G25" s="25"/>
      <c r="H25" s="25"/>
      <c r="I25" s="25"/>
      <c r="J25" s="25"/>
      <c r="K25" s="25"/>
      <c r="L25" s="25"/>
      <c r="M25" s="25"/>
      <c r="N25" s="25"/>
      <c r="O25" s="25"/>
      <c r="P25" s="23" t="str">
        <f aca="false">IF(COUNTA(A25,B25,D25,E25,F25,I25,J25)=0,"Empty",IF(COUNTA(A25,B25,D25,E25,F25,I25,J25)&lt;7,"Partial","Complete"))</f>
        <v>Empty</v>
      </c>
    </row>
    <row r="26" customFormat="false" ht="15.75" hidden="false" customHeight="true" outlineLevel="0" collapsed="false">
      <c r="A26" s="25"/>
      <c r="B26" s="25"/>
      <c r="C26" s="25"/>
      <c r="D26" s="25"/>
      <c r="E26" s="25"/>
      <c r="F26" s="25"/>
      <c r="G26" s="25"/>
      <c r="H26" s="25"/>
      <c r="I26" s="25"/>
      <c r="J26" s="25"/>
      <c r="K26" s="25"/>
      <c r="L26" s="25"/>
      <c r="M26" s="25"/>
      <c r="N26" s="25"/>
      <c r="O26" s="25"/>
      <c r="P26" s="23" t="str">
        <f aca="false">IF(COUNTA(A26,B26,D26,E26,F26,I26,J26)=0,"Empty",IF(COUNTA(A26,B26,D26,E26,F26,I26,J26)&lt;7,"Partial","Complete"))</f>
        <v>Empty</v>
      </c>
    </row>
    <row r="27" customFormat="false" ht="15.75" hidden="false" customHeight="true" outlineLevel="0" collapsed="false">
      <c r="A27" s="25"/>
      <c r="B27" s="25"/>
      <c r="C27" s="25"/>
      <c r="D27" s="25"/>
      <c r="E27" s="25"/>
      <c r="F27" s="25"/>
      <c r="G27" s="25"/>
      <c r="H27" s="25"/>
      <c r="I27" s="25"/>
      <c r="J27" s="25"/>
      <c r="K27" s="25"/>
      <c r="L27" s="25"/>
      <c r="M27" s="25"/>
      <c r="N27" s="25"/>
      <c r="O27" s="25"/>
      <c r="P27" s="23" t="str">
        <f aca="false">IF(COUNTA(A27,B27,D27,E27,F27,I27,J27)=0,"Empty",IF(COUNTA(A27,B27,D27,E27,F27,I27,J27)&lt;7,"Partial","Complete"))</f>
        <v>Empty</v>
      </c>
    </row>
    <row r="28" customFormat="false" ht="15.75" hidden="false" customHeight="true" outlineLevel="0" collapsed="false">
      <c r="A28" s="25"/>
      <c r="B28" s="25"/>
      <c r="C28" s="25"/>
      <c r="D28" s="25"/>
      <c r="E28" s="25"/>
      <c r="F28" s="25"/>
      <c r="G28" s="25"/>
      <c r="H28" s="25"/>
      <c r="I28" s="25"/>
      <c r="J28" s="25"/>
      <c r="K28" s="25"/>
      <c r="L28" s="25"/>
      <c r="M28" s="25"/>
      <c r="N28" s="25"/>
      <c r="O28" s="25"/>
      <c r="P28" s="23" t="str">
        <f aca="false">IF(COUNTA(A28,B28,D28,E28,F28,I28,J28)=0,"Empty",IF(COUNTA(A28,B28,D28,E28,F28,I28,J28)&lt;7,"Partial","Complete"))</f>
        <v>Empty</v>
      </c>
    </row>
    <row r="29" customFormat="false" ht="15.75" hidden="false" customHeight="true" outlineLevel="0" collapsed="false">
      <c r="A29" s="25"/>
      <c r="B29" s="25"/>
      <c r="C29" s="25"/>
      <c r="D29" s="25"/>
      <c r="E29" s="25"/>
      <c r="F29" s="25"/>
      <c r="G29" s="25"/>
      <c r="H29" s="25"/>
      <c r="I29" s="25"/>
      <c r="J29" s="25"/>
      <c r="K29" s="25"/>
      <c r="L29" s="25"/>
      <c r="M29" s="25"/>
      <c r="N29" s="25"/>
      <c r="O29" s="25"/>
      <c r="P29" s="23" t="str">
        <f aca="false">IF(COUNTA(A29,B29,D29,E29,F29,I29,J29)=0,"Empty",IF(COUNTA(A29,B29,D29,E29,F29,I29,J29)&lt;7,"Partial","Complete"))</f>
        <v>Empty</v>
      </c>
    </row>
    <row r="30" customFormat="false" ht="15.75" hidden="false" customHeight="true" outlineLevel="0" collapsed="false">
      <c r="A30" s="25"/>
      <c r="B30" s="25"/>
      <c r="C30" s="25"/>
      <c r="D30" s="25"/>
      <c r="E30" s="25"/>
      <c r="F30" s="25"/>
      <c r="G30" s="25"/>
      <c r="H30" s="25"/>
      <c r="I30" s="25"/>
      <c r="J30" s="25"/>
      <c r="K30" s="25"/>
      <c r="L30" s="25"/>
      <c r="M30" s="25"/>
      <c r="N30" s="25"/>
      <c r="O30" s="25"/>
      <c r="P30" s="23" t="str">
        <f aca="false">IF(COUNTA(A30,B30,D30,E30,F30,I30,J30)=0,"Empty",IF(COUNTA(A30,B30,D30,E30,F30,I30,J30)&lt;7,"Partial","Complete"))</f>
        <v>Empty</v>
      </c>
    </row>
    <row r="31" customFormat="false" ht="15.75" hidden="false" customHeight="true" outlineLevel="0" collapsed="false">
      <c r="A31" s="25"/>
      <c r="B31" s="25"/>
      <c r="C31" s="25"/>
      <c r="D31" s="25"/>
      <c r="E31" s="25"/>
      <c r="F31" s="25"/>
      <c r="G31" s="25"/>
      <c r="H31" s="25"/>
      <c r="I31" s="25"/>
      <c r="J31" s="25"/>
      <c r="K31" s="25"/>
      <c r="L31" s="25"/>
      <c r="M31" s="25"/>
      <c r="N31" s="25"/>
      <c r="O31" s="25"/>
      <c r="P31" s="23" t="str">
        <f aca="false">IF(COUNTA(A31,B31,D31,E31,F31,I31,J31)=0,"Empty",IF(COUNTA(A31,B31,D31,E31,F31,I31,J31)&lt;7,"Partial","Complete"))</f>
        <v>Empty</v>
      </c>
    </row>
    <row r="32" customFormat="false" ht="15.75" hidden="false" customHeight="true" outlineLevel="0" collapsed="false">
      <c r="A32" s="25"/>
      <c r="B32" s="25"/>
      <c r="C32" s="25"/>
      <c r="D32" s="25"/>
      <c r="E32" s="25"/>
      <c r="F32" s="25"/>
      <c r="G32" s="25"/>
      <c r="H32" s="25"/>
      <c r="I32" s="25"/>
      <c r="J32" s="25"/>
      <c r="K32" s="25"/>
      <c r="L32" s="25"/>
      <c r="M32" s="25"/>
      <c r="N32" s="25"/>
      <c r="O32" s="25"/>
      <c r="P32" s="23" t="str">
        <f aca="false">IF(COUNTA(A32,B32,D32,E32,F32,I32,J32)=0,"Empty",IF(COUNTA(A32,B32,D32,E32,F32,I32,J32)&lt;7,"Partial","Complete"))</f>
        <v>Empty</v>
      </c>
    </row>
    <row r="33" customFormat="false" ht="15.75" hidden="false" customHeight="true" outlineLevel="0" collapsed="false">
      <c r="A33" s="25"/>
      <c r="B33" s="25"/>
      <c r="C33" s="25"/>
      <c r="D33" s="25"/>
      <c r="E33" s="25"/>
      <c r="F33" s="25"/>
      <c r="G33" s="25"/>
      <c r="H33" s="25"/>
      <c r="I33" s="25"/>
      <c r="J33" s="25"/>
      <c r="K33" s="25"/>
      <c r="L33" s="25"/>
      <c r="M33" s="25"/>
      <c r="N33" s="25"/>
      <c r="O33" s="25"/>
      <c r="P33" s="23" t="str">
        <f aca="false">IF(COUNTA(A33,B33,D33,E33,F33,I33,J33)=0,"Empty",IF(COUNTA(A33,B33,D33,E33,F33,I33,J33)&lt;7,"Partial","Complete"))</f>
        <v>Empty</v>
      </c>
    </row>
    <row r="34" customFormat="false" ht="15.75" hidden="false" customHeight="true" outlineLevel="0" collapsed="false">
      <c r="A34" s="25"/>
      <c r="B34" s="25"/>
      <c r="C34" s="25"/>
      <c r="D34" s="25"/>
      <c r="E34" s="25"/>
      <c r="F34" s="25"/>
      <c r="G34" s="25"/>
      <c r="H34" s="25"/>
      <c r="I34" s="25"/>
      <c r="J34" s="25"/>
      <c r="K34" s="25"/>
      <c r="L34" s="25"/>
      <c r="M34" s="25"/>
      <c r="N34" s="25"/>
      <c r="O34" s="25"/>
      <c r="P34" s="23" t="str">
        <f aca="false">IF(COUNTA(A34,B34,D34,E34,F34,I34,J34)=0,"Empty",IF(COUNTA(A34,B34,D34,E34,F34,I34,J34)&lt;7,"Partial","Complete"))</f>
        <v>Empty</v>
      </c>
    </row>
    <row r="35" customFormat="false" ht="15.75" hidden="false" customHeight="true" outlineLevel="0" collapsed="false">
      <c r="A35" s="25"/>
      <c r="B35" s="25"/>
      <c r="C35" s="25"/>
      <c r="D35" s="25"/>
      <c r="E35" s="25"/>
      <c r="F35" s="25"/>
      <c r="G35" s="25"/>
      <c r="H35" s="25"/>
      <c r="I35" s="25"/>
      <c r="J35" s="25"/>
      <c r="K35" s="25"/>
      <c r="L35" s="25"/>
      <c r="M35" s="25"/>
      <c r="N35" s="25"/>
      <c r="O35" s="25"/>
      <c r="P35" s="23" t="str">
        <f aca="false">IF(COUNTA(A35,B35,D35,E35,F35,I35,J35)=0,"Empty",IF(COUNTA(A35,B35,D35,E35,F35,I35,J35)&lt;7,"Partial","Complete"))</f>
        <v>Empty</v>
      </c>
    </row>
    <row r="36" customFormat="false" ht="15.75" hidden="false" customHeight="true" outlineLevel="0" collapsed="false">
      <c r="A36" s="25"/>
      <c r="B36" s="25"/>
      <c r="C36" s="25"/>
      <c r="D36" s="25"/>
      <c r="E36" s="25"/>
      <c r="F36" s="25"/>
      <c r="G36" s="25"/>
      <c r="H36" s="25"/>
      <c r="I36" s="25"/>
      <c r="J36" s="25"/>
      <c r="K36" s="25"/>
      <c r="L36" s="25"/>
      <c r="M36" s="25"/>
      <c r="N36" s="25"/>
      <c r="O36" s="25"/>
      <c r="P36" s="23" t="str">
        <f aca="false">IF(COUNTA(A36,B36,D36,E36,F36,I36,J36)=0,"Empty",IF(COUNTA(A36,B36,D36,E36,F36,I36,J36)&lt;7,"Partial","Complete"))</f>
        <v>Empty</v>
      </c>
    </row>
    <row r="37" customFormat="false" ht="15.75" hidden="false" customHeight="true" outlineLevel="0" collapsed="false">
      <c r="A37" s="25"/>
      <c r="B37" s="25"/>
      <c r="C37" s="25"/>
      <c r="D37" s="25"/>
      <c r="E37" s="25"/>
      <c r="F37" s="25"/>
      <c r="G37" s="25"/>
      <c r="H37" s="25"/>
      <c r="I37" s="25"/>
      <c r="J37" s="25"/>
      <c r="K37" s="25"/>
      <c r="L37" s="25"/>
      <c r="M37" s="25"/>
      <c r="N37" s="25"/>
      <c r="O37" s="25"/>
      <c r="P37" s="23" t="str">
        <f aca="false">IF(COUNTA(A37,B37,D37,E37,F37,I37,J37)=0,"Empty",IF(COUNTA(A37,B37,D37,E37,F37,I37,J37)&lt;7,"Partial","Complete"))</f>
        <v>Empty</v>
      </c>
    </row>
    <row r="38" customFormat="false" ht="15.75" hidden="false" customHeight="true" outlineLevel="0" collapsed="false">
      <c r="A38" s="25"/>
      <c r="B38" s="25"/>
      <c r="C38" s="25"/>
      <c r="D38" s="25"/>
      <c r="E38" s="25"/>
      <c r="F38" s="25"/>
      <c r="G38" s="25"/>
      <c r="H38" s="25"/>
      <c r="I38" s="25"/>
      <c r="J38" s="25"/>
      <c r="K38" s="25"/>
      <c r="L38" s="25"/>
      <c r="M38" s="25"/>
      <c r="N38" s="25"/>
      <c r="O38" s="25"/>
      <c r="P38" s="23" t="str">
        <f aca="false">IF(COUNTA(A38,B38,D38,E38,F38,I38,J38)=0,"Empty",IF(COUNTA(A38,B38,D38,E38,F38,I38,J38)&lt;7,"Partial","Complete"))</f>
        <v>Empty</v>
      </c>
    </row>
    <row r="39" customFormat="false" ht="15.75" hidden="false" customHeight="true" outlineLevel="0" collapsed="false">
      <c r="A39" s="25"/>
      <c r="B39" s="25"/>
      <c r="C39" s="25"/>
      <c r="D39" s="25"/>
      <c r="E39" s="25"/>
      <c r="F39" s="25"/>
      <c r="G39" s="25"/>
      <c r="H39" s="25"/>
      <c r="I39" s="25"/>
      <c r="J39" s="25"/>
      <c r="K39" s="25"/>
      <c r="L39" s="25"/>
      <c r="M39" s="25"/>
      <c r="N39" s="25"/>
      <c r="O39" s="25"/>
      <c r="P39" s="23" t="str">
        <f aca="false">IF(COUNTA(A39,B39,D39,E39,F39,I39,J39)=0,"Empty",IF(COUNTA(A39,B39,D39,E39,F39,I39,J39)&lt;7,"Partial","Complete"))</f>
        <v>Empty</v>
      </c>
    </row>
    <row r="40" customFormat="false" ht="15.75" hidden="false" customHeight="true" outlineLevel="0" collapsed="false">
      <c r="A40" s="25"/>
      <c r="B40" s="25"/>
      <c r="C40" s="25"/>
      <c r="D40" s="25"/>
      <c r="E40" s="25"/>
      <c r="F40" s="25"/>
      <c r="G40" s="25"/>
      <c r="H40" s="25"/>
      <c r="I40" s="25"/>
      <c r="J40" s="25"/>
      <c r="K40" s="25"/>
      <c r="L40" s="25"/>
      <c r="M40" s="25"/>
      <c r="N40" s="25"/>
      <c r="O40" s="25"/>
      <c r="P40" s="23" t="str">
        <f aca="false">IF(COUNTA(A40,B40,D40,E40,F40,I40,J40)=0,"Empty",IF(COUNTA(A40,B40,D40,E40,F40,I40,J40)&lt;7,"Partial","Complete"))</f>
        <v>Empty</v>
      </c>
    </row>
    <row r="41" customFormat="false" ht="15.75" hidden="false" customHeight="true" outlineLevel="0" collapsed="false">
      <c r="A41" s="25"/>
      <c r="B41" s="25"/>
      <c r="C41" s="25"/>
      <c r="D41" s="25"/>
      <c r="E41" s="25"/>
      <c r="F41" s="25"/>
      <c r="G41" s="25"/>
      <c r="H41" s="25"/>
      <c r="I41" s="25"/>
      <c r="J41" s="25"/>
      <c r="K41" s="25"/>
      <c r="L41" s="25"/>
      <c r="M41" s="25"/>
      <c r="N41" s="25"/>
      <c r="O41" s="25"/>
      <c r="P41" s="23" t="str">
        <f aca="false">IF(COUNTA(A41,B41,D41,E41,F41,I41,J41)=0,"Empty",IF(COUNTA(A41,B41,D41,E41,F41,I41,J41)&lt;7,"Partial","Complete"))</f>
        <v>Empty</v>
      </c>
    </row>
    <row r="42" customFormat="false" ht="15.75" hidden="false" customHeight="true" outlineLevel="0" collapsed="false">
      <c r="A42" s="25"/>
      <c r="B42" s="25"/>
      <c r="C42" s="25"/>
      <c r="D42" s="25"/>
      <c r="E42" s="25"/>
      <c r="F42" s="25"/>
      <c r="G42" s="25"/>
      <c r="H42" s="25"/>
      <c r="I42" s="25"/>
      <c r="J42" s="25"/>
      <c r="K42" s="25"/>
      <c r="L42" s="25"/>
      <c r="M42" s="25"/>
      <c r="N42" s="25"/>
      <c r="O42" s="25"/>
      <c r="P42" s="23" t="str">
        <f aca="false">IF(COUNTA(A42,B42,D42,E42,F42,I42,J42)=0,"Empty",IF(COUNTA(A42,B42,D42,E42,F42,I42,J42)&lt;7,"Partial","Complete"))</f>
        <v>Empty</v>
      </c>
    </row>
    <row r="43" customFormat="false" ht="15.75" hidden="false" customHeight="true" outlineLevel="0" collapsed="false">
      <c r="A43" s="25"/>
      <c r="B43" s="25"/>
      <c r="C43" s="25"/>
      <c r="D43" s="25"/>
      <c r="E43" s="25"/>
      <c r="F43" s="25"/>
      <c r="G43" s="25"/>
      <c r="H43" s="25"/>
      <c r="I43" s="25"/>
      <c r="J43" s="25"/>
      <c r="K43" s="25"/>
      <c r="L43" s="25"/>
      <c r="M43" s="25"/>
      <c r="N43" s="25"/>
      <c r="O43" s="25"/>
      <c r="P43" s="23" t="str">
        <f aca="false">IF(COUNTA(A43,B43,D43,E43,F43,I43,J43)=0,"Empty",IF(COUNTA(A43,B43,D43,E43,F43,I43,J43)&lt;7,"Partial","Complete"))</f>
        <v>Empty</v>
      </c>
    </row>
    <row r="44" customFormat="false" ht="15.75" hidden="false" customHeight="true" outlineLevel="0" collapsed="false">
      <c r="A44" s="25"/>
      <c r="B44" s="25"/>
      <c r="C44" s="25"/>
      <c r="D44" s="25"/>
      <c r="E44" s="25"/>
      <c r="F44" s="25"/>
      <c r="G44" s="25"/>
      <c r="H44" s="25"/>
      <c r="I44" s="25"/>
      <c r="J44" s="25"/>
      <c r="K44" s="25"/>
      <c r="L44" s="25"/>
      <c r="M44" s="25"/>
      <c r="N44" s="25"/>
      <c r="O44" s="25"/>
      <c r="P44" s="23" t="str">
        <f aca="false">IF(COUNTA(A44,B44,D44,E44,F44,I44,J44)=0,"Empty",IF(COUNTA(A44,B44,D44,E44,F44,I44,J44)&lt;7,"Partial","Complete"))</f>
        <v>Empty</v>
      </c>
    </row>
    <row r="45" customFormat="false" ht="15.75" hidden="false" customHeight="true" outlineLevel="0" collapsed="false">
      <c r="A45" s="25"/>
      <c r="B45" s="25"/>
      <c r="C45" s="25"/>
      <c r="D45" s="25"/>
      <c r="E45" s="25"/>
      <c r="F45" s="25"/>
      <c r="G45" s="25"/>
      <c r="H45" s="25"/>
      <c r="I45" s="25"/>
      <c r="J45" s="25"/>
      <c r="K45" s="25"/>
      <c r="L45" s="25"/>
      <c r="M45" s="25"/>
      <c r="N45" s="25"/>
      <c r="O45" s="25"/>
      <c r="P45" s="23" t="str">
        <f aca="false">IF(COUNTA(A45,B45,D45,E45,F45,I45,J45)=0,"Empty",IF(COUNTA(A45,B45,D45,E45,F45,I45,J45)&lt;7,"Partial","Complete"))</f>
        <v>Empty</v>
      </c>
    </row>
    <row r="46" customFormat="false" ht="15.75" hidden="false" customHeight="true" outlineLevel="0" collapsed="false">
      <c r="A46" s="25"/>
      <c r="B46" s="25"/>
      <c r="C46" s="25"/>
      <c r="D46" s="25"/>
      <c r="E46" s="25"/>
      <c r="F46" s="25"/>
      <c r="G46" s="25"/>
      <c r="H46" s="25"/>
      <c r="I46" s="25"/>
      <c r="J46" s="25"/>
      <c r="K46" s="25"/>
      <c r="L46" s="25"/>
      <c r="M46" s="25"/>
      <c r="N46" s="25"/>
      <c r="O46" s="25"/>
      <c r="P46" s="23" t="str">
        <f aca="false">IF(COUNTA(A46,B46,D46,E46,F46,I46,J46)=0,"Empty",IF(COUNTA(A46,B46,D46,E46,F46,I46,J46)&lt;7,"Partial","Complete"))</f>
        <v>Empty</v>
      </c>
    </row>
    <row r="47" customFormat="false" ht="15.75" hidden="false" customHeight="true" outlineLevel="0" collapsed="false">
      <c r="A47" s="25"/>
      <c r="B47" s="25"/>
      <c r="C47" s="25"/>
      <c r="D47" s="25"/>
      <c r="E47" s="25"/>
      <c r="F47" s="25"/>
      <c r="G47" s="25"/>
      <c r="H47" s="25"/>
      <c r="I47" s="25"/>
      <c r="J47" s="25"/>
      <c r="K47" s="25"/>
      <c r="L47" s="25"/>
      <c r="M47" s="25"/>
      <c r="N47" s="25"/>
      <c r="O47" s="25"/>
      <c r="P47" s="23" t="str">
        <f aca="false">IF(COUNTA(A47,B47,D47,E47,F47,I47,J47)=0,"Empty",IF(COUNTA(A47,B47,D47,E47,F47,I47,J47)&lt;7,"Partial","Complete"))</f>
        <v>Empty</v>
      </c>
    </row>
    <row r="48" customFormat="false" ht="15.75" hidden="false" customHeight="true" outlineLevel="0" collapsed="false">
      <c r="A48" s="25"/>
      <c r="B48" s="25"/>
      <c r="C48" s="25"/>
      <c r="D48" s="25"/>
      <c r="E48" s="25"/>
      <c r="F48" s="25"/>
      <c r="G48" s="25"/>
      <c r="H48" s="25"/>
      <c r="I48" s="25"/>
      <c r="J48" s="25"/>
      <c r="K48" s="25"/>
      <c r="L48" s="25"/>
      <c r="M48" s="25"/>
      <c r="N48" s="25"/>
      <c r="O48" s="25"/>
      <c r="P48" s="23" t="str">
        <f aca="false">IF(COUNTA(A48,B48,D48,E48,F48,I48,J48)=0,"Empty",IF(COUNTA(A48,B48,D48,E48,F48,I48,J48)&lt;7,"Partial","Complete"))</f>
        <v>Empty</v>
      </c>
    </row>
    <row r="49" customFormat="false" ht="15.75" hidden="false" customHeight="true" outlineLevel="0" collapsed="false">
      <c r="A49" s="25"/>
      <c r="B49" s="25"/>
      <c r="C49" s="25"/>
      <c r="D49" s="25"/>
      <c r="E49" s="25"/>
      <c r="F49" s="25"/>
      <c r="G49" s="25"/>
      <c r="H49" s="25"/>
      <c r="I49" s="25"/>
      <c r="J49" s="25"/>
      <c r="K49" s="25"/>
      <c r="L49" s="25"/>
      <c r="M49" s="25"/>
      <c r="N49" s="25"/>
      <c r="O49" s="25"/>
      <c r="P49" s="23" t="str">
        <f aca="false">IF(COUNTA(A49,B49,D49,E49,F49,I49,J49)=0,"Empty",IF(COUNTA(A49,B49,D49,E49,F49,I49,J49)&lt;7,"Partial","Complete"))</f>
        <v>Empty</v>
      </c>
    </row>
    <row r="50" customFormat="false" ht="15.75" hidden="false" customHeight="true" outlineLevel="0" collapsed="false">
      <c r="A50" s="25"/>
      <c r="B50" s="25"/>
      <c r="C50" s="25"/>
      <c r="D50" s="25"/>
      <c r="E50" s="25"/>
      <c r="F50" s="25"/>
      <c r="G50" s="25"/>
      <c r="H50" s="25"/>
      <c r="I50" s="25"/>
      <c r="J50" s="25"/>
      <c r="K50" s="25"/>
      <c r="L50" s="25"/>
      <c r="M50" s="25"/>
      <c r="N50" s="25"/>
      <c r="O50" s="25"/>
      <c r="P50" s="23" t="str">
        <f aca="false">IF(COUNTA(A50,B50,D50,E50,F50,I50,J50)=0,"Empty",IF(COUNTA(A50,B50,D50,E50,F50,I50,J50)&lt;7,"Partial","Complete"))</f>
        <v>Empty</v>
      </c>
    </row>
    <row r="51" customFormat="false" ht="15.75" hidden="false" customHeight="true" outlineLevel="0" collapsed="false">
      <c r="A51" s="25"/>
      <c r="B51" s="25"/>
      <c r="C51" s="25"/>
      <c r="D51" s="25"/>
      <c r="E51" s="25"/>
      <c r="F51" s="25"/>
      <c r="G51" s="25"/>
      <c r="H51" s="25"/>
      <c r="I51" s="25"/>
      <c r="J51" s="25"/>
      <c r="K51" s="25"/>
      <c r="L51" s="25"/>
      <c r="M51" s="25"/>
      <c r="N51" s="25"/>
      <c r="O51" s="25"/>
      <c r="P51" s="23" t="str">
        <f aca="false">IF(COUNTA(A51,B51,D51,E51,F51,I51,J51)=0,"Empty",IF(COUNTA(A51,B51,D51,E51,F51,I51,J51)&lt;7,"Partial","Complete"))</f>
        <v>Empty</v>
      </c>
    </row>
    <row r="52" customFormat="false" ht="15.75" hidden="false" customHeight="true" outlineLevel="0" collapsed="false">
      <c r="A52" s="25"/>
      <c r="B52" s="25"/>
      <c r="C52" s="25"/>
      <c r="D52" s="25"/>
      <c r="E52" s="25"/>
      <c r="F52" s="25"/>
      <c r="G52" s="25"/>
      <c r="H52" s="25"/>
      <c r="I52" s="25"/>
      <c r="J52" s="25"/>
      <c r="K52" s="25"/>
      <c r="L52" s="25"/>
      <c r="M52" s="25"/>
      <c r="N52" s="25"/>
      <c r="O52" s="25"/>
      <c r="P52" s="23" t="str">
        <f aca="false">IF(COUNTA(A52,B52,D52,E52,F52,I52,J52)=0,"Empty",IF(COUNTA(A52,B52,D52,E52,F52,I52,J52)&lt;7,"Partial","Complete"))</f>
        <v>Empty</v>
      </c>
    </row>
    <row r="53" customFormat="false" ht="15.75" hidden="false" customHeight="true" outlineLevel="0" collapsed="false">
      <c r="A53" s="25"/>
      <c r="B53" s="25"/>
      <c r="C53" s="25"/>
      <c r="D53" s="25"/>
      <c r="E53" s="25"/>
      <c r="F53" s="25"/>
      <c r="G53" s="25"/>
      <c r="H53" s="25"/>
      <c r="I53" s="25"/>
      <c r="J53" s="25"/>
      <c r="K53" s="25"/>
      <c r="L53" s="25"/>
      <c r="M53" s="25"/>
      <c r="N53" s="25"/>
      <c r="O53" s="25"/>
      <c r="P53" s="23" t="str">
        <f aca="false">IF(COUNTA(A53,B53,D53,E53,F53,I53,J53)=0,"Empty",IF(COUNTA(A53,B53,D53,E53,F53,I53,J53)&lt;7,"Partial","Complete"))</f>
        <v>Empty</v>
      </c>
    </row>
    <row r="54" customFormat="false" ht="15.75" hidden="false" customHeight="true" outlineLevel="0" collapsed="false">
      <c r="A54" s="25"/>
      <c r="B54" s="25"/>
      <c r="C54" s="25"/>
      <c r="D54" s="25"/>
      <c r="E54" s="25"/>
      <c r="F54" s="25"/>
      <c r="G54" s="25"/>
      <c r="H54" s="25"/>
      <c r="I54" s="25"/>
      <c r="J54" s="25"/>
      <c r="K54" s="25"/>
      <c r="L54" s="25"/>
      <c r="M54" s="25"/>
      <c r="N54" s="25"/>
      <c r="O54" s="25"/>
      <c r="P54" s="23" t="str">
        <f aca="false">IF(COUNTA(A54,B54,D54,E54,F54,I54,J54)=0,"Empty",IF(COUNTA(A54,B54,D54,E54,F54,I54,J54)&lt;7,"Partial","Complete"))</f>
        <v>Empty</v>
      </c>
    </row>
    <row r="55" customFormat="false" ht="15.75" hidden="false" customHeight="true" outlineLevel="0" collapsed="false">
      <c r="A55" s="25"/>
      <c r="B55" s="25"/>
      <c r="C55" s="25"/>
      <c r="D55" s="25"/>
      <c r="E55" s="25"/>
      <c r="F55" s="25"/>
      <c r="G55" s="25"/>
      <c r="H55" s="25"/>
      <c r="I55" s="25"/>
      <c r="J55" s="25"/>
      <c r="K55" s="25"/>
      <c r="L55" s="25"/>
      <c r="M55" s="25"/>
      <c r="N55" s="25"/>
      <c r="O55" s="25"/>
      <c r="P55" s="23" t="str">
        <f aca="false">IF(COUNTA(A55,B55,D55,E55,F55,I55,J55)=0,"Empty",IF(COUNTA(A55,B55,D55,E55,F55,I55,J55)&lt;7,"Partial","Complete"))</f>
        <v>Empty</v>
      </c>
    </row>
    <row r="56" customFormat="false" ht="15.75" hidden="false" customHeight="true" outlineLevel="0" collapsed="false">
      <c r="A56" s="25"/>
      <c r="B56" s="25"/>
      <c r="C56" s="25"/>
      <c r="D56" s="25"/>
      <c r="E56" s="25"/>
      <c r="F56" s="25"/>
      <c r="G56" s="25"/>
      <c r="H56" s="25"/>
      <c r="I56" s="25"/>
      <c r="J56" s="25"/>
      <c r="K56" s="25"/>
      <c r="L56" s="25"/>
      <c r="M56" s="25"/>
      <c r="N56" s="25"/>
      <c r="O56" s="25"/>
      <c r="P56" s="23" t="str">
        <f aca="false">IF(COUNTA(A56,B56,D56,E56,F56,I56,J56)=0,"Empty",IF(COUNTA(A56,B56,D56,E56,F56,I56,J56)&lt;7,"Partial","Complete"))</f>
        <v>Empty</v>
      </c>
    </row>
    <row r="57" customFormat="false" ht="15.75" hidden="false" customHeight="true" outlineLevel="0" collapsed="false">
      <c r="A57" s="25"/>
      <c r="B57" s="25"/>
      <c r="C57" s="25"/>
      <c r="D57" s="25"/>
      <c r="E57" s="25"/>
      <c r="F57" s="25"/>
      <c r="G57" s="25"/>
      <c r="H57" s="25"/>
      <c r="I57" s="25"/>
      <c r="J57" s="25"/>
      <c r="K57" s="25"/>
      <c r="L57" s="25"/>
      <c r="M57" s="25"/>
      <c r="N57" s="25"/>
      <c r="O57" s="25"/>
      <c r="P57" s="23" t="str">
        <f aca="false">IF(COUNTA(A57,B57,D57,E57,F57,I57,J57)=0,"Empty",IF(COUNTA(A57,B57,D57,E57,F57,I57,J57)&lt;7,"Partial","Complete"))</f>
        <v>Empty</v>
      </c>
    </row>
    <row r="58" customFormat="false" ht="15.75" hidden="false" customHeight="true" outlineLevel="0" collapsed="false">
      <c r="A58" s="25"/>
      <c r="B58" s="25"/>
      <c r="C58" s="25"/>
      <c r="D58" s="25"/>
      <c r="E58" s="25"/>
      <c r="F58" s="25"/>
      <c r="G58" s="25"/>
      <c r="H58" s="25"/>
      <c r="I58" s="25"/>
      <c r="J58" s="25"/>
      <c r="K58" s="25"/>
      <c r="L58" s="25"/>
      <c r="M58" s="25"/>
      <c r="N58" s="25"/>
      <c r="O58" s="25"/>
      <c r="P58" s="23" t="str">
        <f aca="false">IF(COUNTA(A58,B58,D58,E58,F58,I58,J58)=0,"Empty",IF(COUNTA(A58,B58,D58,E58,F58,I58,J58)&lt;7,"Partial","Complete"))</f>
        <v>Empty</v>
      </c>
    </row>
    <row r="59" customFormat="false" ht="15.75" hidden="false" customHeight="true" outlineLevel="0" collapsed="false">
      <c r="A59" s="25"/>
      <c r="B59" s="25"/>
      <c r="C59" s="25"/>
      <c r="D59" s="25"/>
      <c r="E59" s="25"/>
      <c r="F59" s="25"/>
      <c r="G59" s="25"/>
      <c r="H59" s="25"/>
      <c r="I59" s="25"/>
      <c r="J59" s="25"/>
      <c r="K59" s="25"/>
      <c r="L59" s="25"/>
      <c r="M59" s="25"/>
      <c r="N59" s="25"/>
      <c r="O59" s="25"/>
      <c r="P59" s="23" t="str">
        <f aca="false">IF(COUNTA(A59,B59,D59,E59,F59,I59,J59)=0,"Empty",IF(COUNTA(A59,B59,D59,E59,F59,I59,J59)&lt;7,"Partial","Complete"))</f>
        <v>Empty</v>
      </c>
    </row>
    <row r="60" customFormat="false" ht="15.75" hidden="false" customHeight="true" outlineLevel="0" collapsed="false">
      <c r="A60" s="25"/>
      <c r="B60" s="25"/>
      <c r="C60" s="25"/>
      <c r="D60" s="25"/>
      <c r="E60" s="25"/>
      <c r="F60" s="25"/>
      <c r="G60" s="25"/>
      <c r="H60" s="25"/>
      <c r="I60" s="25"/>
      <c r="J60" s="25"/>
      <c r="K60" s="25"/>
      <c r="L60" s="25"/>
      <c r="M60" s="25"/>
      <c r="N60" s="25"/>
      <c r="O60" s="25"/>
      <c r="P60" s="23" t="str">
        <f aca="false">IF(COUNTA(A60,B60,D60,E60,F60,I60,J60)=0,"Empty",IF(COUNTA(A60,B60,D60,E60,F60,I60,J60)&lt;7,"Partial","Complete"))</f>
        <v>Empty</v>
      </c>
    </row>
  </sheetData>
  <mergeCells count="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11" min="3" style="0" width="18"/>
  </cols>
  <sheetData>
    <row r="1" customFormat="false" ht="33.75" hidden="false" customHeight="true" outlineLevel="0" collapsed="false">
      <c r="A1" s="3" t="s">
        <v>225</v>
      </c>
      <c r="B1" s="3"/>
      <c r="C1" s="3"/>
      <c r="D1" s="3"/>
      <c r="E1" s="3"/>
      <c r="F1" s="3"/>
      <c r="G1" s="3"/>
      <c r="H1" s="3"/>
      <c r="I1" s="3"/>
      <c r="J1" s="3"/>
      <c r="K1" s="3"/>
    </row>
    <row r="2" customFormat="false" ht="15" hidden="false" customHeight="true" outlineLevel="0" collapsed="false">
      <c r="A2" s="2" t="s">
        <v>226</v>
      </c>
      <c r="B2" s="2"/>
      <c r="C2" s="2"/>
      <c r="D2" s="2"/>
      <c r="E2" s="2"/>
      <c r="F2" s="2"/>
      <c r="G2" s="2"/>
      <c r="H2" s="2"/>
    </row>
    <row r="4" customFormat="false" ht="33.75" hidden="false" customHeight="true" outlineLevel="0" collapsed="false">
      <c r="A4" s="3" t="s">
        <v>163</v>
      </c>
      <c r="B4" s="3" t="s">
        <v>227</v>
      </c>
      <c r="C4" s="3" t="s">
        <v>228</v>
      </c>
      <c r="D4" s="3" t="s">
        <v>229</v>
      </c>
      <c r="E4" s="3" t="s">
        <v>230</v>
      </c>
      <c r="F4" s="3" t="s">
        <v>231</v>
      </c>
      <c r="G4" s="3" t="s">
        <v>232</v>
      </c>
      <c r="H4" s="3" t="s">
        <v>233</v>
      </c>
      <c r="I4" s="3" t="s">
        <v>234</v>
      </c>
      <c r="J4" s="3" t="s">
        <v>235</v>
      </c>
      <c r="K4" s="3" t="s">
        <v>137</v>
      </c>
    </row>
    <row r="5" customFormat="false" ht="15.75" hidden="false" customHeight="true" outlineLevel="0" collapsed="false">
      <c r="A5" s="22" t="s">
        <v>236</v>
      </c>
      <c r="B5" s="22" t="s">
        <v>237</v>
      </c>
      <c r="C5" s="22" t="s">
        <v>238</v>
      </c>
      <c r="D5" s="22"/>
      <c r="E5" s="20"/>
      <c r="F5" s="20"/>
      <c r="G5" s="20"/>
      <c r="H5" s="20"/>
      <c r="I5" s="20"/>
      <c r="J5" s="20"/>
      <c r="K5" s="20"/>
    </row>
    <row r="6" customFormat="false" ht="31.5" hidden="false" customHeight="true" outlineLevel="0" collapsed="false">
      <c r="A6" s="22" t="s">
        <v>239</v>
      </c>
      <c r="B6" s="22" t="s">
        <v>240</v>
      </c>
      <c r="C6" s="22" t="s">
        <v>188</v>
      </c>
      <c r="D6" s="22"/>
      <c r="E6" s="20"/>
      <c r="F6" s="20"/>
      <c r="G6" s="20"/>
      <c r="H6" s="20"/>
      <c r="I6" s="20"/>
      <c r="J6" s="20"/>
      <c r="K6" s="20"/>
    </row>
    <row r="7" customFormat="false" ht="31.5" hidden="false" customHeight="true" outlineLevel="0" collapsed="false">
      <c r="A7" s="22" t="s">
        <v>241</v>
      </c>
      <c r="B7" s="22" t="s">
        <v>242</v>
      </c>
      <c r="C7" s="22" t="s">
        <v>243</v>
      </c>
      <c r="D7" s="22"/>
      <c r="E7" s="20"/>
      <c r="F7" s="20"/>
      <c r="G7" s="20"/>
      <c r="H7" s="20"/>
      <c r="I7" s="20"/>
      <c r="J7" s="20"/>
      <c r="K7" s="20"/>
    </row>
    <row r="8" customFormat="false" ht="31.5" hidden="false" customHeight="true" outlineLevel="0" collapsed="false">
      <c r="A8" s="22" t="s">
        <v>244</v>
      </c>
      <c r="B8" s="22" t="s">
        <v>245</v>
      </c>
      <c r="C8" s="22" t="s">
        <v>202</v>
      </c>
      <c r="D8" s="22"/>
      <c r="E8" s="20"/>
      <c r="F8" s="20"/>
      <c r="G8" s="20"/>
      <c r="H8" s="20"/>
      <c r="I8" s="20"/>
      <c r="J8" s="20"/>
      <c r="K8" s="20"/>
    </row>
    <row r="9" customFormat="false" ht="31.5" hidden="false" customHeight="true" outlineLevel="0" collapsed="false">
      <c r="A9" s="22" t="s">
        <v>246</v>
      </c>
      <c r="B9" s="22" t="s">
        <v>247</v>
      </c>
      <c r="C9" s="22" t="s">
        <v>248</v>
      </c>
      <c r="D9" s="22"/>
      <c r="E9" s="20"/>
      <c r="F9" s="20"/>
      <c r="G9" s="20"/>
      <c r="H9" s="20"/>
      <c r="I9" s="20"/>
      <c r="J9" s="20"/>
      <c r="K9" s="20"/>
    </row>
    <row r="10" customFormat="false" ht="33.75" hidden="false" customHeight="true" outlineLevel="0" collapsed="false">
      <c r="A10" s="24" t="s">
        <v>249</v>
      </c>
      <c r="B10" s="24" t="s">
        <v>250</v>
      </c>
      <c r="C10" s="24" t="s">
        <v>251</v>
      </c>
    </row>
    <row r="11" customFormat="false" ht="33.75" hidden="false" customHeight="true" outlineLevel="0" collapsed="false">
      <c r="A11" s="24" t="s">
        <v>252</v>
      </c>
      <c r="B11" s="24" t="s">
        <v>253</v>
      </c>
      <c r="C11" s="24" t="s">
        <v>254</v>
      </c>
    </row>
  </sheetData>
  <mergeCells count="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5" zeroHeight="false" outlineLevelRow="0" outlineLevelCol="0"/>
  <cols>
    <col collapsed="false" customWidth="true" hidden="false" outlineLevel="0" max="8" min="1" style="0" width="22"/>
  </cols>
  <sheetData>
    <row r="1" customFormat="false" ht="33.75" hidden="false" customHeight="true" outlineLevel="0" collapsed="false">
      <c r="A1" s="3" t="s">
        <v>255</v>
      </c>
      <c r="B1" s="3"/>
      <c r="C1" s="3"/>
      <c r="D1" s="3"/>
      <c r="E1" s="3"/>
      <c r="F1" s="3"/>
      <c r="G1" s="3"/>
      <c r="H1" s="3"/>
    </row>
    <row r="2" customFormat="false" ht="15" hidden="false" customHeight="true" outlineLevel="0" collapsed="false">
      <c r="A2" s="2" t="s">
        <v>256</v>
      </c>
      <c r="B2" s="2"/>
      <c r="C2" s="2"/>
      <c r="D2" s="2"/>
      <c r="E2" s="2"/>
      <c r="F2" s="2"/>
      <c r="G2" s="2"/>
      <c r="H2" s="2"/>
    </row>
    <row r="4" customFormat="false" ht="33.75" hidden="false" customHeight="true" outlineLevel="0" collapsed="false">
      <c r="A4" s="3" t="s">
        <v>257</v>
      </c>
      <c r="B4" s="3" t="s">
        <v>132</v>
      </c>
      <c r="C4" s="3" t="s">
        <v>258</v>
      </c>
      <c r="D4" s="3" t="s">
        <v>259</v>
      </c>
      <c r="E4" s="3" t="s">
        <v>172</v>
      </c>
      <c r="F4" s="3" t="s">
        <v>260</v>
      </c>
      <c r="G4" s="3" t="s">
        <v>261</v>
      </c>
      <c r="H4" s="3" t="s">
        <v>138</v>
      </c>
    </row>
    <row r="5" customFormat="false" ht="31.5" hidden="false" customHeight="true" outlineLevel="0" collapsed="false">
      <c r="A5" s="22" t="s">
        <v>262</v>
      </c>
      <c r="B5" s="22" t="s">
        <v>263</v>
      </c>
      <c r="C5" s="22"/>
      <c r="D5" s="20"/>
      <c r="E5" s="20"/>
      <c r="F5" s="20" t="s">
        <v>264</v>
      </c>
      <c r="G5" s="20"/>
      <c r="H5" s="20"/>
    </row>
    <row r="6" customFormat="false" ht="48" hidden="false" customHeight="true" outlineLevel="0" collapsed="false">
      <c r="A6" s="22" t="s">
        <v>265</v>
      </c>
      <c r="B6" s="22" t="s">
        <v>266</v>
      </c>
      <c r="C6" s="22"/>
      <c r="D6" s="20"/>
      <c r="E6" s="20"/>
      <c r="F6" s="20" t="s">
        <v>267</v>
      </c>
      <c r="G6" s="20"/>
      <c r="H6" s="20"/>
    </row>
    <row r="7" customFormat="false" ht="31.5" hidden="false" customHeight="true" outlineLevel="0" collapsed="false">
      <c r="A7" s="22" t="s">
        <v>268</v>
      </c>
      <c r="B7" s="22" t="s">
        <v>269</v>
      </c>
      <c r="C7" s="22"/>
      <c r="D7" s="20"/>
      <c r="E7" s="20"/>
      <c r="F7" s="20" t="s">
        <v>270</v>
      </c>
      <c r="G7" s="20"/>
      <c r="H7" s="20"/>
    </row>
    <row r="8" customFormat="false" ht="31.5" hidden="false" customHeight="true" outlineLevel="0" collapsed="false">
      <c r="A8" s="22" t="s">
        <v>271</v>
      </c>
      <c r="B8" s="22" t="s">
        <v>272</v>
      </c>
      <c r="C8" s="22"/>
      <c r="D8" s="20"/>
      <c r="E8" s="20"/>
      <c r="F8" s="20" t="s">
        <v>273</v>
      </c>
      <c r="G8" s="20"/>
      <c r="H8" s="20"/>
    </row>
    <row r="9" customFormat="false" ht="48" hidden="false" customHeight="true" outlineLevel="0" collapsed="false">
      <c r="A9" s="22" t="s">
        <v>274</v>
      </c>
      <c r="B9" s="22" t="s">
        <v>275</v>
      </c>
      <c r="C9" s="22"/>
      <c r="D9" s="20"/>
      <c r="E9" s="20"/>
      <c r="F9" s="20" t="s">
        <v>276</v>
      </c>
      <c r="G9" s="20"/>
      <c r="H9" s="20"/>
    </row>
    <row r="10" customFormat="false" ht="15" hidden="false" customHeight="false" outlineLevel="0" collapsed="false">
      <c r="A10" s="25"/>
      <c r="B10" s="25"/>
      <c r="C10" s="25"/>
      <c r="D10" s="25"/>
      <c r="E10" s="25"/>
      <c r="F10" s="25"/>
      <c r="G10" s="25"/>
      <c r="H10" s="25"/>
    </row>
    <row r="11" customFormat="false" ht="15" hidden="false" customHeight="false" outlineLevel="0" collapsed="false">
      <c r="A11" s="25"/>
      <c r="B11" s="25"/>
      <c r="C11" s="25"/>
      <c r="D11" s="25"/>
      <c r="E11" s="25"/>
      <c r="F11" s="25"/>
      <c r="G11" s="25"/>
      <c r="H11" s="25"/>
    </row>
    <row r="12" customFormat="false" ht="15" hidden="false" customHeight="false" outlineLevel="0" collapsed="false">
      <c r="A12" s="25"/>
      <c r="B12" s="25"/>
      <c r="C12" s="25"/>
      <c r="D12" s="25"/>
      <c r="E12" s="25"/>
      <c r="F12" s="25"/>
      <c r="G12" s="25"/>
      <c r="H12" s="25"/>
    </row>
    <row r="13" customFormat="false" ht="15" hidden="false" customHeight="false" outlineLevel="0" collapsed="false">
      <c r="A13" s="25"/>
      <c r="B13" s="25"/>
      <c r="C13" s="25"/>
      <c r="D13" s="25"/>
      <c r="E13" s="25"/>
      <c r="F13" s="25"/>
      <c r="G13" s="25"/>
      <c r="H13" s="25"/>
    </row>
    <row r="14" customFormat="false" ht="15" hidden="false" customHeight="false" outlineLevel="0" collapsed="false">
      <c r="A14" s="25"/>
      <c r="B14" s="25"/>
      <c r="C14" s="25"/>
      <c r="D14" s="25"/>
      <c r="E14" s="25"/>
      <c r="F14" s="25"/>
      <c r="G14" s="25"/>
      <c r="H14" s="25"/>
    </row>
    <row r="15" customFormat="false" ht="15" hidden="false" customHeight="false" outlineLevel="0" collapsed="false">
      <c r="A15" s="25"/>
      <c r="B15" s="25"/>
      <c r="C15" s="25"/>
      <c r="D15" s="25"/>
      <c r="E15" s="25"/>
      <c r="F15" s="25"/>
      <c r="G15" s="25"/>
      <c r="H15" s="25"/>
    </row>
    <row r="16" customFormat="false" ht="15" hidden="false" customHeight="false" outlineLevel="0" collapsed="false">
      <c r="A16" s="25"/>
      <c r="B16" s="25"/>
      <c r="C16" s="25"/>
      <c r="D16" s="25"/>
      <c r="E16" s="25"/>
      <c r="F16" s="25"/>
      <c r="G16" s="25"/>
      <c r="H16" s="25"/>
    </row>
    <row r="17" customFormat="false" ht="15" hidden="false" customHeight="false" outlineLevel="0" collapsed="false">
      <c r="A17" s="25"/>
      <c r="B17" s="25"/>
      <c r="C17" s="25"/>
      <c r="D17" s="25"/>
      <c r="E17" s="25"/>
      <c r="F17" s="25"/>
      <c r="G17" s="25"/>
      <c r="H17" s="25"/>
    </row>
    <row r="18" customFormat="false" ht="15" hidden="false" customHeight="false" outlineLevel="0" collapsed="false">
      <c r="A18" s="25"/>
      <c r="B18" s="25"/>
      <c r="C18" s="25"/>
      <c r="D18" s="25"/>
      <c r="E18" s="25"/>
      <c r="F18" s="25"/>
      <c r="G18" s="25"/>
      <c r="H18" s="25"/>
    </row>
    <row r="19" customFormat="false" ht="15" hidden="false" customHeight="false" outlineLevel="0" collapsed="false">
      <c r="A19" s="25"/>
      <c r="B19" s="25"/>
      <c r="C19" s="25"/>
      <c r="D19" s="25"/>
      <c r="E19" s="25"/>
      <c r="F19" s="25"/>
      <c r="G19" s="25"/>
      <c r="H19" s="25"/>
    </row>
    <row r="20" customFormat="false" ht="15" hidden="false" customHeight="false" outlineLevel="0" collapsed="false">
      <c r="A20" s="25"/>
      <c r="B20" s="25"/>
      <c r="C20" s="25"/>
      <c r="D20" s="25"/>
      <c r="E20" s="25"/>
      <c r="F20" s="25"/>
      <c r="G20" s="25"/>
      <c r="H20" s="25"/>
    </row>
    <row r="21" customFormat="false" ht="15" hidden="false" customHeight="false" outlineLevel="0" collapsed="false">
      <c r="A21" s="25"/>
      <c r="B21" s="25"/>
      <c r="C21" s="25"/>
      <c r="D21" s="25"/>
      <c r="E21" s="25"/>
      <c r="F21" s="25"/>
      <c r="G21" s="25"/>
      <c r="H21" s="25"/>
    </row>
    <row r="22" customFormat="false" ht="15" hidden="false" customHeight="false" outlineLevel="0" collapsed="false">
      <c r="A22" s="25"/>
      <c r="B22" s="25"/>
      <c r="C22" s="25"/>
      <c r="D22" s="25"/>
      <c r="E22" s="25"/>
      <c r="F22" s="25"/>
      <c r="G22" s="25"/>
      <c r="H22" s="25"/>
    </row>
    <row r="23" customFormat="false" ht="15" hidden="false" customHeight="false" outlineLevel="0" collapsed="false">
      <c r="A23" s="25"/>
      <c r="B23" s="25"/>
      <c r="C23" s="25"/>
      <c r="D23" s="25"/>
      <c r="E23" s="25"/>
      <c r="F23" s="25"/>
      <c r="G23" s="25"/>
      <c r="H23" s="25"/>
    </row>
    <row r="24" customFormat="false" ht="15" hidden="false" customHeight="false" outlineLevel="0" collapsed="false">
      <c r="A24" s="25"/>
      <c r="B24" s="25"/>
      <c r="C24" s="25"/>
      <c r="D24" s="25"/>
      <c r="E24" s="25"/>
      <c r="F24" s="25"/>
      <c r="G24" s="25"/>
      <c r="H24" s="25"/>
    </row>
    <row r="25" customFormat="false" ht="15" hidden="false" customHeight="false" outlineLevel="0" collapsed="false">
      <c r="A25" s="25"/>
      <c r="B25" s="25"/>
      <c r="C25" s="25"/>
      <c r="D25" s="25"/>
      <c r="E25" s="25"/>
      <c r="F25" s="25"/>
      <c r="G25" s="25"/>
      <c r="H25" s="25"/>
    </row>
    <row r="26" customFormat="false" ht="15" hidden="false" customHeight="false" outlineLevel="0" collapsed="false">
      <c r="A26" s="25"/>
      <c r="B26" s="25"/>
      <c r="C26" s="25"/>
      <c r="D26" s="25"/>
      <c r="E26" s="25"/>
      <c r="F26" s="25"/>
      <c r="G26" s="25"/>
      <c r="H26" s="25"/>
    </row>
    <row r="27" customFormat="false" ht="15" hidden="false" customHeight="false" outlineLevel="0" collapsed="false">
      <c r="A27" s="25"/>
      <c r="B27" s="25"/>
      <c r="C27" s="25"/>
      <c r="D27" s="25"/>
      <c r="E27" s="25"/>
      <c r="F27" s="25"/>
      <c r="G27" s="25"/>
      <c r="H27" s="25"/>
    </row>
    <row r="28" customFormat="false" ht="15" hidden="false" customHeight="false" outlineLevel="0" collapsed="false">
      <c r="A28" s="25"/>
      <c r="B28" s="25"/>
      <c r="C28" s="25"/>
      <c r="D28" s="25"/>
      <c r="E28" s="25"/>
      <c r="F28" s="25"/>
      <c r="G28" s="25"/>
      <c r="H28" s="25"/>
    </row>
    <row r="29" customFormat="false" ht="15" hidden="false" customHeight="false" outlineLevel="0" collapsed="false">
      <c r="A29" s="25"/>
      <c r="B29" s="25"/>
      <c r="C29" s="25"/>
      <c r="D29" s="25"/>
      <c r="E29" s="25"/>
      <c r="F29" s="25"/>
      <c r="G29" s="25"/>
      <c r="H29" s="25"/>
    </row>
    <row r="30" customFormat="false" ht="15" hidden="false" customHeight="false" outlineLevel="0" collapsed="false">
      <c r="A30" s="25"/>
      <c r="B30" s="25"/>
      <c r="C30" s="25"/>
      <c r="D30" s="25"/>
      <c r="E30" s="25"/>
      <c r="F30" s="25"/>
      <c r="G30" s="25"/>
      <c r="H30" s="25"/>
    </row>
    <row r="31" customFormat="false" ht="15" hidden="false" customHeight="false" outlineLevel="0" collapsed="false">
      <c r="A31" s="25"/>
      <c r="B31" s="25"/>
      <c r="C31" s="25"/>
      <c r="D31" s="25"/>
      <c r="E31" s="25"/>
      <c r="F31" s="25"/>
      <c r="G31" s="25"/>
      <c r="H31" s="25"/>
    </row>
    <row r="32" customFormat="false" ht="15" hidden="false" customHeight="false" outlineLevel="0" collapsed="false">
      <c r="A32" s="25"/>
      <c r="B32" s="25"/>
      <c r="C32" s="25"/>
      <c r="D32" s="25"/>
      <c r="E32" s="25"/>
      <c r="F32" s="25"/>
      <c r="G32" s="25"/>
      <c r="H32" s="25"/>
    </row>
    <row r="33" customFormat="false" ht="15" hidden="false" customHeight="false" outlineLevel="0" collapsed="false">
      <c r="A33" s="25"/>
      <c r="B33" s="25"/>
      <c r="C33" s="25"/>
      <c r="D33" s="25"/>
      <c r="E33" s="25"/>
      <c r="F33" s="25"/>
      <c r="G33" s="25"/>
      <c r="H33" s="25"/>
    </row>
    <row r="34" customFormat="false" ht="15" hidden="false" customHeight="false" outlineLevel="0" collapsed="false">
      <c r="A34" s="25"/>
      <c r="B34" s="25"/>
      <c r="C34" s="25"/>
      <c r="D34" s="25"/>
      <c r="E34" s="25"/>
      <c r="F34" s="25"/>
      <c r="G34" s="25"/>
      <c r="H34" s="25"/>
    </row>
    <row r="35" customFormat="false" ht="15" hidden="false" customHeight="false" outlineLevel="0" collapsed="false">
      <c r="A35" s="25"/>
      <c r="B35" s="25"/>
      <c r="C35" s="25"/>
      <c r="D35" s="25"/>
      <c r="E35" s="25"/>
      <c r="F35" s="25"/>
      <c r="G35" s="25"/>
      <c r="H35" s="25"/>
    </row>
    <row r="36" customFormat="false" ht="15" hidden="false" customHeight="false" outlineLevel="0" collapsed="false">
      <c r="A36" s="25"/>
      <c r="B36" s="25"/>
      <c r="C36" s="25"/>
      <c r="D36" s="25"/>
      <c r="E36" s="25"/>
      <c r="F36" s="25"/>
      <c r="G36" s="25"/>
      <c r="H36" s="25"/>
    </row>
    <row r="37" customFormat="false" ht="15" hidden="false" customHeight="false" outlineLevel="0" collapsed="false">
      <c r="A37" s="25"/>
      <c r="B37" s="25"/>
      <c r="C37" s="25"/>
      <c r="D37" s="25"/>
      <c r="E37" s="25"/>
      <c r="F37" s="25"/>
      <c r="G37" s="25"/>
      <c r="H37" s="25"/>
    </row>
    <row r="38" customFormat="false" ht="15" hidden="false" customHeight="false" outlineLevel="0" collapsed="false">
      <c r="A38" s="25"/>
      <c r="B38" s="25"/>
      <c r="C38" s="25"/>
      <c r="D38" s="25"/>
      <c r="E38" s="25"/>
      <c r="F38" s="25"/>
      <c r="G38" s="25"/>
      <c r="H38" s="25"/>
    </row>
    <row r="39" customFormat="false" ht="15" hidden="false" customHeight="false" outlineLevel="0" collapsed="false">
      <c r="A39" s="25"/>
      <c r="B39" s="25"/>
      <c r="C39" s="25"/>
      <c r="D39" s="25"/>
      <c r="E39" s="25"/>
      <c r="F39" s="25"/>
      <c r="G39" s="25"/>
      <c r="H39" s="25"/>
    </row>
    <row r="40" customFormat="false" ht="15" hidden="false" customHeight="false" outlineLevel="0" collapsed="false">
      <c r="A40" s="25"/>
      <c r="B40" s="25"/>
      <c r="C40" s="25"/>
      <c r="D40" s="25"/>
      <c r="E40" s="25"/>
      <c r="F40" s="25"/>
      <c r="G40" s="25"/>
      <c r="H40" s="25"/>
    </row>
  </sheetData>
  <mergeCells count="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D5" activeCellId="0" sqref="D5"/>
    </sheetView>
  </sheetViews>
  <sheetFormatPr defaultColWidth="8.83203125" defaultRowHeight="15" zeroHeight="false" outlineLevelRow="0" outlineLevelCol="0"/>
  <cols>
    <col collapsed="false" customWidth="true" hidden="false" outlineLevel="0" max="9" min="1" style="0" width="22"/>
  </cols>
  <sheetData>
    <row r="1" customFormat="false" ht="33.75" hidden="false" customHeight="true" outlineLevel="0" collapsed="false">
      <c r="A1" s="3" t="s">
        <v>277</v>
      </c>
      <c r="B1" s="3"/>
      <c r="C1" s="3"/>
      <c r="D1" s="3"/>
      <c r="E1" s="3"/>
      <c r="F1" s="3"/>
      <c r="G1" s="3"/>
      <c r="H1" s="3"/>
      <c r="I1" s="3"/>
    </row>
    <row r="2" customFormat="false" ht="15" hidden="false" customHeight="true" outlineLevel="0" collapsed="false">
      <c r="A2" s="2" t="s">
        <v>278</v>
      </c>
      <c r="B2" s="2"/>
      <c r="C2" s="2"/>
      <c r="D2" s="2"/>
      <c r="E2" s="2"/>
      <c r="F2" s="2"/>
      <c r="G2" s="2"/>
      <c r="H2" s="2"/>
    </row>
    <row r="4" customFormat="false" ht="33.75" hidden="false" customHeight="true" outlineLevel="0" collapsed="false">
      <c r="A4" s="3" t="s">
        <v>279</v>
      </c>
      <c r="B4" s="3" t="s">
        <v>280</v>
      </c>
      <c r="C4" s="3" t="s">
        <v>281</v>
      </c>
      <c r="D4" s="3" t="s">
        <v>171</v>
      </c>
      <c r="E4" s="3" t="s">
        <v>172</v>
      </c>
      <c r="F4" s="3" t="s">
        <v>282</v>
      </c>
      <c r="G4" s="3" t="s">
        <v>283</v>
      </c>
      <c r="H4" s="3" t="s">
        <v>174</v>
      </c>
      <c r="I4" s="3" t="s">
        <v>284</v>
      </c>
    </row>
    <row r="5" customFormat="false" ht="31.5" hidden="false" customHeight="true" outlineLevel="0" collapsed="false">
      <c r="A5" s="22" t="s">
        <v>285</v>
      </c>
      <c r="B5" s="22" t="s">
        <v>286</v>
      </c>
      <c r="C5" s="22" t="s">
        <v>287</v>
      </c>
      <c r="D5" s="20"/>
      <c r="E5" s="20"/>
      <c r="F5" s="20"/>
      <c r="G5" s="20"/>
      <c r="H5" s="20" t="s">
        <v>142</v>
      </c>
      <c r="I5" s="20"/>
    </row>
    <row r="6" customFormat="false" ht="31.5" hidden="false" customHeight="true" outlineLevel="0" collapsed="false">
      <c r="A6" s="22" t="s">
        <v>288</v>
      </c>
      <c r="B6" s="22" t="s">
        <v>289</v>
      </c>
      <c r="C6" s="22" t="s">
        <v>290</v>
      </c>
      <c r="D6" s="20"/>
      <c r="E6" s="20"/>
      <c r="F6" s="20"/>
      <c r="G6" s="20"/>
      <c r="H6" s="20" t="s">
        <v>142</v>
      </c>
      <c r="I6" s="20"/>
    </row>
    <row r="7" customFormat="false" ht="31.5" hidden="false" customHeight="true" outlineLevel="0" collapsed="false">
      <c r="A7" s="22" t="s">
        <v>291</v>
      </c>
      <c r="B7" s="22" t="s">
        <v>292</v>
      </c>
      <c r="C7" s="22" t="s">
        <v>293</v>
      </c>
      <c r="D7" s="20"/>
      <c r="E7" s="20"/>
      <c r="F7" s="20"/>
      <c r="G7" s="20"/>
      <c r="H7" s="20" t="s">
        <v>142</v>
      </c>
      <c r="I7" s="20"/>
    </row>
    <row r="8" customFormat="false" ht="31.5" hidden="false" customHeight="true" outlineLevel="0" collapsed="false">
      <c r="A8" s="22" t="s">
        <v>294</v>
      </c>
      <c r="B8" s="22" t="s">
        <v>295</v>
      </c>
      <c r="C8" s="22" t="s">
        <v>296</v>
      </c>
      <c r="D8" s="20"/>
      <c r="E8" s="20"/>
      <c r="F8" s="20"/>
      <c r="G8" s="20"/>
      <c r="H8" s="20" t="s">
        <v>143</v>
      </c>
      <c r="I8" s="20"/>
    </row>
    <row r="9" customFormat="false" ht="31.5" hidden="false" customHeight="true" outlineLevel="0" collapsed="false">
      <c r="A9" s="22" t="s">
        <v>297</v>
      </c>
      <c r="B9" s="22" t="s">
        <v>298</v>
      </c>
      <c r="C9" s="22" t="s">
        <v>299</v>
      </c>
      <c r="D9" s="20"/>
      <c r="E9" s="20"/>
      <c r="F9" s="20"/>
      <c r="G9" s="20"/>
      <c r="H9" s="20" t="s">
        <v>143</v>
      </c>
      <c r="I9" s="20"/>
    </row>
    <row r="10" customFormat="false" ht="15" hidden="false" customHeight="false" outlineLevel="0" collapsed="false">
      <c r="A10" s="25"/>
      <c r="B10" s="25"/>
      <c r="C10" s="25"/>
      <c r="D10" s="25"/>
      <c r="E10" s="25"/>
      <c r="F10" s="25"/>
      <c r="G10" s="25"/>
      <c r="H10" s="25"/>
      <c r="I10" s="25"/>
    </row>
    <row r="11" customFormat="false" ht="15" hidden="false" customHeight="false" outlineLevel="0" collapsed="false">
      <c r="A11" s="25"/>
      <c r="B11" s="25"/>
      <c r="C11" s="25"/>
      <c r="D11" s="25"/>
      <c r="E11" s="25"/>
      <c r="F11" s="25"/>
      <c r="G11" s="25"/>
      <c r="H11" s="25"/>
      <c r="I11" s="25"/>
    </row>
    <row r="12" customFormat="false" ht="15" hidden="false" customHeight="false" outlineLevel="0" collapsed="false">
      <c r="A12" s="25"/>
      <c r="B12" s="25"/>
      <c r="C12" s="25"/>
      <c r="D12" s="25"/>
      <c r="E12" s="25"/>
      <c r="F12" s="25"/>
      <c r="G12" s="25"/>
      <c r="H12" s="25"/>
      <c r="I12" s="25"/>
    </row>
    <row r="13" customFormat="false" ht="15" hidden="false" customHeight="false" outlineLevel="0" collapsed="false">
      <c r="A13" s="25"/>
      <c r="B13" s="25"/>
      <c r="C13" s="25"/>
      <c r="D13" s="25"/>
      <c r="E13" s="25"/>
      <c r="F13" s="25"/>
      <c r="G13" s="25"/>
      <c r="H13" s="25"/>
      <c r="I13" s="25"/>
    </row>
    <row r="14" customFormat="false" ht="15" hidden="false" customHeight="false" outlineLevel="0" collapsed="false">
      <c r="A14" s="25"/>
      <c r="B14" s="25"/>
      <c r="C14" s="25"/>
      <c r="D14" s="25"/>
      <c r="E14" s="25"/>
      <c r="F14" s="25"/>
      <c r="G14" s="25"/>
      <c r="H14" s="25"/>
      <c r="I14" s="25"/>
    </row>
    <row r="15" customFormat="false" ht="15" hidden="false" customHeight="false" outlineLevel="0" collapsed="false">
      <c r="A15" s="25"/>
      <c r="B15" s="25"/>
      <c r="C15" s="25"/>
      <c r="D15" s="25"/>
      <c r="E15" s="25"/>
      <c r="F15" s="25"/>
      <c r="G15" s="25"/>
      <c r="H15" s="25"/>
      <c r="I15" s="25"/>
    </row>
    <row r="16" customFormat="false" ht="15" hidden="false" customHeight="false" outlineLevel="0" collapsed="false">
      <c r="A16" s="25"/>
      <c r="B16" s="25"/>
      <c r="C16" s="25"/>
      <c r="D16" s="25"/>
      <c r="E16" s="25"/>
      <c r="F16" s="25"/>
      <c r="G16" s="25"/>
      <c r="H16" s="25"/>
      <c r="I16" s="25"/>
    </row>
    <row r="17" customFormat="false" ht="15" hidden="false" customHeight="false" outlineLevel="0" collapsed="false">
      <c r="A17" s="25"/>
      <c r="B17" s="25"/>
      <c r="C17" s="25"/>
      <c r="D17" s="25"/>
      <c r="E17" s="25"/>
      <c r="F17" s="25"/>
      <c r="G17" s="25"/>
      <c r="H17" s="25"/>
      <c r="I17" s="25"/>
    </row>
    <row r="18" customFormat="false" ht="15" hidden="false" customHeight="false" outlineLevel="0" collapsed="false">
      <c r="A18" s="25"/>
      <c r="B18" s="25"/>
      <c r="C18" s="25"/>
      <c r="D18" s="25"/>
      <c r="E18" s="25"/>
      <c r="F18" s="25"/>
      <c r="G18" s="25"/>
      <c r="H18" s="25"/>
      <c r="I18" s="25"/>
    </row>
    <row r="19" customFormat="false" ht="15" hidden="false" customHeight="false" outlineLevel="0" collapsed="false">
      <c r="A19" s="25"/>
      <c r="B19" s="25"/>
      <c r="C19" s="25"/>
      <c r="D19" s="25"/>
      <c r="E19" s="25"/>
      <c r="F19" s="25"/>
      <c r="G19" s="25"/>
      <c r="H19" s="25"/>
      <c r="I19" s="25"/>
    </row>
    <row r="20" customFormat="false" ht="15" hidden="false" customHeight="false" outlineLevel="0" collapsed="false">
      <c r="A20" s="25"/>
      <c r="B20" s="25"/>
      <c r="C20" s="25"/>
      <c r="D20" s="25"/>
      <c r="E20" s="25"/>
      <c r="F20" s="25"/>
      <c r="G20" s="25"/>
      <c r="H20" s="25"/>
      <c r="I20" s="25"/>
    </row>
    <row r="21" customFormat="false" ht="15" hidden="false" customHeight="false" outlineLevel="0" collapsed="false">
      <c r="A21" s="25"/>
      <c r="B21" s="25"/>
      <c r="C21" s="25"/>
      <c r="D21" s="25"/>
      <c r="E21" s="25"/>
      <c r="F21" s="25"/>
      <c r="G21" s="25"/>
      <c r="H21" s="25"/>
      <c r="I21" s="25"/>
    </row>
    <row r="22" customFormat="false" ht="15" hidden="false" customHeight="false" outlineLevel="0" collapsed="false">
      <c r="A22" s="25"/>
      <c r="B22" s="25"/>
      <c r="C22" s="25"/>
      <c r="D22" s="25"/>
      <c r="E22" s="25"/>
      <c r="F22" s="25"/>
      <c r="G22" s="25"/>
      <c r="H22" s="25"/>
      <c r="I22" s="25"/>
    </row>
    <row r="23" customFormat="false" ht="15" hidden="false" customHeight="false" outlineLevel="0" collapsed="false">
      <c r="A23" s="25"/>
      <c r="B23" s="25"/>
      <c r="C23" s="25"/>
      <c r="D23" s="25"/>
      <c r="E23" s="25"/>
      <c r="F23" s="25"/>
      <c r="G23" s="25"/>
      <c r="H23" s="25"/>
      <c r="I23" s="25"/>
    </row>
    <row r="24" customFormat="false" ht="15" hidden="false" customHeight="false" outlineLevel="0" collapsed="false">
      <c r="A24" s="25"/>
      <c r="B24" s="25"/>
      <c r="C24" s="25"/>
      <c r="D24" s="25"/>
      <c r="E24" s="25"/>
      <c r="F24" s="25"/>
      <c r="G24" s="25"/>
      <c r="H24" s="25"/>
      <c r="I24" s="25"/>
    </row>
    <row r="25" customFormat="false" ht="15" hidden="false" customHeight="false" outlineLevel="0" collapsed="false">
      <c r="A25" s="25"/>
      <c r="B25" s="25"/>
      <c r="C25" s="25"/>
      <c r="D25" s="25"/>
      <c r="E25" s="25"/>
      <c r="F25" s="25"/>
      <c r="G25" s="25"/>
      <c r="H25" s="25"/>
      <c r="I25" s="25"/>
    </row>
    <row r="26" customFormat="false" ht="15" hidden="false" customHeight="false" outlineLevel="0" collapsed="false">
      <c r="A26" s="25"/>
      <c r="B26" s="25"/>
      <c r="C26" s="25"/>
      <c r="D26" s="25"/>
      <c r="E26" s="25"/>
      <c r="F26" s="25"/>
      <c r="G26" s="25"/>
      <c r="H26" s="25"/>
      <c r="I26" s="25"/>
    </row>
    <row r="27" customFormat="false" ht="15" hidden="false" customHeight="false" outlineLevel="0" collapsed="false">
      <c r="A27" s="25"/>
      <c r="B27" s="25"/>
      <c r="C27" s="25"/>
      <c r="D27" s="25"/>
      <c r="E27" s="25"/>
      <c r="F27" s="25"/>
      <c r="G27" s="25"/>
      <c r="H27" s="25"/>
      <c r="I27" s="25"/>
    </row>
    <row r="28" customFormat="false" ht="15" hidden="false" customHeight="false" outlineLevel="0" collapsed="false">
      <c r="A28" s="25"/>
      <c r="B28" s="25"/>
      <c r="C28" s="25"/>
      <c r="D28" s="25"/>
      <c r="E28" s="25"/>
      <c r="F28" s="25"/>
      <c r="G28" s="25"/>
      <c r="H28" s="25"/>
      <c r="I28" s="25"/>
    </row>
    <row r="29" customFormat="false" ht="15" hidden="false" customHeight="false" outlineLevel="0" collapsed="false">
      <c r="A29" s="25"/>
      <c r="B29" s="25"/>
      <c r="C29" s="25"/>
      <c r="D29" s="25"/>
      <c r="E29" s="25"/>
      <c r="F29" s="25"/>
      <c r="G29" s="25"/>
      <c r="H29" s="25"/>
      <c r="I29" s="25"/>
    </row>
    <row r="30" customFormat="false" ht="15" hidden="false" customHeight="false" outlineLevel="0" collapsed="false">
      <c r="A30" s="25"/>
      <c r="B30" s="25"/>
      <c r="C30" s="25"/>
      <c r="D30" s="25"/>
      <c r="E30" s="25"/>
      <c r="F30" s="25"/>
      <c r="G30" s="25"/>
      <c r="H30" s="25"/>
      <c r="I30" s="25"/>
    </row>
    <row r="31" customFormat="false" ht="15" hidden="false" customHeight="false" outlineLevel="0" collapsed="false">
      <c r="A31" s="25"/>
      <c r="B31" s="25"/>
      <c r="C31" s="25"/>
      <c r="D31" s="25"/>
      <c r="E31" s="25"/>
      <c r="F31" s="25"/>
      <c r="G31" s="25"/>
      <c r="H31" s="25"/>
      <c r="I31" s="25"/>
    </row>
    <row r="32" customFormat="false" ht="15" hidden="false" customHeight="false" outlineLevel="0" collapsed="false">
      <c r="A32" s="25"/>
      <c r="B32" s="25"/>
      <c r="C32" s="25"/>
      <c r="D32" s="25"/>
      <c r="E32" s="25"/>
      <c r="F32" s="25"/>
      <c r="G32" s="25"/>
      <c r="H32" s="25"/>
      <c r="I32" s="25"/>
    </row>
    <row r="33" customFormat="false" ht="15" hidden="false" customHeight="false" outlineLevel="0" collapsed="false">
      <c r="A33" s="25"/>
      <c r="B33" s="25"/>
      <c r="C33" s="25"/>
      <c r="D33" s="25"/>
      <c r="E33" s="25"/>
      <c r="F33" s="25"/>
      <c r="G33" s="25"/>
      <c r="H33" s="25"/>
      <c r="I33" s="25"/>
    </row>
    <row r="34" customFormat="false" ht="15" hidden="false" customHeight="false" outlineLevel="0" collapsed="false">
      <c r="A34" s="25"/>
      <c r="B34" s="25"/>
      <c r="C34" s="25"/>
      <c r="D34" s="25"/>
      <c r="E34" s="25"/>
      <c r="F34" s="25"/>
      <c r="G34" s="25"/>
      <c r="H34" s="25"/>
      <c r="I34" s="25"/>
    </row>
    <row r="35" customFormat="false" ht="15" hidden="false" customHeight="false" outlineLevel="0" collapsed="false">
      <c r="A35" s="25"/>
      <c r="B35" s="25"/>
      <c r="C35" s="25"/>
      <c r="D35" s="25"/>
      <c r="E35" s="25"/>
      <c r="F35" s="25"/>
      <c r="G35" s="25"/>
      <c r="H35" s="25"/>
      <c r="I35" s="25"/>
    </row>
    <row r="36" customFormat="false" ht="15" hidden="false" customHeight="false" outlineLevel="0" collapsed="false">
      <c r="A36" s="25"/>
      <c r="B36" s="25"/>
      <c r="C36" s="25"/>
      <c r="D36" s="25"/>
      <c r="E36" s="25"/>
      <c r="F36" s="25"/>
      <c r="G36" s="25"/>
      <c r="H36" s="25"/>
      <c r="I36" s="25"/>
    </row>
    <row r="37" customFormat="false" ht="15" hidden="false" customHeight="false" outlineLevel="0" collapsed="false">
      <c r="A37" s="25"/>
      <c r="B37" s="25"/>
      <c r="C37" s="25"/>
      <c r="D37" s="25"/>
      <c r="E37" s="25"/>
      <c r="F37" s="25"/>
      <c r="G37" s="25"/>
      <c r="H37" s="25"/>
      <c r="I37" s="25"/>
    </row>
    <row r="38" customFormat="false" ht="15" hidden="false" customHeight="false" outlineLevel="0" collapsed="false">
      <c r="A38" s="25"/>
      <c r="B38" s="25"/>
      <c r="C38" s="25"/>
      <c r="D38" s="25"/>
      <c r="E38" s="25"/>
      <c r="F38" s="25"/>
      <c r="G38" s="25"/>
      <c r="H38" s="25"/>
      <c r="I38" s="25"/>
    </row>
    <row r="39" customFormat="false" ht="15" hidden="false" customHeight="false" outlineLevel="0" collapsed="false">
      <c r="A39" s="25"/>
      <c r="B39" s="25"/>
      <c r="C39" s="25"/>
      <c r="D39" s="25"/>
      <c r="E39" s="25"/>
      <c r="F39" s="25"/>
      <c r="G39" s="25"/>
      <c r="H39" s="25"/>
      <c r="I39" s="25"/>
    </row>
    <row r="40" customFormat="false" ht="15" hidden="false" customHeight="false" outlineLevel="0" collapsed="false">
      <c r="A40" s="25"/>
      <c r="B40" s="25"/>
      <c r="C40" s="25"/>
      <c r="D40" s="25"/>
      <c r="E40" s="25"/>
      <c r="F40" s="25"/>
      <c r="G40" s="25"/>
      <c r="H40" s="25"/>
      <c r="I40" s="25"/>
    </row>
  </sheetData>
  <mergeCells count="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5" zeroHeight="false" outlineLevelRow="0" outlineLevelCol="0"/>
  <cols>
    <col collapsed="false" customWidth="true" hidden="false" outlineLevel="0" max="11" min="1" style="0" width="18"/>
  </cols>
  <sheetData>
    <row r="1" customFormat="false" ht="33.75" hidden="false" customHeight="true" outlineLevel="0" collapsed="false">
      <c r="A1" s="3" t="s">
        <v>300</v>
      </c>
      <c r="B1" s="3"/>
      <c r="C1" s="3"/>
      <c r="D1" s="3"/>
      <c r="E1" s="3"/>
      <c r="F1" s="3"/>
      <c r="G1" s="3"/>
      <c r="H1" s="3"/>
      <c r="I1" s="3"/>
      <c r="J1" s="3"/>
      <c r="K1" s="3"/>
    </row>
    <row r="2" customFormat="false" ht="15" hidden="false" customHeight="true" outlineLevel="0" collapsed="false">
      <c r="A2" s="2" t="s">
        <v>301</v>
      </c>
      <c r="B2" s="2"/>
      <c r="C2" s="2"/>
      <c r="D2" s="2"/>
      <c r="E2" s="2"/>
      <c r="F2" s="2"/>
      <c r="G2" s="2"/>
      <c r="H2" s="2"/>
    </row>
    <row r="4" customFormat="false" ht="33.75" hidden="false" customHeight="true" outlineLevel="0" collapsed="false">
      <c r="A4" s="3" t="s">
        <v>173</v>
      </c>
      <c r="B4" s="3" t="s">
        <v>302</v>
      </c>
      <c r="C4" s="3" t="s">
        <v>303</v>
      </c>
      <c r="D4" s="3" t="s">
        <v>174</v>
      </c>
      <c r="E4" s="3" t="s">
        <v>37</v>
      </c>
      <c r="F4" s="3" t="s">
        <v>138</v>
      </c>
      <c r="G4" s="3" t="s">
        <v>304</v>
      </c>
      <c r="H4" s="3" t="s">
        <v>305</v>
      </c>
      <c r="I4" s="3" t="s">
        <v>306</v>
      </c>
      <c r="J4" s="3" t="s">
        <v>176</v>
      </c>
      <c r="K4" s="3" t="s">
        <v>307</v>
      </c>
    </row>
    <row r="5" customFormat="false" ht="15.75" hidden="false" customHeight="true" outlineLevel="0" collapsed="false">
      <c r="A5" s="20" t="s">
        <v>308</v>
      </c>
      <c r="B5" s="20"/>
      <c r="C5" s="20"/>
      <c r="D5" s="20" t="s">
        <v>142</v>
      </c>
      <c r="E5" s="20" t="s">
        <v>58</v>
      </c>
      <c r="F5" s="20"/>
      <c r="G5" s="20"/>
      <c r="H5" s="20"/>
      <c r="I5" s="20"/>
      <c r="J5" s="20"/>
      <c r="K5" s="20"/>
    </row>
    <row r="6" customFormat="false" ht="15.75" hidden="false" customHeight="true" outlineLevel="0" collapsed="false">
      <c r="A6" s="20" t="s">
        <v>309</v>
      </c>
      <c r="B6" s="20"/>
      <c r="C6" s="20"/>
      <c r="D6" s="20" t="s">
        <v>143</v>
      </c>
      <c r="E6" s="20" t="s">
        <v>58</v>
      </c>
      <c r="F6" s="20"/>
      <c r="G6" s="20"/>
      <c r="H6" s="20"/>
      <c r="I6" s="20"/>
      <c r="J6" s="20"/>
      <c r="K6" s="20"/>
    </row>
    <row r="7" customFormat="false" ht="15" hidden="false" customHeight="false" outlineLevel="0" collapsed="false">
      <c r="A7" s="20"/>
      <c r="B7" s="20"/>
      <c r="C7" s="20"/>
      <c r="D7" s="20"/>
      <c r="E7" s="20"/>
      <c r="F7" s="20"/>
      <c r="G7" s="20"/>
      <c r="H7" s="20"/>
      <c r="I7" s="20"/>
      <c r="J7" s="20"/>
      <c r="K7" s="20"/>
    </row>
    <row r="8" customFormat="false" ht="15" hidden="false" customHeight="false" outlineLevel="0" collapsed="false">
      <c r="A8" s="20"/>
      <c r="B8" s="20"/>
      <c r="C8" s="20"/>
      <c r="D8" s="20"/>
      <c r="E8" s="20"/>
      <c r="F8" s="20"/>
      <c r="G8" s="20"/>
      <c r="H8" s="20"/>
      <c r="I8" s="20"/>
      <c r="J8" s="20"/>
      <c r="K8" s="20"/>
    </row>
    <row r="9" customFormat="false" ht="15" hidden="false" customHeight="false" outlineLevel="0" collapsed="false">
      <c r="A9" s="20"/>
      <c r="B9" s="20"/>
      <c r="C9" s="20"/>
      <c r="D9" s="20"/>
      <c r="E9" s="20"/>
      <c r="F9" s="20"/>
      <c r="G9" s="20"/>
      <c r="H9" s="20"/>
      <c r="I9" s="20"/>
      <c r="J9" s="20"/>
      <c r="K9" s="20"/>
    </row>
    <row r="10" customFormat="false" ht="15" hidden="false" customHeight="false" outlineLevel="0" collapsed="false">
      <c r="A10" s="20"/>
      <c r="B10" s="20"/>
      <c r="C10" s="20"/>
      <c r="D10" s="20"/>
      <c r="E10" s="20"/>
      <c r="F10" s="20"/>
      <c r="G10" s="20"/>
      <c r="H10" s="20"/>
      <c r="I10" s="20"/>
      <c r="J10" s="20"/>
      <c r="K10" s="20"/>
    </row>
    <row r="11" customFormat="false" ht="15" hidden="false" customHeight="false" outlineLevel="0" collapsed="false">
      <c r="A11" s="20"/>
      <c r="B11" s="20"/>
      <c r="C11" s="20"/>
      <c r="D11" s="20"/>
      <c r="E11" s="20"/>
      <c r="F11" s="20"/>
      <c r="G11" s="20"/>
      <c r="H11" s="20"/>
      <c r="I11" s="20"/>
      <c r="J11" s="20"/>
      <c r="K11" s="20"/>
    </row>
    <row r="12" customFormat="false" ht="15" hidden="false" customHeight="false" outlineLevel="0" collapsed="false">
      <c r="A12" s="20"/>
      <c r="B12" s="20"/>
      <c r="C12" s="20"/>
      <c r="D12" s="20"/>
      <c r="E12" s="20"/>
      <c r="F12" s="20"/>
      <c r="G12" s="20"/>
      <c r="H12" s="20"/>
      <c r="I12" s="20"/>
      <c r="J12" s="20"/>
      <c r="K12" s="20"/>
    </row>
    <row r="13" customFormat="false" ht="15" hidden="false" customHeight="false" outlineLevel="0" collapsed="false">
      <c r="A13" s="20"/>
      <c r="B13" s="20"/>
      <c r="C13" s="20"/>
      <c r="D13" s="20"/>
      <c r="E13" s="20"/>
      <c r="F13" s="20"/>
      <c r="G13" s="20"/>
      <c r="H13" s="20"/>
      <c r="I13" s="20"/>
      <c r="J13" s="20"/>
      <c r="K13" s="20"/>
    </row>
    <row r="14" customFormat="false" ht="15" hidden="false" customHeight="false" outlineLevel="0" collapsed="false">
      <c r="A14" s="20"/>
      <c r="B14" s="20"/>
      <c r="C14" s="20"/>
      <c r="D14" s="20"/>
      <c r="E14" s="20"/>
      <c r="F14" s="20"/>
      <c r="G14" s="20"/>
      <c r="H14" s="20"/>
      <c r="I14" s="20"/>
      <c r="J14" s="20"/>
      <c r="K14" s="20"/>
    </row>
    <row r="15" customFormat="false" ht="15" hidden="false" customHeight="false" outlineLevel="0" collapsed="false">
      <c r="A15" s="20"/>
      <c r="B15" s="20"/>
      <c r="C15" s="20"/>
      <c r="D15" s="20"/>
      <c r="E15" s="20"/>
      <c r="F15" s="20"/>
      <c r="G15" s="20"/>
      <c r="H15" s="20"/>
      <c r="I15" s="20"/>
      <c r="J15" s="20"/>
      <c r="K15" s="20"/>
    </row>
    <row r="16" customFormat="false" ht="15" hidden="false" customHeight="false" outlineLevel="0" collapsed="false">
      <c r="A16" s="20"/>
      <c r="B16" s="20"/>
      <c r="C16" s="20"/>
      <c r="D16" s="20"/>
      <c r="E16" s="20"/>
      <c r="F16" s="20"/>
      <c r="G16" s="20"/>
      <c r="H16" s="20"/>
      <c r="I16" s="20"/>
      <c r="J16" s="20"/>
      <c r="K16" s="20"/>
    </row>
    <row r="17" customFormat="false" ht="15" hidden="false" customHeight="false" outlineLevel="0" collapsed="false">
      <c r="A17" s="20"/>
      <c r="B17" s="20"/>
      <c r="C17" s="20"/>
      <c r="D17" s="20"/>
      <c r="E17" s="20"/>
      <c r="F17" s="20"/>
      <c r="G17" s="20"/>
      <c r="H17" s="20"/>
      <c r="I17" s="20"/>
      <c r="J17" s="20"/>
      <c r="K17" s="20"/>
    </row>
    <row r="18" customFormat="false" ht="15" hidden="false" customHeight="false" outlineLevel="0" collapsed="false">
      <c r="A18" s="20"/>
      <c r="B18" s="20"/>
      <c r="C18" s="20"/>
      <c r="D18" s="20"/>
      <c r="E18" s="20"/>
      <c r="F18" s="20"/>
      <c r="G18" s="20"/>
      <c r="H18" s="20"/>
      <c r="I18" s="20"/>
      <c r="J18" s="20"/>
      <c r="K18" s="20"/>
    </row>
    <row r="19" customFormat="false" ht="15" hidden="false" customHeight="false" outlineLevel="0" collapsed="false">
      <c r="A19" s="20"/>
      <c r="B19" s="20"/>
      <c r="C19" s="20"/>
      <c r="D19" s="20"/>
      <c r="E19" s="20"/>
      <c r="F19" s="20"/>
      <c r="G19" s="20"/>
      <c r="H19" s="20"/>
      <c r="I19" s="20"/>
      <c r="J19" s="20"/>
      <c r="K19" s="20"/>
    </row>
    <row r="20" customFormat="false" ht="15" hidden="false" customHeight="false" outlineLevel="0" collapsed="false">
      <c r="A20" s="20"/>
      <c r="B20" s="20"/>
      <c r="C20" s="20"/>
      <c r="D20" s="20"/>
      <c r="E20" s="20"/>
      <c r="F20" s="20"/>
      <c r="G20" s="20"/>
      <c r="H20" s="20"/>
      <c r="I20" s="20"/>
      <c r="J20" s="20"/>
      <c r="K20" s="20"/>
    </row>
    <row r="21" customFormat="false" ht="15" hidden="false" customHeight="false" outlineLevel="0" collapsed="false">
      <c r="A21" s="20"/>
      <c r="B21" s="20"/>
      <c r="C21" s="20"/>
      <c r="D21" s="20"/>
      <c r="E21" s="20"/>
      <c r="F21" s="20"/>
      <c r="G21" s="20"/>
      <c r="H21" s="20"/>
      <c r="I21" s="20"/>
      <c r="J21" s="20"/>
      <c r="K21" s="20"/>
    </row>
    <row r="22" customFormat="false" ht="15" hidden="false" customHeight="false" outlineLevel="0" collapsed="false">
      <c r="A22" s="20"/>
      <c r="B22" s="20"/>
      <c r="C22" s="20"/>
      <c r="D22" s="20"/>
      <c r="E22" s="20"/>
      <c r="F22" s="20"/>
      <c r="G22" s="20"/>
      <c r="H22" s="20"/>
      <c r="I22" s="20"/>
      <c r="J22" s="20"/>
      <c r="K22" s="20"/>
    </row>
    <row r="23" customFormat="false" ht="15" hidden="false" customHeight="false" outlineLevel="0" collapsed="false">
      <c r="A23" s="20"/>
      <c r="B23" s="20"/>
      <c r="C23" s="20"/>
      <c r="D23" s="20"/>
      <c r="E23" s="20"/>
      <c r="F23" s="20"/>
      <c r="G23" s="20"/>
      <c r="H23" s="20"/>
      <c r="I23" s="20"/>
      <c r="J23" s="20"/>
      <c r="K23" s="20"/>
    </row>
    <row r="24" customFormat="false" ht="15" hidden="false" customHeight="false" outlineLevel="0" collapsed="false">
      <c r="A24" s="20"/>
      <c r="B24" s="20"/>
      <c r="C24" s="20"/>
      <c r="D24" s="20"/>
      <c r="E24" s="20"/>
      <c r="F24" s="20"/>
      <c r="G24" s="20"/>
      <c r="H24" s="20"/>
      <c r="I24" s="20"/>
      <c r="J24" s="20"/>
      <c r="K24" s="20"/>
    </row>
    <row r="25" customFormat="false" ht="15" hidden="false" customHeight="false" outlineLevel="0" collapsed="false">
      <c r="A25" s="20"/>
      <c r="B25" s="20"/>
      <c r="C25" s="20"/>
      <c r="D25" s="20"/>
      <c r="E25" s="20"/>
      <c r="F25" s="20"/>
      <c r="G25" s="20"/>
      <c r="H25" s="20"/>
      <c r="I25" s="20"/>
      <c r="J25" s="20"/>
      <c r="K25" s="20"/>
    </row>
    <row r="26" customFormat="false" ht="15" hidden="false" customHeight="false" outlineLevel="0" collapsed="false">
      <c r="A26" s="20"/>
      <c r="B26" s="20"/>
      <c r="C26" s="20"/>
      <c r="D26" s="20"/>
      <c r="E26" s="20"/>
      <c r="F26" s="20"/>
      <c r="G26" s="20"/>
      <c r="H26" s="20"/>
      <c r="I26" s="20"/>
      <c r="J26" s="20"/>
      <c r="K26" s="20"/>
    </row>
    <row r="27" customFormat="false" ht="15" hidden="false" customHeight="false" outlineLevel="0" collapsed="false">
      <c r="A27" s="20"/>
      <c r="B27" s="20"/>
      <c r="C27" s="20"/>
      <c r="D27" s="20"/>
      <c r="E27" s="20"/>
      <c r="F27" s="20"/>
      <c r="G27" s="20"/>
      <c r="H27" s="20"/>
      <c r="I27" s="20"/>
      <c r="J27" s="20"/>
      <c r="K27" s="20"/>
    </row>
    <row r="28" customFormat="false" ht="15" hidden="false" customHeight="false" outlineLevel="0" collapsed="false">
      <c r="A28" s="20"/>
      <c r="B28" s="20"/>
      <c r="C28" s="20"/>
      <c r="D28" s="20"/>
      <c r="E28" s="20"/>
      <c r="F28" s="20"/>
      <c r="G28" s="20"/>
      <c r="H28" s="20"/>
      <c r="I28" s="20"/>
      <c r="J28" s="20"/>
      <c r="K28" s="20"/>
    </row>
    <row r="29" customFormat="false" ht="15" hidden="false" customHeight="false" outlineLevel="0" collapsed="false">
      <c r="A29" s="20"/>
      <c r="B29" s="20"/>
      <c r="C29" s="20"/>
      <c r="D29" s="20"/>
      <c r="E29" s="20"/>
      <c r="F29" s="20"/>
      <c r="G29" s="20"/>
      <c r="H29" s="20"/>
      <c r="I29" s="20"/>
      <c r="J29" s="20"/>
      <c r="K29" s="20"/>
    </row>
    <row r="30" customFormat="false" ht="15" hidden="false" customHeight="false" outlineLevel="0" collapsed="false">
      <c r="A30" s="20"/>
      <c r="B30" s="20"/>
      <c r="C30" s="20"/>
      <c r="D30" s="20"/>
      <c r="E30" s="20"/>
      <c r="F30" s="20"/>
      <c r="G30" s="20"/>
      <c r="H30" s="20"/>
      <c r="I30" s="20"/>
      <c r="J30" s="20"/>
      <c r="K30" s="20"/>
    </row>
    <row r="31" customFormat="false" ht="15" hidden="false" customHeight="false" outlineLevel="0" collapsed="false">
      <c r="A31" s="25"/>
      <c r="B31" s="25"/>
      <c r="C31" s="25"/>
      <c r="D31" s="25"/>
      <c r="E31" s="25"/>
      <c r="F31" s="25"/>
      <c r="G31" s="25"/>
      <c r="H31" s="25"/>
      <c r="I31" s="25"/>
      <c r="J31" s="25"/>
      <c r="K31" s="25"/>
    </row>
    <row r="32" customFormat="false" ht="15" hidden="false" customHeight="false" outlineLevel="0" collapsed="false">
      <c r="A32" s="25"/>
      <c r="B32" s="25"/>
      <c r="C32" s="25"/>
      <c r="D32" s="25"/>
      <c r="E32" s="25"/>
      <c r="F32" s="25"/>
      <c r="G32" s="25"/>
      <c r="H32" s="25"/>
      <c r="I32" s="25"/>
      <c r="J32" s="25"/>
      <c r="K32" s="25"/>
    </row>
    <row r="33" customFormat="false" ht="15" hidden="false" customHeight="false" outlineLevel="0" collapsed="false">
      <c r="A33" s="25"/>
      <c r="B33" s="25"/>
      <c r="C33" s="25"/>
      <c r="D33" s="25"/>
      <c r="E33" s="25"/>
      <c r="F33" s="25"/>
      <c r="G33" s="25"/>
      <c r="H33" s="25"/>
      <c r="I33" s="25"/>
      <c r="J33" s="25"/>
      <c r="K33" s="25"/>
    </row>
    <row r="34" customFormat="false" ht="15" hidden="false" customHeight="false" outlineLevel="0" collapsed="false">
      <c r="A34" s="25"/>
      <c r="B34" s="25"/>
      <c r="C34" s="25"/>
      <c r="D34" s="25"/>
      <c r="E34" s="25"/>
      <c r="F34" s="25"/>
      <c r="G34" s="25"/>
      <c r="H34" s="25"/>
      <c r="I34" s="25"/>
      <c r="J34" s="25"/>
      <c r="K34" s="25"/>
    </row>
    <row r="35" customFormat="false" ht="15" hidden="false" customHeight="false" outlineLevel="0" collapsed="false">
      <c r="A35" s="25"/>
      <c r="B35" s="25"/>
      <c r="C35" s="25"/>
      <c r="D35" s="25"/>
      <c r="E35" s="25"/>
      <c r="F35" s="25"/>
      <c r="G35" s="25"/>
      <c r="H35" s="25"/>
      <c r="I35" s="25"/>
      <c r="J35" s="25"/>
      <c r="K35" s="25"/>
    </row>
    <row r="36" customFormat="false" ht="15" hidden="false" customHeight="false" outlineLevel="0" collapsed="false">
      <c r="A36" s="25"/>
      <c r="B36" s="25"/>
      <c r="C36" s="25"/>
      <c r="D36" s="25"/>
      <c r="E36" s="25"/>
      <c r="F36" s="25"/>
      <c r="G36" s="25"/>
      <c r="H36" s="25"/>
      <c r="I36" s="25"/>
      <c r="J36" s="25"/>
      <c r="K36" s="25"/>
    </row>
    <row r="37" customFormat="false" ht="15" hidden="false" customHeight="false" outlineLevel="0" collapsed="false">
      <c r="A37" s="25"/>
      <c r="B37" s="25"/>
      <c r="C37" s="25"/>
      <c r="D37" s="25"/>
      <c r="E37" s="25"/>
      <c r="F37" s="25"/>
      <c r="G37" s="25"/>
      <c r="H37" s="25"/>
      <c r="I37" s="25"/>
      <c r="J37" s="25"/>
      <c r="K37" s="25"/>
    </row>
    <row r="38" customFormat="false" ht="15" hidden="false" customHeight="false" outlineLevel="0" collapsed="false">
      <c r="A38" s="25"/>
      <c r="B38" s="25"/>
      <c r="C38" s="25"/>
      <c r="D38" s="25"/>
      <c r="E38" s="25"/>
      <c r="F38" s="25"/>
      <c r="G38" s="25"/>
      <c r="H38" s="25"/>
      <c r="I38" s="25"/>
      <c r="J38" s="25"/>
      <c r="K38" s="25"/>
    </row>
    <row r="39" customFormat="false" ht="15" hidden="false" customHeight="false" outlineLevel="0" collapsed="false">
      <c r="A39" s="25"/>
      <c r="B39" s="25"/>
      <c r="C39" s="25"/>
      <c r="D39" s="25"/>
      <c r="E39" s="25"/>
      <c r="F39" s="25"/>
      <c r="G39" s="25"/>
      <c r="H39" s="25"/>
      <c r="I39" s="25"/>
      <c r="J39" s="25"/>
      <c r="K39" s="25"/>
    </row>
    <row r="40" customFormat="false" ht="15" hidden="false" customHeight="false" outlineLevel="0" collapsed="false">
      <c r="A40" s="25"/>
      <c r="B40" s="25"/>
      <c r="C40" s="25"/>
      <c r="D40" s="25"/>
      <c r="E40" s="25"/>
      <c r="F40" s="25"/>
      <c r="G40" s="25"/>
      <c r="H40" s="25"/>
      <c r="I40" s="25"/>
      <c r="J40" s="25"/>
      <c r="K40" s="25"/>
    </row>
  </sheetData>
  <mergeCells count="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4" activeCellId="0" sqref="A4"/>
    </sheetView>
  </sheetViews>
  <sheetFormatPr defaultColWidth="8.83203125" defaultRowHeight="15" zeroHeight="false" outlineLevelRow="0" outlineLevelCol="0"/>
  <cols>
    <col collapsed="false" customWidth="true" hidden="false" outlineLevel="0" max="1" min="1" style="0" width="22"/>
    <col collapsed="false" customWidth="true" hidden="false" outlineLevel="0" max="2" min="2" style="0" width="50"/>
    <col collapsed="false" customWidth="true" hidden="false" outlineLevel="0" max="3" min="3" style="0" width="20"/>
    <col collapsed="false" customWidth="true" hidden="false" outlineLevel="0" max="4" min="4" style="0" width="42"/>
    <col collapsed="false" customWidth="true" hidden="false" outlineLevel="0" max="5" min="5" style="0" width="18"/>
  </cols>
  <sheetData>
    <row r="1" customFormat="false" ht="33.75" hidden="false" customHeight="true" outlineLevel="0" collapsed="false">
      <c r="A1" s="3" t="s">
        <v>310</v>
      </c>
      <c r="B1" s="3"/>
      <c r="C1" s="3"/>
      <c r="D1" s="3"/>
      <c r="E1" s="3"/>
    </row>
    <row r="2" customFormat="false" ht="15" hidden="false" customHeight="true" outlineLevel="0" collapsed="false">
      <c r="A2" s="2" t="s">
        <v>311</v>
      </c>
      <c r="B2" s="2"/>
      <c r="C2" s="2"/>
      <c r="D2" s="2"/>
      <c r="E2" s="2"/>
      <c r="F2" s="2"/>
      <c r="G2" s="2"/>
      <c r="H2" s="2"/>
    </row>
    <row r="4" customFormat="false" ht="33.75" hidden="false" customHeight="true" outlineLevel="0" collapsed="false">
      <c r="A4" s="3" t="s">
        <v>312</v>
      </c>
      <c r="B4" s="3" t="s">
        <v>313</v>
      </c>
      <c r="C4" s="3" t="s">
        <v>37</v>
      </c>
      <c r="D4" s="3" t="s">
        <v>314</v>
      </c>
      <c r="E4" s="3" t="s">
        <v>138</v>
      </c>
    </row>
    <row r="5" customFormat="false" ht="15.75" hidden="false" customHeight="true" outlineLevel="0" collapsed="false">
      <c r="A5" s="22" t="s">
        <v>315</v>
      </c>
      <c r="B5" s="22" t="s">
        <v>316</v>
      </c>
      <c r="C5" s="20"/>
      <c r="D5" s="20"/>
      <c r="E5" s="20"/>
    </row>
    <row r="6" customFormat="false" ht="15.75" hidden="false" customHeight="true" outlineLevel="0" collapsed="false">
      <c r="A6" s="22" t="s">
        <v>317</v>
      </c>
      <c r="B6" s="22" t="s">
        <v>318</v>
      </c>
      <c r="C6" s="20"/>
      <c r="D6" s="20"/>
      <c r="E6" s="20"/>
    </row>
    <row r="7" customFormat="false" ht="15.75" hidden="false" customHeight="true" outlineLevel="0" collapsed="false">
      <c r="A7" s="22" t="s">
        <v>319</v>
      </c>
      <c r="B7" s="22" t="s">
        <v>320</v>
      </c>
      <c r="C7" s="20"/>
      <c r="D7" s="20"/>
      <c r="E7" s="20"/>
    </row>
    <row r="8" customFormat="false" ht="15.75" hidden="false" customHeight="true" outlineLevel="0" collapsed="false">
      <c r="A8" s="22" t="s">
        <v>321</v>
      </c>
      <c r="B8" s="22" t="s">
        <v>322</v>
      </c>
      <c r="C8" s="20"/>
      <c r="D8" s="20"/>
      <c r="E8" s="20"/>
    </row>
    <row r="9" customFormat="false" ht="15.75" hidden="false" customHeight="true" outlineLevel="0" collapsed="false">
      <c r="A9" s="22" t="s">
        <v>158</v>
      </c>
      <c r="B9" s="22" t="s">
        <v>323</v>
      </c>
      <c r="C9" s="20"/>
      <c r="D9" s="20"/>
      <c r="E9" s="20"/>
    </row>
    <row r="10" customFormat="false" ht="15.75" hidden="false" customHeight="true" outlineLevel="0" collapsed="false">
      <c r="A10" s="22" t="s">
        <v>324</v>
      </c>
      <c r="B10" s="22" t="s">
        <v>325</v>
      </c>
      <c r="C10" s="20"/>
      <c r="D10" s="20"/>
      <c r="E10" s="20"/>
    </row>
    <row r="11" customFormat="false" ht="15.75" hidden="false" customHeight="true" outlineLevel="0" collapsed="false">
      <c r="A11" s="22" t="s">
        <v>326</v>
      </c>
      <c r="B11" s="22" t="s">
        <v>327</v>
      </c>
      <c r="C11" s="20"/>
      <c r="D11" s="20"/>
      <c r="E11" s="20"/>
    </row>
    <row r="12" customFormat="false" ht="15.75" hidden="false" customHeight="true" outlineLevel="0" collapsed="false">
      <c r="A12" s="22" t="s">
        <v>328</v>
      </c>
      <c r="B12" s="22" t="s">
        <v>329</v>
      </c>
      <c r="C12" s="20"/>
      <c r="D12" s="20"/>
      <c r="E12" s="20"/>
    </row>
    <row r="13" customFormat="false" ht="15" hidden="false" customHeight="false" outlineLevel="0" collapsed="false">
      <c r="A13" s="25"/>
      <c r="B13" s="25"/>
      <c r="C13" s="25"/>
      <c r="D13" s="25"/>
      <c r="E13" s="25"/>
    </row>
    <row r="14" customFormat="false" ht="15" hidden="false" customHeight="false" outlineLevel="0" collapsed="false">
      <c r="A14" s="25"/>
      <c r="B14" s="25"/>
      <c r="C14" s="25"/>
      <c r="D14" s="25"/>
      <c r="E14" s="25"/>
    </row>
    <row r="15" customFormat="false" ht="15" hidden="false" customHeight="false" outlineLevel="0" collapsed="false">
      <c r="A15" s="25"/>
      <c r="B15" s="25"/>
      <c r="C15" s="25"/>
      <c r="D15" s="25"/>
      <c r="E15" s="25"/>
    </row>
    <row r="16" customFormat="false" ht="15" hidden="false" customHeight="false" outlineLevel="0" collapsed="false">
      <c r="A16" s="25"/>
      <c r="B16" s="25"/>
      <c r="C16" s="25"/>
      <c r="D16" s="25"/>
      <c r="E16" s="25"/>
    </row>
    <row r="17" customFormat="false" ht="15" hidden="false" customHeight="false" outlineLevel="0" collapsed="false">
      <c r="A17" s="25"/>
      <c r="B17" s="25"/>
      <c r="C17" s="25"/>
      <c r="D17" s="25"/>
      <c r="E17" s="25"/>
    </row>
    <row r="18" customFormat="false" ht="15" hidden="false" customHeight="false" outlineLevel="0" collapsed="false">
      <c r="A18" s="25"/>
      <c r="B18" s="25"/>
      <c r="C18" s="25"/>
      <c r="D18" s="25"/>
      <c r="E18" s="25"/>
    </row>
    <row r="19" customFormat="false" ht="15" hidden="false" customHeight="false" outlineLevel="0" collapsed="false">
      <c r="A19" s="25"/>
      <c r="B19" s="25"/>
      <c r="C19" s="25"/>
      <c r="D19" s="25"/>
      <c r="E19" s="25"/>
    </row>
    <row r="20" customFormat="false" ht="15" hidden="false" customHeight="false" outlineLevel="0" collapsed="false">
      <c r="A20" s="25"/>
      <c r="B20" s="25"/>
      <c r="C20" s="25"/>
      <c r="D20" s="25"/>
      <c r="E20" s="25"/>
    </row>
    <row r="21" customFormat="false" ht="15" hidden="false" customHeight="false" outlineLevel="0" collapsed="false">
      <c r="A21" s="25"/>
      <c r="B21" s="25"/>
      <c r="C21" s="25"/>
      <c r="D21" s="25"/>
      <c r="E21" s="25"/>
    </row>
    <row r="22" customFormat="false" ht="15" hidden="false" customHeight="false" outlineLevel="0" collapsed="false">
      <c r="A22" s="25"/>
      <c r="B22" s="25"/>
      <c r="C22" s="25"/>
      <c r="D22" s="25"/>
      <c r="E22" s="25"/>
    </row>
    <row r="23" customFormat="false" ht="15" hidden="false" customHeight="false" outlineLevel="0" collapsed="false">
      <c r="A23" s="25"/>
      <c r="B23" s="25"/>
      <c r="C23" s="25"/>
      <c r="D23" s="25"/>
      <c r="E23" s="25"/>
    </row>
    <row r="24" customFormat="false" ht="15" hidden="false" customHeight="false" outlineLevel="0" collapsed="false">
      <c r="A24" s="25"/>
      <c r="B24" s="25"/>
      <c r="C24" s="25"/>
      <c r="D24" s="25"/>
      <c r="E24" s="25"/>
    </row>
    <row r="25" customFormat="false" ht="15" hidden="false" customHeight="false" outlineLevel="0" collapsed="false">
      <c r="A25" s="25"/>
      <c r="B25" s="25"/>
      <c r="C25" s="25"/>
      <c r="D25" s="25"/>
      <c r="E25" s="25"/>
    </row>
    <row r="26" customFormat="false" ht="15" hidden="false" customHeight="false" outlineLevel="0" collapsed="false">
      <c r="A26" s="25"/>
      <c r="B26" s="25"/>
      <c r="C26" s="25"/>
      <c r="D26" s="25"/>
      <c r="E26" s="25"/>
    </row>
    <row r="27" customFormat="false" ht="15" hidden="false" customHeight="false" outlineLevel="0" collapsed="false">
      <c r="A27" s="25"/>
      <c r="B27" s="25"/>
      <c r="C27" s="25"/>
      <c r="D27" s="25"/>
      <c r="E27" s="25"/>
    </row>
    <row r="28" customFormat="false" ht="15" hidden="false" customHeight="false" outlineLevel="0" collapsed="false">
      <c r="A28" s="25"/>
      <c r="B28" s="25"/>
      <c r="C28" s="25"/>
      <c r="D28" s="25"/>
      <c r="E28" s="25"/>
    </row>
    <row r="29" customFormat="false" ht="15" hidden="false" customHeight="false" outlineLevel="0" collapsed="false">
      <c r="A29" s="25"/>
      <c r="B29" s="25"/>
      <c r="C29" s="25"/>
      <c r="D29" s="25"/>
      <c r="E29" s="25"/>
    </row>
    <row r="30" customFormat="false" ht="15" hidden="false" customHeight="false" outlineLevel="0" collapsed="false">
      <c r="A30" s="25"/>
      <c r="B30" s="25"/>
      <c r="C30" s="25"/>
      <c r="D30" s="25"/>
      <c r="E30" s="25"/>
    </row>
    <row r="32" customFormat="false" ht="15" hidden="false" customHeight="true" outlineLevel="0" collapsed="false">
      <c r="A32" s="6" t="s">
        <v>330</v>
      </c>
      <c r="B32" s="6"/>
      <c r="C32" s="6"/>
      <c r="D32" s="6"/>
      <c r="E32" s="6"/>
    </row>
    <row r="33" customFormat="false" ht="15" hidden="false" customHeight="true" outlineLevel="0" collapsed="false">
      <c r="A33" s="9" t="s">
        <v>331</v>
      </c>
      <c r="B33" s="9"/>
      <c r="C33" s="9"/>
      <c r="D33" s="9"/>
      <c r="E33" s="17" t="n">
        <f aca="false">COUNTA('Test Case Matrix'!A5:A60)</f>
        <v>7</v>
      </c>
    </row>
    <row r="34" customFormat="false" ht="15" hidden="false" customHeight="true" outlineLevel="0" collapsed="false">
      <c r="A34" s="9" t="s">
        <v>332</v>
      </c>
      <c r="B34" s="9"/>
      <c r="C34" s="9"/>
      <c r="D34" s="9"/>
      <c r="E34" s="17" t="n">
        <f aca="false">COUNTIF('Test Case Matrix'!J5:J60,"Pass")</f>
        <v>0</v>
      </c>
    </row>
    <row r="35" customFormat="false" ht="15" hidden="false" customHeight="true" outlineLevel="0" collapsed="false">
      <c r="A35" s="9" t="s">
        <v>333</v>
      </c>
      <c r="B35" s="9"/>
      <c r="C35" s="9"/>
      <c r="D35" s="9"/>
      <c r="E35" s="17" t="n">
        <f aca="false">COUNTIF('Test Case Matrix'!J5:J60,"Fail")</f>
        <v>0</v>
      </c>
    </row>
    <row r="36" customFormat="false" ht="15" hidden="false" customHeight="true" outlineLevel="0" collapsed="false">
      <c r="A36" s="9" t="s">
        <v>334</v>
      </c>
      <c r="B36" s="9"/>
      <c r="C36" s="9"/>
      <c r="D36" s="9"/>
      <c r="E36" s="17" t="n">
        <f aca="false">COUNTIF('Test Case Matrix'!J5:J60,"Not Tested")</f>
        <v>0</v>
      </c>
    </row>
    <row r="37" customFormat="false" ht="15" hidden="false" customHeight="true" outlineLevel="0" collapsed="false">
      <c r="A37" s="9" t="s">
        <v>335</v>
      </c>
      <c r="B37" s="9"/>
      <c r="C37" s="9"/>
      <c r="D37" s="9"/>
      <c r="E37" s="17" t="n">
        <f aca="false">COUNTA('Defect Log'!A5:A40)</f>
        <v>2</v>
      </c>
    </row>
    <row r="38" customFormat="false" ht="15" hidden="false" customHeight="true" outlineLevel="0" collapsed="false">
      <c r="A38" s="9" t="s">
        <v>336</v>
      </c>
      <c r="B38" s="9"/>
      <c r="C38" s="9"/>
      <c r="D38" s="9"/>
      <c r="E38" s="17" t="n">
        <f aca="false">COUNTIF('Defect Log'!E5:E40,"Open")+COUNTIF('Defect Log'!E5:E40,"In Progress")</f>
        <v>2</v>
      </c>
    </row>
    <row r="39" customFormat="false" ht="15" hidden="false" customHeight="true" outlineLevel="0" collapsed="false">
      <c r="A39" s="9" t="s">
        <v>337</v>
      </c>
      <c r="B39" s="9"/>
      <c r="C39" s="9"/>
      <c r="D39" s="9"/>
      <c r="E39" s="17" t="n">
        <f aca="false">COUNTIF('Defect Log'!E5:E40,"Closed")+COUNTIF('Defect Log'!E5:E40,"Accepted Risk")</f>
        <v>0</v>
      </c>
    </row>
    <row r="40" customFormat="false" ht="15" hidden="false" customHeight="true" outlineLevel="0" collapsed="false">
      <c r="A40" s="9" t="s">
        <v>338</v>
      </c>
      <c r="B40" s="9"/>
      <c r="C40" s="9"/>
      <c r="D40" s="9"/>
      <c r="E40" s="17" t="n">
        <f aca="false">COUNTIF('Defect Log'!K5:K40,"Yes")</f>
        <v>0</v>
      </c>
    </row>
    <row r="41" customFormat="false" ht="15" hidden="false" customHeight="true" outlineLevel="0" collapsed="false">
      <c r="A41" s="9" t="s">
        <v>339</v>
      </c>
      <c r="B41" s="9"/>
      <c r="C41" s="9"/>
      <c r="D41" s="9"/>
      <c r="E41" s="17" t="n">
        <f aca="false">COUNTIF('Approval Escalation Tests'!E5:E40,"Pass")</f>
        <v>0</v>
      </c>
    </row>
    <row r="42" customFormat="false" ht="15" hidden="false" customHeight="true" outlineLevel="0" collapsed="false">
      <c r="A42" s="9" t="s">
        <v>340</v>
      </c>
      <c r="B42" s="9"/>
      <c r="C42" s="9"/>
      <c r="D42" s="9"/>
      <c r="E42" s="17" t="n">
        <f aca="false">COUNTIF('Error Monitoring Tests'!E5:E40,"Pass")</f>
        <v>0</v>
      </c>
    </row>
    <row r="43" customFormat="false" ht="15" hidden="false" customHeight="true" outlineLevel="0" collapsed="false">
      <c r="A43" s="9" t="s">
        <v>341</v>
      </c>
      <c r="B43" s="9"/>
      <c r="C43" s="9"/>
      <c r="D43" s="9"/>
      <c r="E43" s="17" t="n">
        <f aca="false">COUNTIF('Go No-Go Checklist'!C5:C30,"Pass")</f>
        <v>0</v>
      </c>
    </row>
  </sheetData>
  <mergeCells count="13">
    <mergeCell ref="A2:H2"/>
    <mergeCell ref="A32:E32"/>
    <mergeCell ref="A33:D33"/>
    <mergeCell ref="A34:D34"/>
    <mergeCell ref="A35:D35"/>
    <mergeCell ref="A36:D36"/>
    <mergeCell ref="A37:D37"/>
    <mergeCell ref="A38:D38"/>
    <mergeCell ref="A39:D39"/>
    <mergeCell ref="A40:D40"/>
    <mergeCell ref="A41:D41"/>
    <mergeCell ref="A42:D42"/>
    <mergeCell ref="A43:D4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6" min="1" style="0" width="18"/>
  </cols>
  <sheetData>
    <row r="1" customFormat="false" ht="33.75" hidden="false" customHeight="true" outlineLevel="0" collapsed="false">
      <c r="A1" s="3" t="s">
        <v>342</v>
      </c>
      <c r="B1" s="3" t="s">
        <v>174</v>
      </c>
      <c r="C1" s="3" t="s">
        <v>37</v>
      </c>
      <c r="D1" s="3" t="s">
        <v>343</v>
      </c>
      <c r="E1" s="3" t="s">
        <v>344</v>
      </c>
      <c r="F1" s="3" t="s">
        <v>345</v>
      </c>
    </row>
    <row r="2" customFormat="false" ht="15" hidden="false" customHeight="false" outlineLevel="0" collapsed="false">
      <c r="A2" s="0" t="s">
        <v>40</v>
      </c>
      <c r="B2" s="0" t="s">
        <v>346</v>
      </c>
      <c r="C2" s="0" t="s">
        <v>58</v>
      </c>
      <c r="D2" s="0" t="s">
        <v>224</v>
      </c>
      <c r="E2" s="0" t="s">
        <v>183</v>
      </c>
      <c r="F2" s="0" t="s">
        <v>347</v>
      </c>
    </row>
    <row r="3" customFormat="false" ht="15" hidden="false" customHeight="false" outlineLevel="0" collapsed="false">
      <c r="A3" s="0" t="s">
        <v>42</v>
      </c>
      <c r="B3" s="0" t="s">
        <v>142</v>
      </c>
      <c r="C3" s="0" t="s">
        <v>60</v>
      </c>
      <c r="D3" s="0" t="s">
        <v>143</v>
      </c>
      <c r="E3" s="0" t="s">
        <v>196</v>
      </c>
      <c r="F3" s="0" t="s">
        <v>348</v>
      </c>
    </row>
    <row r="4" customFormat="false" ht="15" hidden="false" customHeight="false" outlineLevel="0" collapsed="false">
      <c r="A4" s="0" t="s">
        <v>44</v>
      </c>
      <c r="B4" s="0" t="s">
        <v>143</v>
      </c>
      <c r="C4" s="0" t="s">
        <v>62</v>
      </c>
      <c r="D4" s="0" t="s">
        <v>142</v>
      </c>
      <c r="E4" s="0" t="s">
        <v>349</v>
      </c>
      <c r="F4" s="0" t="s">
        <v>350</v>
      </c>
    </row>
    <row r="5" customFormat="false" ht="15" hidden="false" customHeight="false" outlineLevel="0" collapsed="false">
      <c r="A5" s="0" t="s">
        <v>46</v>
      </c>
      <c r="B5" s="0" t="s">
        <v>224</v>
      </c>
      <c r="C5" s="0" t="s">
        <v>64</v>
      </c>
      <c r="F5" s="0" t="s">
        <v>351</v>
      </c>
    </row>
    <row r="6" customFormat="false" ht="15" hidden="false" customHeight="false" outlineLevel="0" collapsed="false">
      <c r="A6" s="0" t="s">
        <v>48</v>
      </c>
      <c r="C6" s="0" t="s">
        <v>66</v>
      </c>
      <c r="F6" s="0" t="s">
        <v>352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2026-06-28T14:39:11Z</dcterms:created>
  <dc:creator>openpyxl</dc:creator>
  <dc:description/>
  <dc:language>en-US</dc:language>
  <cp:lastModifiedBy>maciek szczech</cp:lastModifiedBy>
  <dcterms:modified xsi:type="dcterms:W3CDTF">2026-07-05T13:10:26Z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