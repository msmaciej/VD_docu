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1980" yWindow="0" windowWidth="13380" windowHeight="7905"/>
  </bookViews>
  <sheets>
    <sheet name="Current situatio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4" i="1" l="1"/>
  <c r="H27" i="1"/>
  <c r="H24" i="1"/>
  <c r="I7" i="1"/>
  <c r="H21" i="1"/>
  <c r="K27" i="1" l="1"/>
  <c r="G27" i="1"/>
  <c r="B27" i="1"/>
  <c r="C27" i="1" s="1"/>
  <c r="M24" i="1"/>
  <c r="M21" i="1"/>
  <c r="H11" i="1"/>
  <c r="E7" i="1"/>
  <c r="H7" i="1" s="1"/>
  <c r="M7" i="1" s="1"/>
  <c r="C7" i="1"/>
  <c r="E6" i="1"/>
  <c r="C6" i="1"/>
  <c r="N7" i="1" l="1"/>
  <c r="E27" i="1"/>
  <c r="M29" i="1" s="1"/>
  <c r="H6" i="1"/>
  <c r="I6" i="1" l="1"/>
  <c r="M6" i="1"/>
  <c r="I11" i="1"/>
  <c r="I24" i="1"/>
  <c r="M16" i="1" l="1"/>
  <c r="M15" i="1"/>
  <c r="M14" i="1"/>
  <c r="N6" i="1"/>
  <c r="L11" i="1"/>
  <c r="I27" i="1"/>
  <c r="M17" i="1" l="1"/>
  <c r="N17" i="1" s="1"/>
  <c r="N14" i="1"/>
  <c r="N15" i="1"/>
  <c r="N16" i="1"/>
  <c r="M11" i="1"/>
  <c r="L27" i="1"/>
  <c r="P17" i="1" l="1"/>
  <c r="P16" i="1"/>
  <c r="P7" i="1"/>
  <c r="P15" i="1"/>
  <c r="P6" i="1"/>
  <c r="P14" i="1"/>
  <c r="N27" i="1"/>
  <c r="P11" i="1" s="1"/>
  <c r="M27" i="1"/>
  <c r="P27" i="1" l="1"/>
  <c r="O11" i="1"/>
  <c r="O14" i="1"/>
  <c r="O16" i="1"/>
  <c r="O15" i="1"/>
  <c r="O21" i="1"/>
  <c r="O7" i="1"/>
  <c r="O6" i="1"/>
  <c r="M31" i="1"/>
  <c r="O17" i="1"/>
  <c r="O27" i="1" l="1"/>
</calcChain>
</file>

<file path=xl/sharedStrings.xml><?xml version="1.0" encoding="utf-8"?>
<sst xmlns="http://schemas.openxmlformats.org/spreadsheetml/2006/main" count="37" uniqueCount="33">
  <si>
    <t>INCEPTION</t>
  </si>
  <si>
    <t>SPLIT 1:100</t>
  </si>
  <si>
    <t>PRE-MONEY</t>
  </si>
  <si>
    <t xml:space="preserve">SEED ROUND </t>
  </si>
  <si>
    <t>Shares</t>
  </si>
  <si>
    <t>%</t>
  </si>
  <si>
    <t>SPLIT</t>
  </si>
  <si>
    <t>New shares</t>
  </si>
  <si>
    <t>Amount</t>
  </si>
  <si>
    <t>% capital</t>
  </si>
  <si>
    <t>Founders</t>
  </si>
  <si>
    <t>Institutional investor</t>
  </si>
  <si>
    <t>Robolution Capital</t>
  </si>
  <si>
    <t>Angels</t>
  </si>
  <si>
    <t>Technology transfer option for IP</t>
  </si>
  <si>
    <t>Employees and directors</t>
  </si>
  <si>
    <t>Stock option plan</t>
  </si>
  <si>
    <t>TOTAL</t>
  </si>
  <si>
    <r>
      <rPr>
        <b/>
        <sz val="11"/>
        <color theme="1"/>
        <rFont val="Calibri"/>
        <family val="2"/>
      </rPr>
      <t>Pre money</t>
    </r>
    <r>
      <rPr>
        <sz val="11"/>
        <color theme="1"/>
        <rFont val="Calibri"/>
        <family val="2"/>
        <scheme val="minor"/>
      </rPr>
      <t xml:space="preserve"> valuation</t>
    </r>
  </si>
  <si>
    <t>CHF</t>
  </si>
  <si>
    <t>Price per share</t>
  </si>
  <si>
    <r>
      <rPr>
        <b/>
        <sz val="11"/>
        <color theme="1"/>
        <rFont val="Calibri"/>
        <family val="2"/>
      </rPr>
      <t>Post op</t>
    </r>
    <r>
      <rPr>
        <sz val="11"/>
        <color theme="1"/>
        <rFont val="Calibri"/>
        <family val="2"/>
        <scheme val="minor"/>
      </rPr>
      <t xml:space="preserve"> valuation</t>
    </r>
  </si>
  <si>
    <r>
      <t xml:space="preserve">Shares
</t>
    </r>
    <r>
      <rPr>
        <sz val="11"/>
        <color theme="1"/>
        <rFont val="Calibri"/>
        <family val="2"/>
        <scheme val="minor"/>
      </rPr>
      <t>Fully Diluted</t>
    </r>
  </si>
  <si>
    <r>
      <t xml:space="preserve">Shares
</t>
    </r>
    <r>
      <rPr>
        <sz val="11"/>
        <color theme="1"/>
        <rFont val="Calibri"/>
        <family val="2"/>
        <scheme val="minor"/>
      </rPr>
      <t>After round</t>
    </r>
  </si>
  <si>
    <r>
      <t xml:space="preserve">% capital
</t>
    </r>
    <r>
      <rPr>
        <sz val="11"/>
        <color theme="1"/>
        <rFont val="Calibri"/>
        <family val="2"/>
        <scheme val="minor"/>
      </rPr>
      <t>Fully diluted</t>
    </r>
  </si>
  <si>
    <r>
      <t xml:space="preserve">%capital
</t>
    </r>
    <r>
      <rPr>
        <sz val="11"/>
        <color theme="1"/>
        <rFont val="Calibri"/>
        <family val="2"/>
        <scheme val="minor"/>
      </rPr>
      <t>After round</t>
    </r>
  </si>
  <si>
    <t>Founder1</t>
  </si>
  <si>
    <t>Founder2</t>
  </si>
  <si>
    <t>BizAngel 1</t>
  </si>
  <si>
    <t>BizAngel 2</t>
  </si>
  <si>
    <t>BizAngel 3</t>
  </si>
  <si>
    <t>BizAngel 4</t>
  </si>
  <si>
    <t>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</si>
</sst>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#,##0.000"/>
    <numFmt numFmtId="166" formatCode="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1" xfId="0" applyBorder="1"/>
    <xf numFmtId="3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3" fontId="0" fillId="0" borderId="0" xfId="0" applyNumberFormat="1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164" fontId="0" fillId="0" borderId="0" xfId="1" applyNumberFormat="1" applyFont="1" applyAlignment="1">
      <alignment horizontal="center"/>
    </xf>
    <xf numFmtId="0" fontId="3" fillId="0" borderId="0" xfId="0" applyFont="1" applyFill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" xfId="0" applyFill="1" applyBorder="1" applyAlignment="1">
      <alignment wrapText="1"/>
    </xf>
    <xf numFmtId="0" fontId="2" fillId="0" borderId="1" xfId="0" applyFont="1" applyFill="1" applyBorder="1"/>
    <xf numFmtId="3" fontId="2" fillId="0" borderId="1" xfId="0" applyNumberFormat="1" applyFont="1" applyFill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3" fontId="0" fillId="0" borderId="0" xfId="0" applyNumberFormat="1" applyFill="1" applyAlignment="1">
      <alignment horizontal="right"/>
    </xf>
    <xf numFmtId="0" fontId="0" fillId="0" borderId="0" xfId="0" applyFill="1" applyAlignment="1">
      <alignment horizontal="left"/>
    </xf>
    <xf numFmtId="0" fontId="0" fillId="0" borderId="3" xfId="0" applyFill="1" applyBorder="1" applyAlignment="1">
      <alignment horizontal="center"/>
    </xf>
    <xf numFmtId="3" fontId="0" fillId="0" borderId="4" xfId="0" applyNumberFormat="1" applyFill="1" applyBorder="1" applyAlignment="1">
      <alignment horizontal="right"/>
    </xf>
    <xf numFmtId="3" fontId="2" fillId="0" borderId="4" xfId="0" applyNumberFormat="1" applyFont="1" applyFill="1" applyBorder="1" applyAlignment="1">
      <alignment horizontal="center"/>
    </xf>
    <xf numFmtId="0" fontId="0" fillId="0" borderId="5" xfId="0" applyFill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right"/>
    </xf>
    <xf numFmtId="165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left"/>
    </xf>
    <xf numFmtId="166" fontId="0" fillId="0" borderId="0" xfId="0" applyNumberFormat="1"/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2" fontId="0" fillId="0" borderId="0" xfId="1" applyNumberFormat="1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64" fontId="0" fillId="3" borderId="1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abSelected="1" zoomScale="80" zoomScaleNormal="80" workbookViewId="0">
      <selection activeCell="M54" sqref="M54"/>
    </sheetView>
  </sheetViews>
  <sheetFormatPr defaultColWidth="9.140625" defaultRowHeight="15" x14ac:dyDescent="0.25"/>
  <cols>
    <col min="1" max="1" width="33.7109375" bestFit="1" customWidth="1"/>
    <col min="2" max="2" width="10.7109375" style="2" customWidth="1"/>
    <col min="3" max="3" width="9.140625" style="2" customWidth="1"/>
    <col min="4" max="4" width="5" style="3" hidden="1" customWidth="1"/>
    <col min="5" max="5" width="14.5703125" style="2" hidden="1" customWidth="1"/>
    <col min="6" max="6" width="5" style="3" customWidth="1"/>
    <col min="7" max="7" width="16" style="2" bestFit="1" customWidth="1"/>
    <col min="8" max="8" width="11.5703125" style="2" bestFit="1" customWidth="1"/>
    <col min="9" max="9" width="12.140625" style="2" bestFit="1" customWidth="1"/>
    <col min="10" max="10" width="9.140625" style="2" customWidth="1"/>
    <col min="11" max="11" width="17.7109375" style="2" bestFit="1" customWidth="1"/>
    <col min="12" max="12" width="22.85546875" style="2" bestFit="1" customWidth="1"/>
    <col min="13" max="13" width="14" style="2" bestFit="1" customWidth="1"/>
    <col min="14" max="14" width="13.140625" style="2" customWidth="1"/>
    <col min="15" max="15" width="10.42578125" style="2" customWidth="1"/>
    <col min="16" max="16" width="12" bestFit="1" customWidth="1"/>
  </cols>
  <sheetData>
    <row r="1" spans="1:16" ht="14.45" x14ac:dyDescent="0.35">
      <c r="B1" s="1" t="s">
        <v>0</v>
      </c>
      <c r="E1" s="4" t="s">
        <v>1</v>
      </c>
      <c r="G1" s="1" t="s">
        <v>2</v>
      </c>
      <c r="K1" s="1" t="s">
        <v>3</v>
      </c>
    </row>
    <row r="3" spans="1:16" s="55" customFormat="1" ht="33" customHeight="1" x14ac:dyDescent="0.35">
      <c r="A3" s="51"/>
      <c r="B3" s="52" t="s">
        <v>4</v>
      </c>
      <c r="C3" s="52" t="s">
        <v>5</v>
      </c>
      <c r="D3" s="52"/>
      <c r="E3" s="52" t="s">
        <v>6</v>
      </c>
      <c r="F3" s="52"/>
      <c r="G3" s="53" t="s">
        <v>7</v>
      </c>
      <c r="H3" s="53" t="s">
        <v>4</v>
      </c>
      <c r="I3" s="53" t="s">
        <v>9</v>
      </c>
      <c r="J3" s="52"/>
      <c r="K3" s="53" t="s">
        <v>8</v>
      </c>
      <c r="L3" s="53" t="s">
        <v>7</v>
      </c>
      <c r="M3" s="54" t="s">
        <v>22</v>
      </c>
      <c r="N3" s="54" t="s">
        <v>23</v>
      </c>
      <c r="O3" s="54" t="s">
        <v>24</v>
      </c>
      <c r="P3" s="54" t="s">
        <v>25</v>
      </c>
    </row>
    <row r="4" spans="1:16" ht="14.45" x14ac:dyDescent="0.35">
      <c r="P4" s="2"/>
    </row>
    <row r="5" spans="1:16" ht="14.45" x14ac:dyDescent="0.35">
      <c r="A5" s="6" t="s">
        <v>10</v>
      </c>
      <c r="P5" s="2"/>
    </row>
    <row r="6" spans="1:16" ht="14.45" x14ac:dyDescent="0.35">
      <c r="A6" s="7" t="s">
        <v>26</v>
      </c>
      <c r="B6" s="57">
        <v>5000000</v>
      </c>
      <c r="C6" s="9">
        <f>B6/$B$27</f>
        <v>0.5</v>
      </c>
      <c r="D6" s="10"/>
      <c r="E6" s="8">
        <f>B6</f>
        <v>5000000</v>
      </c>
      <c r="F6" s="10"/>
      <c r="G6" s="11"/>
      <c r="H6" s="8">
        <f>G6+E6</f>
        <v>5000000</v>
      </c>
      <c r="I6" s="9">
        <f>H6/H$27</f>
        <v>0.39554242671132817</v>
      </c>
      <c r="J6" s="12"/>
      <c r="K6" s="11"/>
      <c r="L6" s="11"/>
      <c r="M6" s="8">
        <f>+L6+H6</f>
        <v>5000000</v>
      </c>
      <c r="N6" s="8">
        <f>M6</f>
        <v>5000000</v>
      </c>
      <c r="O6" s="9">
        <f>M6/M$27</f>
        <v>0.35061018794669491</v>
      </c>
      <c r="P6" s="9">
        <f>N6/SUM($N$6:$N$18)</f>
        <v>0.4302932284840692</v>
      </c>
    </row>
    <row r="7" spans="1:16" ht="14.45" x14ac:dyDescent="0.35">
      <c r="A7" s="7" t="s">
        <v>27</v>
      </c>
      <c r="B7" s="57">
        <v>5000000</v>
      </c>
      <c r="C7" s="9">
        <f>B7/$B$27</f>
        <v>0.5</v>
      </c>
      <c r="D7" s="10"/>
      <c r="E7" s="8">
        <f>B7</f>
        <v>5000000</v>
      </c>
      <c r="F7" s="10"/>
      <c r="G7" s="11"/>
      <c r="H7" s="8">
        <f>G7+E7</f>
        <v>5000000</v>
      </c>
      <c r="I7" s="9">
        <f>H7/H$27</f>
        <v>0.39554242671132817</v>
      </c>
      <c r="J7" s="12"/>
      <c r="K7" s="11"/>
      <c r="L7" s="11"/>
      <c r="M7" s="8">
        <f>+L7+H7</f>
        <v>5000000</v>
      </c>
      <c r="N7" s="8">
        <f>M7</f>
        <v>5000000</v>
      </c>
      <c r="O7" s="9">
        <f>M7/M$27</f>
        <v>0.35061018794669491</v>
      </c>
      <c r="P7" s="9">
        <f>N7/SUM($N$6:$N$18)</f>
        <v>0.4302932284840692</v>
      </c>
    </row>
    <row r="8" spans="1:16" ht="14.45" x14ac:dyDescent="0.35">
      <c r="A8" s="13"/>
      <c r="B8" s="14"/>
      <c r="C8" s="15"/>
      <c r="D8" s="14"/>
      <c r="E8" s="16"/>
      <c r="F8" s="14"/>
      <c r="G8" s="14"/>
      <c r="H8" s="16"/>
      <c r="I8" s="15"/>
      <c r="J8" s="15"/>
      <c r="K8" s="14"/>
      <c r="L8" s="14"/>
      <c r="M8" s="16"/>
      <c r="N8" s="16"/>
      <c r="O8" s="12"/>
      <c r="P8" s="12"/>
    </row>
    <row r="9" spans="1:16" ht="14.45" hidden="1" x14ac:dyDescent="0.35">
      <c r="A9" s="17"/>
      <c r="B9" s="18"/>
      <c r="C9" s="18"/>
      <c r="D9" s="14"/>
      <c r="E9" s="19"/>
      <c r="F9" s="14"/>
      <c r="G9" s="18"/>
      <c r="H9" s="18"/>
      <c r="I9" s="20"/>
      <c r="J9" s="20"/>
      <c r="K9" s="18"/>
      <c r="L9" s="18"/>
      <c r="M9" s="18"/>
      <c r="N9" s="18"/>
      <c r="O9" s="21"/>
      <c r="P9" s="21"/>
    </row>
    <row r="10" spans="1:16" ht="14.45" hidden="1" x14ac:dyDescent="0.35">
      <c r="A10" s="22" t="s">
        <v>11</v>
      </c>
      <c r="B10" s="18"/>
      <c r="C10" s="18"/>
      <c r="D10" s="14"/>
      <c r="E10" s="19"/>
      <c r="F10" s="14"/>
      <c r="G10" s="18"/>
      <c r="H10" s="18"/>
      <c r="I10" s="20"/>
      <c r="J10" s="20"/>
      <c r="K10" s="18"/>
      <c r="L10" s="18"/>
      <c r="M10" s="18"/>
      <c r="N10" s="18"/>
      <c r="O10" s="21"/>
      <c r="P10" s="21"/>
    </row>
    <row r="11" spans="1:16" ht="14.45" hidden="1" x14ac:dyDescent="0.35">
      <c r="A11" s="23" t="s">
        <v>12</v>
      </c>
      <c r="B11" s="24"/>
      <c r="C11" s="24"/>
      <c r="D11" s="25"/>
      <c r="E11" s="26"/>
      <c r="F11" s="25"/>
      <c r="G11" s="26"/>
      <c r="H11" s="26">
        <f>G11+E11</f>
        <v>0</v>
      </c>
      <c r="I11" s="27">
        <f>H11/H$27</f>
        <v>0</v>
      </c>
      <c r="J11" s="15"/>
      <c r="K11" s="26">
        <v>0</v>
      </c>
      <c r="L11" s="26">
        <f>K11/$M$30</f>
        <v>0</v>
      </c>
      <c r="M11" s="26">
        <f>+L11+H11</f>
        <v>0</v>
      </c>
      <c r="N11" s="26">
        <v>0</v>
      </c>
      <c r="O11" s="9">
        <f>M11/M$27</f>
        <v>0</v>
      </c>
      <c r="P11" s="9">
        <f>N11/N$27</f>
        <v>0</v>
      </c>
    </row>
    <row r="12" spans="1:16" ht="14.45" hidden="1" x14ac:dyDescent="0.35">
      <c r="A12" s="17"/>
      <c r="B12" s="18"/>
      <c r="C12" s="18"/>
      <c r="D12" s="14"/>
      <c r="E12" s="19"/>
      <c r="F12" s="14"/>
      <c r="G12" s="18"/>
      <c r="H12" s="18"/>
      <c r="I12" s="20"/>
      <c r="J12" s="20"/>
      <c r="K12" s="19"/>
      <c r="L12" s="18"/>
      <c r="M12" s="18"/>
      <c r="N12" s="18"/>
      <c r="O12" s="21"/>
      <c r="P12" s="21"/>
    </row>
    <row r="13" spans="1:16" ht="14.45" x14ac:dyDescent="0.35">
      <c r="A13" s="22" t="s">
        <v>13</v>
      </c>
      <c r="B13" s="18"/>
      <c r="C13" s="18"/>
      <c r="D13" s="14"/>
      <c r="E13" s="19"/>
      <c r="F13" s="14"/>
      <c r="G13" s="18"/>
      <c r="H13" s="18"/>
      <c r="I13" s="20"/>
      <c r="J13" s="20"/>
      <c r="K13" s="19"/>
      <c r="L13" s="18"/>
      <c r="M13" s="18"/>
      <c r="N13" s="18"/>
      <c r="O13" s="21"/>
      <c r="P13" s="21"/>
    </row>
    <row r="14" spans="1:16" ht="14.45" x14ac:dyDescent="0.35">
      <c r="A14" s="23" t="s">
        <v>28</v>
      </c>
      <c r="B14" s="24"/>
      <c r="C14" s="27"/>
      <c r="D14" s="25"/>
      <c r="E14" s="26"/>
      <c r="F14" s="25"/>
      <c r="G14" s="26"/>
      <c r="H14" s="26"/>
      <c r="I14" s="27"/>
      <c r="J14" s="56"/>
      <c r="K14" s="26">
        <v>80000.11</v>
      </c>
      <c r="L14" s="26">
        <v>340426</v>
      </c>
      <c r="M14" s="26">
        <f t="shared" ref="M14:M16" si="0">+L14+H14</f>
        <v>340426</v>
      </c>
      <c r="N14" s="26">
        <f t="shared" ref="N14:N16" si="1">M14</f>
        <v>340426</v>
      </c>
      <c r="O14" s="9">
        <f t="shared" ref="O14:O16" si="2">M14/M$27</f>
        <v>2.3871364768388314E-2</v>
      </c>
      <c r="P14" s="9">
        <f t="shared" ref="P14:P17" si="3">N14/SUM($N$6:$N$18)</f>
        <v>2.9296600519983548E-2</v>
      </c>
    </row>
    <row r="15" spans="1:16" ht="14.45" x14ac:dyDescent="0.35">
      <c r="A15" s="23" t="s">
        <v>29</v>
      </c>
      <c r="B15" s="24"/>
      <c r="C15" s="27"/>
      <c r="D15" s="25"/>
      <c r="E15" s="26"/>
      <c r="F15" s="25"/>
      <c r="G15" s="26"/>
      <c r="H15" s="26"/>
      <c r="I15" s="27"/>
      <c r="J15" s="56"/>
      <c r="K15" s="26">
        <v>100000.01999999999</v>
      </c>
      <c r="L15" s="26">
        <v>425532</v>
      </c>
      <c r="M15" s="26">
        <f t="shared" si="0"/>
        <v>425532</v>
      </c>
      <c r="N15" s="26">
        <f t="shared" si="1"/>
        <v>425532</v>
      </c>
      <c r="O15" s="9">
        <f t="shared" si="2"/>
        <v>2.9839170899466597E-2</v>
      </c>
      <c r="P15" s="9">
        <f t="shared" si="3"/>
        <v>3.6620707620656591E-2</v>
      </c>
    </row>
    <row r="16" spans="1:16" ht="14.45" x14ac:dyDescent="0.35">
      <c r="A16" s="23" t="s">
        <v>30</v>
      </c>
      <c r="B16" s="24"/>
      <c r="C16" s="27"/>
      <c r="D16" s="25"/>
      <c r="E16" s="26"/>
      <c r="F16" s="25"/>
      <c r="G16" s="26"/>
      <c r="H16" s="26"/>
      <c r="I16" s="27"/>
      <c r="J16" s="56"/>
      <c r="K16" s="26">
        <v>100000.01999999999</v>
      </c>
      <c r="L16" s="26">
        <v>425532</v>
      </c>
      <c r="M16" s="26">
        <f t="shared" si="0"/>
        <v>425532</v>
      </c>
      <c r="N16" s="26">
        <f t="shared" si="1"/>
        <v>425532</v>
      </c>
      <c r="O16" s="9">
        <f t="shared" si="2"/>
        <v>2.9839170899466597E-2</v>
      </c>
      <c r="P16" s="9">
        <f t="shared" si="3"/>
        <v>3.6620707620656591E-2</v>
      </c>
    </row>
    <row r="17" spans="1:16" ht="14.45" x14ac:dyDescent="0.35">
      <c r="A17" s="23" t="s">
        <v>31</v>
      </c>
      <c r="B17" s="24"/>
      <c r="C17" s="27"/>
      <c r="D17" s="25"/>
      <c r="E17" s="26"/>
      <c r="F17" s="25"/>
      <c r="G17" s="26"/>
      <c r="H17" s="26"/>
      <c r="I17" s="27"/>
      <c r="J17" s="56"/>
      <c r="K17" s="26">
        <v>100679</v>
      </c>
      <c r="L17" s="26">
        <v>428493</v>
      </c>
      <c r="M17" s="26">
        <f>+L17+H17</f>
        <v>428493</v>
      </c>
      <c r="N17" s="26">
        <f t="shared" ref="N17" si="4">M17</f>
        <v>428493</v>
      </c>
      <c r="O17" s="9">
        <f>M17/M$27</f>
        <v>3.004680225276863E-2</v>
      </c>
      <c r="P17" s="9">
        <f t="shared" si="3"/>
        <v>3.6875527270564853E-2</v>
      </c>
    </row>
    <row r="18" spans="1:16" ht="14.45" x14ac:dyDescent="0.35">
      <c r="A18" s="23"/>
      <c r="B18" s="24"/>
      <c r="C18" s="27"/>
      <c r="D18" s="25"/>
      <c r="E18" s="26"/>
      <c r="F18" s="25"/>
      <c r="G18" s="26"/>
      <c r="H18" s="26"/>
      <c r="I18" s="27"/>
      <c r="J18" s="56"/>
      <c r="K18" s="26"/>
      <c r="L18" s="26"/>
      <c r="M18" s="26"/>
      <c r="N18" s="26"/>
      <c r="O18" s="9"/>
      <c r="P18" s="9"/>
    </row>
    <row r="19" spans="1:16" ht="14.45" x14ac:dyDescent="0.35">
      <c r="A19" s="17"/>
      <c r="B19" s="18"/>
      <c r="C19" s="18"/>
      <c r="D19" s="14"/>
      <c r="E19" s="19"/>
      <c r="F19" s="14"/>
      <c r="G19" s="18"/>
      <c r="H19" s="19"/>
      <c r="I19" s="20"/>
      <c r="J19" s="20"/>
      <c r="K19" s="19"/>
      <c r="L19" s="18"/>
      <c r="M19" s="19"/>
      <c r="N19" s="19"/>
      <c r="O19" s="21"/>
      <c r="P19" s="21"/>
    </row>
    <row r="20" spans="1:16" ht="14.45" x14ac:dyDescent="0.35">
      <c r="A20" s="22" t="s">
        <v>32</v>
      </c>
      <c r="B20" s="18"/>
      <c r="C20" s="18"/>
      <c r="D20" s="14"/>
      <c r="E20" s="19"/>
      <c r="F20" s="14"/>
      <c r="G20" s="18"/>
      <c r="H20" s="19"/>
      <c r="I20" s="20"/>
      <c r="J20" s="20"/>
      <c r="K20" s="19"/>
      <c r="L20" s="18"/>
      <c r="M20" s="19"/>
      <c r="N20" s="19"/>
      <c r="O20" s="21"/>
      <c r="P20" s="21"/>
    </row>
    <row r="21" spans="1:16" x14ac:dyDescent="0.25">
      <c r="A21" s="29" t="s">
        <v>14</v>
      </c>
      <c r="B21" s="24"/>
      <c r="C21" s="24"/>
      <c r="D21" s="25"/>
      <c r="E21" s="26"/>
      <c r="F21" s="25"/>
      <c r="G21" s="57">
        <v>1140869</v>
      </c>
      <c r="H21" s="26">
        <f>+G21+D21</f>
        <v>1140869</v>
      </c>
      <c r="I21" s="58">
        <v>0.08</v>
      </c>
      <c r="J21" s="15"/>
      <c r="K21" s="26"/>
      <c r="L21" s="26"/>
      <c r="M21" s="26">
        <f>H21+L21</f>
        <v>1140869</v>
      </c>
      <c r="N21" s="26">
        <v>0</v>
      </c>
      <c r="O21" s="9">
        <f>M21/M$27</f>
        <v>8.0000058902511578E-2</v>
      </c>
      <c r="P21" s="9">
        <v>0</v>
      </c>
    </row>
    <row r="22" spans="1:16" ht="14.45" x14ac:dyDescent="0.35">
      <c r="A22" s="17"/>
      <c r="B22" s="18"/>
      <c r="C22" s="18"/>
      <c r="D22" s="14"/>
      <c r="E22" s="19"/>
      <c r="F22" s="14"/>
      <c r="G22" s="19"/>
      <c r="H22" s="19"/>
      <c r="I22" s="20"/>
      <c r="J22" s="20"/>
      <c r="K22" s="19"/>
      <c r="L22" s="19"/>
      <c r="M22" s="19"/>
      <c r="N22" s="19"/>
      <c r="O22" s="21"/>
      <c r="P22" s="21"/>
    </row>
    <row r="23" spans="1:16" ht="14.45" x14ac:dyDescent="0.35">
      <c r="A23" s="22" t="s">
        <v>15</v>
      </c>
      <c r="B23" s="18"/>
      <c r="C23" s="18"/>
      <c r="D23" s="14"/>
      <c r="E23" s="19"/>
      <c r="F23" s="14"/>
      <c r="G23" s="18"/>
      <c r="H23" s="19"/>
      <c r="I23" s="20"/>
      <c r="J23" s="20"/>
      <c r="K23" s="19"/>
      <c r="L23" s="18"/>
      <c r="M23" s="19"/>
      <c r="N23" s="19"/>
      <c r="O23" s="21"/>
      <c r="P23" s="21"/>
    </row>
    <row r="24" spans="1:16" ht="14.45" x14ac:dyDescent="0.35">
      <c r="A24" s="23" t="s">
        <v>16</v>
      </c>
      <c r="B24" s="24"/>
      <c r="C24" s="24"/>
      <c r="D24" s="25"/>
      <c r="E24" s="26"/>
      <c r="F24" s="25"/>
      <c r="G24" s="57">
        <v>1500000</v>
      </c>
      <c r="H24" s="26">
        <f>G24</f>
        <v>1500000</v>
      </c>
      <c r="I24" s="27">
        <f>H24/H$27</f>
        <v>0.11866272801339844</v>
      </c>
      <c r="J24" s="15"/>
      <c r="K24" s="26"/>
      <c r="L24" s="26"/>
      <c r="M24" s="26">
        <f>+L24+H24</f>
        <v>1500000</v>
      </c>
      <c r="N24" s="26">
        <v>0</v>
      </c>
      <c r="O24" s="9">
        <f>M24/M$27</f>
        <v>0.10518305638400847</v>
      </c>
      <c r="P24" s="9">
        <v>0</v>
      </c>
    </row>
    <row r="25" spans="1:16" ht="14.45" x14ac:dyDescent="0.35">
      <c r="A25" s="13"/>
      <c r="B25" s="14"/>
      <c r="C25" s="14"/>
      <c r="D25" s="14"/>
      <c r="E25" s="16"/>
      <c r="F25" s="14"/>
      <c r="G25" s="16"/>
      <c r="H25" s="16"/>
      <c r="I25" s="15"/>
      <c r="J25" s="15"/>
      <c r="K25" s="16"/>
      <c r="L25" s="16"/>
      <c r="M25" s="16"/>
      <c r="N25" s="16"/>
      <c r="O25" s="12"/>
      <c r="P25" s="12"/>
    </row>
    <row r="26" spans="1:16" ht="14.45" x14ac:dyDescent="0.35">
      <c r="A26" s="17"/>
      <c r="B26" s="18"/>
      <c r="C26" s="18"/>
      <c r="D26" s="14"/>
      <c r="E26" s="19"/>
      <c r="F26" s="14"/>
      <c r="G26" s="19"/>
      <c r="H26" s="19"/>
      <c r="I26" s="18"/>
      <c r="J26" s="18"/>
      <c r="K26" s="19"/>
      <c r="L26" s="19"/>
      <c r="M26" s="19"/>
      <c r="N26" s="19"/>
      <c r="P26" s="2"/>
    </row>
    <row r="27" spans="1:16" s="5" customFormat="1" ht="14.45" x14ac:dyDescent="0.35">
      <c r="A27" s="30" t="s">
        <v>17</v>
      </c>
      <c r="B27" s="31">
        <f>SUM(B6:B17)</f>
        <v>10000000</v>
      </c>
      <c r="C27" s="32">
        <f>B27/$B$27</f>
        <v>1</v>
      </c>
      <c r="D27" s="33"/>
      <c r="E27" s="31">
        <f>SUM(E6:E25)</f>
        <v>10000000</v>
      </c>
      <c r="F27" s="33"/>
      <c r="G27" s="31">
        <f>SUM(G6:G26)</f>
        <v>2640869</v>
      </c>
      <c r="H27" s="26">
        <f>G27+E27</f>
        <v>12640869</v>
      </c>
      <c r="I27" s="34">
        <f>SUM(I6:I25)</f>
        <v>0.98974758143605479</v>
      </c>
      <c r="J27" s="35"/>
      <c r="K27" s="31">
        <f>SUM(K6:K26)</f>
        <v>380679.15</v>
      </c>
      <c r="L27" s="31">
        <f>SUM(L6:L26)</f>
        <v>1619983</v>
      </c>
      <c r="M27" s="31">
        <f>SUM(M5:M26)</f>
        <v>14260852</v>
      </c>
      <c r="N27" s="31">
        <f>SUM(N5:N26)</f>
        <v>11619983</v>
      </c>
      <c r="O27" s="36">
        <f>SUM(O6:O25)</f>
        <v>1.0000000000000002</v>
      </c>
      <c r="P27" s="36">
        <f>SUM(P6:P25)</f>
        <v>1</v>
      </c>
    </row>
    <row r="28" spans="1:16" ht="15.75" thickBot="1" x14ac:dyDescent="0.3">
      <c r="A28" s="17"/>
      <c r="B28" s="18"/>
      <c r="C28" s="18"/>
      <c r="D28" s="14"/>
      <c r="E28" s="18"/>
      <c r="F28" s="14"/>
      <c r="G28" s="18"/>
      <c r="H28" s="18"/>
      <c r="I28" s="18"/>
      <c r="J28" s="18"/>
      <c r="K28" s="19"/>
      <c r="L28" s="18"/>
      <c r="M28" s="18"/>
      <c r="N28" s="18"/>
    </row>
    <row r="29" spans="1:16" x14ac:dyDescent="0.25">
      <c r="A29" s="17"/>
      <c r="B29" s="18"/>
      <c r="C29" s="18"/>
      <c r="D29" s="14"/>
      <c r="E29" s="18"/>
      <c r="F29" s="14"/>
      <c r="G29" s="37"/>
      <c r="H29" s="37"/>
      <c r="I29" s="38"/>
      <c r="J29" s="38"/>
      <c r="K29" s="39"/>
      <c r="L29" s="40" t="s">
        <v>18</v>
      </c>
      <c r="M29" s="41">
        <f>H27*M30</f>
        <v>2970604.2149999999</v>
      </c>
      <c r="N29" s="42" t="s">
        <v>19</v>
      </c>
    </row>
    <row r="30" spans="1:16" ht="15.75" thickBot="1" x14ac:dyDescent="0.3">
      <c r="G30" s="45"/>
      <c r="H30" s="28"/>
      <c r="I30" s="44"/>
      <c r="J30" s="44"/>
      <c r="K30" s="46"/>
      <c r="L30" s="47" t="s">
        <v>20</v>
      </c>
      <c r="M30" s="48">
        <v>0.23499999999999999</v>
      </c>
      <c r="N30" s="49" t="s">
        <v>19</v>
      </c>
    </row>
    <row r="31" spans="1:16" x14ac:dyDescent="0.25">
      <c r="A31" s="50"/>
      <c r="G31" s="43"/>
      <c r="H31" s="28"/>
      <c r="I31" s="44"/>
      <c r="J31" s="44"/>
      <c r="L31" s="43" t="s">
        <v>21</v>
      </c>
      <c r="M31" s="28">
        <f>M30*M27</f>
        <v>3351300.2199999997</v>
      </c>
      <c r="N31" s="44" t="s">
        <v>19</v>
      </c>
    </row>
    <row r="32" spans="1:16" ht="14.45" x14ac:dyDescent="0.35">
      <c r="H32" s="28"/>
      <c r="M32" s="28"/>
    </row>
    <row r="33" spans="2:14" ht="14.45" x14ac:dyDescent="0.35">
      <c r="H33" s="28"/>
      <c r="M33" s="28"/>
      <c r="N33" s="28"/>
    </row>
    <row r="34" spans="2:14" ht="14.45" x14ac:dyDescent="0.35">
      <c r="B34"/>
      <c r="C34"/>
      <c r="D34"/>
      <c r="E34"/>
      <c r="F34"/>
      <c r="H34" s="28"/>
      <c r="K34"/>
      <c r="L34"/>
      <c r="M34" s="28"/>
      <c r="N34" s="2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situation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2015-10-01T10:55:38Z</dcterms:created>
  <dcterms:modified xsi:type="dcterms:W3CDTF">2015-10-01T18:23:20Z</dcterms:modified>
</cp:coreProperties>
</file>