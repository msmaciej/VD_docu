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ms/Documents/_VortexDeep/VD_AI_Automation_Excel/_VDAIA_MAIN_v2/"/>
    </mc:Choice>
  </mc:AlternateContent>
  <xr:revisionPtr revIDLastSave="0" documentId="13_ncr:1_{F956BBC7-9190-C04D-9A35-7A07A28DF954}" xr6:coauthVersionLast="47" xr6:coauthVersionMax="47" xr10:uidLastSave="{00000000-0000-0000-0000-000000000000}"/>
  <bookViews>
    <workbookView xWindow="0" yWindow="660" windowWidth="24460" windowHeight="19060" tabRatio="500" xr2:uid="{00000000-000D-0000-FFFF-FFFF00000000}"/>
  </bookViews>
  <sheets>
    <sheet name="START HERE" sheetId="1" r:id="rId1"/>
    <sheet name="Workflow Step Designer" sheetId="2" r:id="rId2"/>
    <sheet name="Phase2 to Phase3 Handoff" sheetId="3" r:id="rId3"/>
    <sheet name="Workflow Blueprint" sheetId="4" r:id="rId4"/>
    <sheet name="Data Field Map" sheetId="5" r:id="rId5"/>
    <sheet name="Routing Rules" sheetId="6" r:id="rId6"/>
    <sheet name="Tool Stack" sheetId="7" r:id="rId7"/>
    <sheet name="Approval &amp; Escalation" sheetId="8" r:id="rId8"/>
    <sheet name="Security &amp; Access" sheetId="9" r:id="rId9"/>
    <sheet name="Error &amp; Monitoring" sheetId="10" r:id="rId10"/>
    <sheet name="Final Blueprint Summary" sheetId="11" r:id="rId11"/>
    <sheet name="Lists" sheetId="12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3" i="11" l="1"/>
  <c r="D42" i="11"/>
  <c r="D41" i="11"/>
  <c r="D40" i="11"/>
  <c r="D39" i="11"/>
  <c r="D38" i="11"/>
  <c r="D37" i="11"/>
  <c r="D36" i="11"/>
  <c r="D35" i="11"/>
  <c r="D34" i="11"/>
  <c r="D33" i="11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C19" i="2"/>
  <c r="C18" i="2"/>
  <c r="C17" i="2"/>
  <c r="C16" i="2"/>
  <c r="C15" i="2"/>
  <c r="C64" i="1"/>
  <c r="C63" i="1"/>
  <c r="C62" i="1"/>
  <c r="C58" i="1"/>
  <c r="C57" i="1"/>
  <c r="C56" i="1"/>
  <c r="C46" i="1"/>
  <c r="C45" i="1"/>
  <c r="C44" i="1"/>
  <c r="C43" i="1"/>
  <c r="C42" i="1"/>
  <c r="C51" i="1" l="1"/>
  <c r="C50" i="1"/>
  <c r="C52" i="1"/>
</calcChain>
</file>

<file path=xl/sharedStrings.xml><?xml version="1.0" encoding="utf-8"?>
<sst xmlns="http://schemas.openxmlformats.org/spreadsheetml/2006/main" count="865" uniqueCount="659">
  <si>
    <t>Phase 3 — Solution Blueprint</t>
  </si>
  <si>
    <t>Purpose: convert Phase 2 MVP scope into a concrete automation design before building anything in Make, Zapier, n8n, CRM, Gmail, Meta, OpenAI, etc.</t>
  </si>
  <si>
    <t>Step</t>
  </si>
  <si>
    <t>What to do</t>
  </si>
  <si>
    <t>Main sheet</t>
  </si>
  <si>
    <t>1</t>
  </si>
  <si>
    <t>Copy final MVP decisions from Phase 2.</t>
  </si>
  <si>
    <t>Phase2 to Phase3 Handoff</t>
  </si>
  <si>
    <t>2</t>
  </si>
  <si>
    <t>Design the automation flow step-by-step.</t>
  </si>
  <si>
    <t>Workflow Blueprint</t>
  </si>
  <si>
    <t>3</t>
  </si>
  <si>
    <t>Define which data fields move through the system.</t>
  </si>
  <si>
    <t>Data Field Map</t>
  </si>
  <si>
    <t>4</t>
  </si>
  <si>
    <t>Define routing logic for each classification/category.</t>
  </si>
  <si>
    <t>Routing Rules</t>
  </si>
  <si>
    <t>5</t>
  </si>
  <si>
    <t>Choose tools and account ownership.</t>
  </si>
  <si>
    <t>Tool Stack</t>
  </si>
  <si>
    <t>6</t>
  </si>
  <si>
    <t>Define human approval, escalation, and safety boundaries.</t>
  </si>
  <si>
    <t>Approval &amp; Escalation</t>
  </si>
  <si>
    <t>7</t>
  </si>
  <si>
    <t>Define credentials, access, logging, retention, and privacy rules.</t>
  </si>
  <si>
    <t>Security &amp; Access</t>
  </si>
  <si>
    <t>8</t>
  </si>
  <si>
    <t>Define monitoring, errors, retries, and fallback behavior.</t>
  </si>
  <si>
    <t>Error &amp; Monitoring</t>
  </si>
  <si>
    <t>9</t>
  </si>
  <si>
    <t>Summarize final blueprint before Phase 4 build.</t>
  </si>
  <si>
    <t>Final Blueprint Summary</t>
  </si>
  <si>
    <t>Color logic: Grey = fixed guidance, Green = fill during design workshop, Blue = PM/technical decision, Yellow = warning/boundary notes.</t>
  </si>
  <si>
    <t>We planned this PM flow:</t>
  </si>
  <si>
    <t>Phase 1 — Discovery / Analysis</t>
  </si>
  <si>
    <t>Understand client needs, channels, risks, pain points, possible package direction.</t>
  </si>
  <si>
    <t>Phase 2 — Scope Definition / MVP Design</t>
  </si>
  <si>
    <t>Convert discovery answers into a clear first project scope.</t>
  </si>
  <si>
    <t>Design workflow logic, tools, data fields, routing, approvals, security.</t>
  </si>
  <si>
    <t>Phase 4 — MVP Build</t>
  </si>
  <si>
    <t>Build the first safe automation version.</t>
  </si>
  <si>
    <t>Phase 5 — Testing / Validation</t>
  </si>
  <si>
    <t>Test real cases, edge cases, errors, wrong classifications, approvals.</t>
  </si>
  <si>
    <t>Phase 6 — Go-live / Managed Service</t>
  </si>
  <si>
    <t>Launch, monitor, maintain, improve, report.</t>
  </si>
  <si>
    <t>Phase 3 Progress (auto-computed)</t>
  </si>
  <si>
    <t>Workflow Blueprint — by Build Status</t>
  </si>
  <si>
    <t>Status</t>
  </si>
  <si>
    <t>Meaning</t>
  </si>
  <si>
    <t>Count</t>
  </si>
  <si>
    <t>Draft</t>
  </si>
  <si>
    <t>Designed but not yet approved.</t>
  </si>
  <si>
    <t>Approved</t>
  </si>
  <si>
    <t>Approved and ready for build.</t>
  </si>
  <si>
    <t>Later</t>
  </si>
  <si>
    <t>Deferred to a later phase.</t>
  </si>
  <si>
    <t>Blocked</t>
  </si>
  <si>
    <t>Blocked — needs resolution.</t>
  </si>
  <si>
    <t>Done</t>
  </si>
  <si>
    <t>Build complete.</t>
  </si>
  <si>
    <t>Workflow Blueprint — by Completeness (col L)</t>
  </si>
  <si>
    <t>Empty</t>
  </si>
  <si>
    <t>No fields filled.</t>
  </si>
  <si>
    <t>Partial</t>
  </si>
  <si>
    <t>Some required fields still missing.</t>
  </si>
  <si>
    <t>Complete</t>
  </si>
  <si>
    <t>All required fields filled.</t>
  </si>
  <si>
    <t>Security &amp; Access — Required Before Build</t>
  </si>
  <si>
    <t>Yes</t>
  </si>
  <si>
    <t>Decision finalized.</t>
  </si>
  <si>
    <t>No</t>
  </si>
  <si>
    <t>Not required to lock before build.</t>
  </si>
  <si>
    <t>Deferred.</t>
  </si>
  <si>
    <t>Final Blueprint Summary — Approved</t>
  </si>
  <si>
    <t>Section signed off.</t>
  </si>
  <si>
    <t>Partly signed off.</t>
  </si>
  <si>
    <t>Not yet signed off.</t>
  </si>
  <si>
    <t>Ready for Phase 4 build when (a) every Workflow Blueprint row is 'Complete' and 'Approved', (b) every Security &amp; Access row is 'Yes', and (c) the Final Blueprint Summary sections are all 'Yes'.</t>
  </si>
  <si>
    <t>Workflow Step Designer — one step at a time</t>
  </si>
  <si>
    <t>Use this when designing a single workflow step on the Workflow Blueprint and you're unsure about automation type, tool, approval rule, or risk. Fill the 6 yellow inputs; the blue cells suggest the design choices. PM judgment still final.</t>
  </si>
  <si>
    <t>INPUTS — about this one step</t>
  </si>
  <si>
    <t>#</t>
  </si>
  <si>
    <t>Question</t>
  </si>
  <si>
    <t>Allowed values</t>
  </si>
  <si>
    <t>Answer</t>
  </si>
  <si>
    <t>Q1</t>
  </si>
  <si>
    <t>Q1. Step purpose</t>
  </si>
  <si>
    <t>Intake / Normalize / Classify / Route / Log / Draft reply / Send / Escalate / Monitor / Extract / Validate / Enrich / Generate content / Publish / Approve / Other</t>
  </si>
  <si>
    <t>Classify</t>
  </si>
  <si>
    <t>Q2</t>
  </si>
  <si>
    <t>Q2. Involves sensitive data? (health/legal/financial/emotional)</t>
  </si>
  <si>
    <t>Yes / No / Sometimes</t>
  </si>
  <si>
    <t>Q3</t>
  </si>
  <si>
    <t>Q3. Consequence if this step fails or acts wrongly</t>
  </si>
  <si>
    <t>Low (annoyance) / Medium (lost lead) / High (legal/trust)</t>
  </si>
  <si>
    <t>Medium</t>
  </si>
  <si>
    <t>Q4</t>
  </si>
  <si>
    <t>Q4. AI involvement in this step</t>
  </si>
  <si>
    <t>None / Classify only / Generate content / Take action</t>
  </si>
  <si>
    <t>Classify only</t>
  </si>
  <si>
    <t>Q5</t>
  </si>
  <si>
    <t>Q5. Reversibility of the action</t>
  </si>
  <si>
    <t>Reversible / One-way (cannot undo)</t>
  </si>
  <si>
    <t>Reversible</t>
  </si>
  <si>
    <t>Q6</t>
  </si>
  <si>
    <t>Q6. Expected volume / frequency</t>
  </si>
  <si>
    <t>Low / Medium / High</t>
  </si>
  <si>
    <t>SUGGESTED DESIGN (auto-calculated)</t>
  </si>
  <si>
    <t>Indicator</t>
  </si>
  <si>
    <t>Suggested Value (formula)</t>
  </si>
  <si>
    <t>Reasoning hint</t>
  </si>
  <si>
    <t>O1</t>
  </si>
  <si>
    <t>Suggested Automation Type</t>
  </si>
  <si>
    <t>Take action → Agentic; Monitor → Managed; None → Traditional; otherwise AI.</t>
  </si>
  <si>
    <t>O2</t>
  </si>
  <si>
    <t>Suggested Tool Family</t>
  </si>
  <si>
    <t>Lookup by step purpose. Names match the Tool Stack sheet conventions.</t>
  </si>
  <si>
    <t>O3</t>
  </si>
  <si>
    <t>Suggested Approval Rule</t>
  </si>
  <si>
    <t>Sensitive / High consequence / One-way → Always. Send/Escalate → Required.</t>
  </si>
  <si>
    <t>O4</t>
  </si>
  <si>
    <t>Risk Level</t>
  </si>
  <si>
    <t>Sensitive or High-consequence elevate. One-way + AI = High.</t>
  </si>
  <si>
    <t>O5</t>
  </si>
  <si>
    <t>Top Boundary Note</t>
  </si>
  <si>
    <t>The single biggest caution to record in the Workflow Blueprint Risk/Boundary column.</t>
  </si>
  <si>
    <t>How to use this with the Workflow Blueprint:</t>
  </si>
  <si>
    <t xml:space="preserve">  1) Fill the 6 yellow inputs for ONE step you're designing.</t>
  </si>
  <si>
    <t xml:space="preserve">  2) Read the 5 blue suggestions.</t>
  </si>
  <si>
    <t xml:space="preserve">  3) Transfer the values into the matching row of Workflow Blueprint (Automation Type → col E; Tool → col D; Approval → col H; Risk → col J).</t>
  </si>
  <si>
    <t xml:space="preserve">  4) Use Routing Rules + Approval &amp; Escalation sheets for category-level rules afterwards.</t>
  </si>
  <si>
    <t>Caveat: this is decision support. Local context (client constraints, existing tools, contractual scope) overrides whenever it changes the picture.</t>
  </si>
  <si>
    <t>Phase 2 → Phase 3 Handoff</t>
  </si>
  <si>
    <t>Use this sheet to transfer the final MVP scope and decisions into the blueprint design phase.</t>
  </si>
  <si>
    <t>Item</t>
  </si>
  <si>
    <t>Phase 2 Decision / Input (EDIT)</t>
  </si>
  <si>
    <t>Blueprint Impact (POST)</t>
  </si>
  <si>
    <t>Open Question</t>
  </si>
  <si>
    <t>Owner</t>
  </si>
  <si>
    <t>MVP goal</t>
  </si>
  <si>
    <t>Classify Gmail + website inquiries, route them, log in CRM, prepare human-approved drafts.</t>
  </si>
  <si>
    <t>Determines core workflow modules.</t>
  </si>
  <si>
    <t>PM</t>
  </si>
  <si>
    <t>Included channels</t>
  </si>
  <si>
    <t>Gmail, website form</t>
  </si>
  <si>
    <t>Only these channels designed in MVP workflow.</t>
  </si>
  <si>
    <t>Excluded / later channels</t>
  </si>
  <si>
    <t>Instagram later</t>
  </si>
  <si>
    <t>Do not build Meta API in Phase 4 MVP.</t>
  </si>
  <si>
    <t>Check API feasibility later.</t>
  </si>
  <si>
    <t>Included categories</t>
  </si>
  <si>
    <t>Booking, price question, lead, spam, complaint</t>
  </si>
  <si>
    <t>Routing rules needed for each category.</t>
  </si>
  <si>
    <t>Human approval rule</t>
  </si>
  <si>
    <t>All replies require approval.</t>
  </si>
  <si>
    <t>Draft only; no automatic send module.</t>
  </si>
  <si>
    <t>Risk boundary</t>
  </si>
  <si>
    <t>Sensitive content escalated; AI gives no advice.</t>
  </si>
  <si>
    <t>Escalation route + safety prompt needed.</t>
  </si>
  <si>
    <t>Package direction</t>
  </si>
  <si>
    <t>Basic / Pro mix</t>
  </si>
  <si>
    <t>Simple build with AI classification and drafts.</t>
  </si>
  <si>
    <t>Design the exact automation flow. This is the main Phase 3 working sheet.</t>
  </si>
  <si>
    <t>Step No.</t>
  </si>
  <si>
    <t>Process Step</t>
  </si>
  <si>
    <t>Trigger / Input</t>
  </si>
  <si>
    <t>Tool / Module Candidate</t>
  </si>
  <si>
    <t>Traditional / AI / Agentic</t>
  </si>
  <si>
    <t>Action Logic</t>
  </si>
  <si>
    <t>Data Used / Created</t>
  </si>
  <si>
    <t>Human Control</t>
  </si>
  <si>
    <t>Output</t>
  </si>
  <si>
    <t>Risk / Boundary</t>
  </si>
  <si>
    <t>Build Status</t>
  </si>
  <si>
    <t>Completeness Status (AUTO)</t>
  </si>
  <si>
    <t>Receive inquiry</t>
  </si>
  <si>
    <t>Website form submitted or email received</t>
  </si>
  <si>
    <t>Webhook / Gmail / IMAP</t>
  </si>
  <si>
    <t>Traditional</t>
  </si>
  <si>
    <t>Capture message and metadata.</t>
  </si>
  <si>
    <t>sender, subject, message, timestamp, message_id</t>
  </si>
  <si>
    <t>None</t>
  </si>
  <si>
    <t>Normalized inquiry object</t>
  </si>
  <si>
    <t>Do not lose original message.</t>
  </si>
  <si>
    <t>Normalize data</t>
  </si>
  <si>
    <t>Raw email/form payload</t>
  </si>
  <si>
    <t>Make tools / formatter</t>
  </si>
  <si>
    <t>Map fields into standard format.</t>
  </si>
  <si>
    <t>channel, sender, content, source_id</t>
  </si>
  <si>
    <t>Clean input object</t>
  </si>
  <si>
    <t>Missing fields go to error route.</t>
  </si>
  <si>
    <t>Classify message</t>
  </si>
  <si>
    <t>Normalized inquiry</t>
  </si>
  <si>
    <t>OpenAI / Make AI tools</t>
  </si>
  <si>
    <t>AI</t>
  </si>
  <si>
    <t>Classify into approved taxonomy with confidence and reason.</t>
  </si>
  <si>
    <t>classification, confidence, urgency</t>
  </si>
  <si>
    <t>Review if low confidence.</t>
  </si>
  <si>
    <t>Classification JSON</t>
  </si>
  <si>
    <t>No advice; classify only.</t>
  </si>
  <si>
    <t>Route by category</t>
  </si>
  <si>
    <t>Classification result</t>
  </si>
  <si>
    <t>Router</t>
  </si>
  <si>
    <t>Send message to matching route.</t>
  </si>
  <si>
    <t>classification, urgency</t>
  </si>
  <si>
    <t>Human review for sensitive cases.</t>
  </si>
  <si>
    <t>Selected route</t>
  </si>
  <si>
    <t>Unknown category goes to Human Review.</t>
  </si>
  <si>
    <t>Log in CRM</t>
  </si>
  <si>
    <t>Routed inquiry</t>
  </si>
  <si>
    <t>Notion/Airtable/HubSpot</t>
  </si>
  <si>
    <t>Create or update record.</t>
  </si>
  <si>
    <t>all key fields + status</t>
  </si>
  <si>
    <t>Owner assigned</t>
  </si>
  <si>
    <t>CRM record</t>
  </si>
  <si>
    <t>Store minimum needed data.</t>
  </si>
  <si>
    <t>Prepare draft reply</t>
  </si>
  <si>
    <t>Safe categories only</t>
  </si>
  <si>
    <t>OpenAI / Gmail draft</t>
  </si>
  <si>
    <t>Generate short reply draft from approved rules/FAQ.</t>
  </si>
  <si>
    <t>message, category, business rules</t>
  </si>
  <si>
    <t>Human approval required</t>
  </si>
  <si>
    <t>Draft email/message</t>
  </si>
  <si>
    <t>No automatic sending in MVP.</t>
  </si>
  <si>
    <t>Escalate sensitive/urgent</t>
  </si>
  <si>
    <t>Urgency or sensitive flag</t>
  </si>
  <si>
    <t>Email/Slack/SMS notification</t>
  </si>
  <si>
    <t>Notify owner immediately.</t>
  </si>
  <si>
    <t>classification, reason, source link</t>
  </si>
  <si>
    <t>Human must handle</t>
  </si>
  <si>
    <t>Escalation notification</t>
  </si>
  <si>
    <t>No AI advice.</t>
  </si>
  <si>
    <t>Monitor result</t>
  </si>
  <si>
    <t>Scenario completed or failed</t>
  </si>
  <si>
    <t>Make logs / audit table</t>
  </si>
  <si>
    <t>Managed</t>
  </si>
  <si>
    <t>Write action log and notify on errors.</t>
  </si>
  <si>
    <t>run_id, status, error</t>
  </si>
  <si>
    <t>PM/service owner checks</t>
  </si>
  <si>
    <t>Audit record</t>
  </si>
  <si>
    <t>No silent failures.</t>
  </si>
  <si>
    <t>[Doc Processing] Receive document</t>
  </si>
  <si>
    <t>Document arrives by email or upload (PDF / form / attachment)</t>
  </si>
  <si>
    <t>Email connector / file handler / webhook</t>
  </si>
  <si>
    <t>Capture document and sender metadata; store original unmodified.</t>
  </si>
  <si>
    <t>document_id, sender, filename, format, received_at</t>
  </si>
  <si>
    <t>Raw document object with metadata</t>
  </si>
  <si>
    <t>Preserve original; do not transform before extraction step.</t>
  </si>
  <si>
    <t>[Doc Processing] Extract structured fields</t>
  </si>
  <si>
    <t>Raw document (PDF / image / form)</t>
  </si>
  <si>
    <t>AI API (document parser / OCR / field extractor)</t>
  </si>
  <si>
    <t>Extract defined fields (e.g., invoice total, date, supplier name, line items).</t>
  </si>
  <si>
    <t>extracted_fields, confidence_score, document_id</t>
  </si>
  <si>
    <t>Flag low-confidence extractions for human review.</t>
  </si>
  <si>
    <t>Structured data object</t>
  </si>
  <si>
    <t>Define expected fields before build; mandatory error route for missing required fields.</t>
  </si>
  <si>
    <t>[Doc Processing] Validate extracted data</t>
  </si>
  <si>
    <t>Structured data object from extraction step</t>
  </si>
  <si>
    <t>Validation module (Make / n8n / custom rule logic)</t>
  </si>
  <si>
    <t>Check required fields present, format valid, values within expected range.</t>
  </si>
  <si>
    <t>validation_result, error_list, document_id</t>
  </si>
  <si>
    <t>Human review required for all validation failures.</t>
  </si>
  <si>
    <t>Validated record or flagged exception</t>
  </si>
  <si>
    <t>Never post a failed record to downstream system without human confirmation.</t>
  </si>
  <si>
    <t>[Doc Processing] Log to destination system</t>
  </si>
  <si>
    <t>Validated record</t>
  </si>
  <si>
    <t>CRM / Spreadsheet / Accounting connector</t>
  </si>
  <si>
    <t>Write confirmed record to target system; update status.</t>
  </si>
  <si>
    <t>all extracted fields, validation_status, write_timestamp</t>
  </si>
  <si>
    <t>Human confirms before posting financial data.</t>
  </si>
  <si>
    <t>Logged entry in target system</t>
  </si>
  <si>
    <t>Confirm before any financial write; log write result for audit.</t>
  </si>
  <si>
    <t>[Doc Processing] Notify on exceptions</t>
  </si>
  <si>
    <t>Validation failure or extraction error</t>
  </si>
  <si>
    <t>Email / Slack notification</t>
  </si>
  <si>
    <t>Alert owner of failed extractions, missing fields, or data mismatches.</t>
  </si>
  <si>
    <t>document_id, error_list, exception_type, sender</t>
  </si>
  <si>
    <t>Human must resolve all exceptions before data is used.</t>
  </si>
  <si>
    <t>Exception notification sent</t>
  </si>
  <si>
    <t>No silent failures; every exception logged and notified.</t>
  </si>
  <si>
    <t>[Content &amp; Mktg] Receive source content</t>
  </si>
  <si>
    <t>Client submits long-form post, article, or raw transcript</t>
  </si>
  <si>
    <t>Email / form / shared drive connector</t>
  </si>
  <si>
    <t>Capture source text and context (platform targets, tone guide reference).</t>
  </si>
  <si>
    <t>source_text, target_platforms, tone_guide_ref, content_id</t>
  </si>
  <si>
    <t>Source content object</t>
  </si>
  <si>
    <t>Validate source content is present and non-empty before triggering AI steps.</t>
  </si>
  <si>
    <t>[Content &amp; Mktg] Generate platform-specific drafts</t>
  </si>
  <si>
    <t>Source content object + tone guide</t>
  </si>
  <si>
    <t>AI API (OpenAI / Anthropic / Make AI)</t>
  </si>
  <si>
    <t>Generate adapted draft for each target platform respecting character limits and tone guide.</t>
  </si>
  <si>
    <t>source_text, platform, tone_guide, character_limits, content_id</t>
  </si>
  <si>
    <t>Human reviews all drafts before any publishing action.</t>
  </si>
  <si>
    <t>Draft posts per platform</t>
  </si>
  <si>
    <t>No auto-publish; generate only; human must approve every post before it goes live.</t>
  </si>
  <si>
    <t>[Content &amp; Mktg] Human review and approval</t>
  </si>
  <si>
    <t>CRM / email draft / approval channel</t>
  </si>
  <si>
    <t>Present drafts to owner for review; record approval or edit request per draft.</t>
  </si>
  <si>
    <t>draft_id, review_status, reviewer, edited_content</t>
  </si>
  <si>
    <t>Owner must explicitly approve or reject each draft before proceeding.</t>
  </si>
  <si>
    <t>Approval decision per draft</t>
  </si>
  <si>
    <t>Never proceed to publish without explicit approval; track rejection reasons.</t>
  </si>
  <si>
    <t>[Content &amp; Mktg] Publish approved content</t>
  </si>
  <si>
    <t>Approved draft + scheduling metadata</t>
  </si>
  <si>
    <t>CMS / Social / Newsletter connector (scheduling tool)</t>
  </si>
  <si>
    <t>Publish or schedule approved content to target platform at specified time.</t>
  </si>
  <si>
    <t>draft_id, platform, scheduled_at, published_at</t>
  </si>
  <si>
    <t>Post-publish confirmation recommended.</t>
  </si>
  <si>
    <t>Published post reference</t>
  </si>
  <si>
    <t>Log post ID and timestamp; alert immediately on publish failure.</t>
  </si>
  <si>
    <t>[Content &amp; Mktg] Log to content calendar</t>
  </si>
  <si>
    <t>CRM / Spreadsheet / Content calendar tool</t>
  </si>
  <si>
    <t>Record published content in content calendar with full metadata.</t>
  </si>
  <si>
    <t>post_id, platform, published_at, topic, status, content_id</t>
  </si>
  <si>
    <t>Content calendar entry</t>
  </si>
  <si>
    <t>Maintain complete audit trail for all published content.</t>
  </si>
  <si>
    <t>[Finance &amp; Admin] Trigger from accounting data source</t>
  </si>
  <si>
    <t>Scheduled export from accounting tool (Bexio / Banana / CSV file)</t>
  </si>
  <si>
    <t>Email / file connector / API polling</t>
  </si>
  <si>
    <t>Receive periodic data export; parse overdue or pending records.</t>
  </si>
  <si>
    <t>export_date, record_id, amount, due_date, client_ref, status</t>
  </si>
  <si>
    <t>Parsed record list</t>
  </si>
  <si>
    <t>Validate file format and expected fields before processing; reject malformed exports.</t>
  </si>
  <si>
    <t>[Finance &amp; Admin] Identify actionable records</t>
  </si>
  <si>
    <t>Filter / router module (Make / n8n)</t>
  </si>
  <si>
    <t>Apply business rules to flag overdue invoices, missing data, or exception conditions.</t>
  </si>
  <si>
    <t>record_id, days_overdue, exception_type, action_required</t>
  </si>
  <si>
    <t>PM reviews and approves rule set before automation runs.</t>
  </si>
  <si>
    <t>Filtered action list</t>
  </si>
  <si>
    <t>Business rules must be approved before automation runs; define edge cases explicitly.</t>
  </si>
  <si>
    <t>[Finance &amp; Admin] Send reminder or alert</t>
  </si>
  <si>
    <t>Email connector / notification tool</t>
  </si>
  <si>
    <t>Send templated reminder to client or internal alert to owner; log send result.</t>
  </si>
  <si>
    <t>record_id, recipient, template_used, send_timestamp</t>
  </si>
  <si>
    <t>PM approves first run; conditional auto-send after confirmed stable.</t>
  </si>
  <si>
    <t>Reminder sent + send log</t>
  </si>
  <si>
    <t>No payment processing; reminder only; log every send event.</t>
  </si>
  <si>
    <t>[Finance &amp; Admin] Log action and result</t>
  </si>
  <si>
    <t>Reminder sent or exception flagged</t>
  </si>
  <si>
    <t>CRM / Spreadsheet / Audit log connector</t>
  </si>
  <si>
    <t>Record action taken, result, and any follow-up required.</t>
  </si>
  <si>
    <t>record_id, action_taken, result, timestamp, follow_up_needed</t>
  </si>
  <si>
    <t>Audit log entry</t>
  </si>
  <si>
    <t>Maintain complete record of all finance-related automation actions.</t>
  </si>
  <si>
    <t>Define the fields that must be captured, created, transformed, stored, or passed to tools.</t>
  </si>
  <si>
    <t>Field Name</t>
  </si>
  <si>
    <t>Source</t>
  </si>
  <si>
    <t>Example Value</t>
  </si>
  <si>
    <t>Required?</t>
  </si>
  <si>
    <t>Used By</t>
  </si>
  <si>
    <t>Stored Where</t>
  </si>
  <si>
    <t>Retention / Privacy Note</t>
  </si>
  <si>
    <t>Owner / Decision</t>
  </si>
  <si>
    <t>source_channel</t>
  </si>
  <si>
    <t>Webhook/Gmail</t>
  </si>
  <si>
    <t>gmail / website_form</t>
  </si>
  <si>
    <t>Routing, CRM, reports</t>
  </si>
  <si>
    <t>CRM + audit log</t>
  </si>
  <si>
    <t>Non-sensitive operational field.</t>
  </si>
  <si>
    <t>source_message_id</t>
  </si>
  <si>
    <t>Gmail/Form</t>
  </si>
  <si>
    <t>email UID or form submission ID</t>
  </si>
  <si>
    <t>Correlation, audit, deduplication</t>
  </si>
  <si>
    <t>Important to avoid moving wrong email.</t>
  </si>
  <si>
    <t>sender_name</t>
  </si>
  <si>
    <t>Message payload</t>
  </si>
  <si>
    <t>Anna Müller</t>
  </si>
  <si>
    <t>Optional</t>
  </si>
  <si>
    <t>CRM, draft reply</t>
  </si>
  <si>
    <t>CRM</t>
  </si>
  <si>
    <t>Personal data; store only if needed.</t>
  </si>
  <si>
    <t>sender_email</t>
  </si>
  <si>
    <t>anna@example.com</t>
  </si>
  <si>
    <t>Yes for email</t>
  </si>
  <si>
    <t>Reply, CRM</t>
  </si>
  <si>
    <t>Personal data; limit access.</t>
  </si>
  <si>
    <t>subject</t>
  </si>
  <si>
    <t>Email/form</t>
  </si>
  <si>
    <t>Booking request</t>
  </si>
  <si>
    <t>Classification, CRM</t>
  </si>
  <si>
    <t>May contain personal data.</t>
  </si>
  <si>
    <t>message_body</t>
  </si>
  <si>
    <t>I would like to book...</t>
  </si>
  <si>
    <t>Classification, draft</t>
  </si>
  <si>
    <t>CRM or limited log</t>
  </si>
  <si>
    <t>Potentially sensitive; define retention.</t>
  </si>
  <si>
    <t>classification</t>
  </si>
  <si>
    <t>AI output</t>
  </si>
  <si>
    <t>BOOKING_REQUEST</t>
  </si>
  <si>
    <t>Router, reports</t>
  </si>
  <si>
    <t>Internal processing field.</t>
  </si>
  <si>
    <t>confidence</t>
  </si>
  <si>
    <t>0.87</t>
  </si>
  <si>
    <t>Fallback rule</t>
  </si>
  <si>
    <t>Use threshold for review.</t>
  </si>
  <si>
    <t>urgency</t>
  </si>
  <si>
    <t>AI output/rules</t>
  </si>
  <si>
    <t>normal / urgent</t>
  </si>
  <si>
    <t>Escalation</t>
  </si>
  <si>
    <t>Urgent must notify human.</t>
  </si>
  <si>
    <t>status</t>
  </si>
  <si>
    <t>Workflow</t>
  </si>
  <si>
    <t>Pending Approval</t>
  </si>
  <si>
    <t>CRM workflow</t>
  </si>
  <si>
    <t>Operational status.</t>
  </si>
  <si>
    <t>Define what happens to each category/classification.</t>
  </si>
  <si>
    <t>Category</t>
  </si>
  <si>
    <t>Definition</t>
  </si>
  <si>
    <t>Example Message</t>
  </si>
  <si>
    <t>Allowed Automation</t>
  </si>
  <si>
    <t>Human Approval?</t>
  </si>
  <si>
    <t>Destination / Status</t>
  </si>
  <si>
    <t>Auto Reply Allowed?</t>
  </si>
  <si>
    <t>Fallback Rule</t>
  </si>
  <si>
    <t>Notes</t>
  </si>
  <si>
    <t>User wants to book appointment/service.</t>
  </si>
  <si>
    <t>Do you have free time next week?</t>
  </si>
  <si>
    <t>Classify + draft reply + create CRM item</t>
  </si>
  <si>
    <t>No in MVP</t>
  </si>
  <si>
    <t>If unclear → Human Review</t>
  </si>
  <si>
    <t>PRICE_QUESTION</t>
  </si>
  <si>
    <t>User asks price/cost/package.</t>
  </si>
  <si>
    <t>How much does it cost?</t>
  </si>
  <si>
    <t>Classify + draft approved FAQ reply</t>
  </si>
  <si>
    <t>If service unclear → Human Review</t>
  </si>
  <si>
    <t>LEAD</t>
  </si>
  <si>
    <t>Potential business opportunity/customer.</t>
  </si>
  <si>
    <t>I want to buy/use your service.</t>
  </si>
  <si>
    <t>Classify + CRM item + notify owner</t>
  </si>
  <si>
    <t>Lead Review</t>
  </si>
  <si>
    <t>If uncertain → Human Review</t>
  </si>
  <si>
    <t>COMPLAINT</t>
  </si>
  <si>
    <t>Negative feedback or issue.</t>
  </si>
  <si>
    <t>I am not satisfied...</t>
  </si>
  <si>
    <t>Classify + escalate</t>
  </si>
  <si>
    <t>Escalated</t>
  </si>
  <si>
    <t>Always human</t>
  </si>
  <si>
    <t>SENSITIVE</t>
  </si>
  <si>
    <t>Health/legal/financial/private issue.</t>
  </si>
  <si>
    <t>I feel very bad and need advice...</t>
  </si>
  <si>
    <t>Classify + urgent/human route only</t>
  </si>
  <si>
    <t>Human Review / Urgent</t>
  </si>
  <si>
    <t>No AI advice</t>
  </si>
  <si>
    <t>SPAM</t>
  </si>
  <si>
    <t>Marketing, scam, irrelevant.</t>
  </si>
  <si>
    <t>Buy followers now</t>
  </si>
  <si>
    <t>Classify + move to spam-review</t>
  </si>
  <si>
    <t>No, but review initially</t>
  </si>
  <si>
    <t>Spam Review</t>
  </si>
  <si>
    <t>Never delete in MVP</t>
  </si>
  <si>
    <t>TEST</t>
  </si>
  <si>
    <t>Internal testing.</t>
  </si>
  <si>
    <t>test message</t>
  </si>
  <si>
    <t>Classify + move test folder</t>
  </si>
  <si>
    <t>Test</t>
  </si>
  <si>
    <t>Keep test log</t>
  </si>
  <si>
    <t>Define tools, ownership, credentials, and purpose. This supports safe implementation in Phase 4.</t>
  </si>
  <si>
    <t>Function</t>
  </si>
  <si>
    <t>Preferred Tool</t>
  </si>
  <si>
    <t>Alternative Tool</t>
  </si>
  <si>
    <t>Account Owner</t>
  </si>
  <si>
    <t>Credential Storage</t>
  </si>
  <si>
    <t>Used For</t>
  </si>
  <si>
    <t>MVP Required?</t>
  </si>
  <si>
    <t>Risk / Note</t>
  </si>
  <si>
    <t>Workflow orchestration</t>
  </si>
  <si>
    <t>Make.com</t>
  </si>
  <si>
    <t>n8n / Zapier</t>
  </si>
  <si>
    <t>You or client workspace</t>
  </si>
  <si>
    <t>Make connections/keychain</t>
  </si>
  <si>
    <t>Scenario logic</t>
  </si>
  <si>
    <t>Avoid hardcoded secrets.</t>
  </si>
  <si>
    <t>Email intake</t>
  </si>
  <si>
    <t>Gmail / IMAP</t>
  </si>
  <si>
    <t>Outlook</t>
  </si>
  <si>
    <t>Client</t>
  </si>
  <si>
    <t>OAuth/IMAP connection</t>
  </si>
  <si>
    <t>Receive and route emails</t>
  </si>
  <si>
    <t>Client should own mailbox.</t>
  </si>
  <si>
    <t>Website form intake</t>
  </si>
  <si>
    <t>Webhook</t>
  </si>
  <si>
    <t>Form plugin</t>
  </si>
  <si>
    <t>Client/site owner</t>
  </si>
  <si>
    <t>Webhook URL</t>
  </si>
  <si>
    <t>Receive form submissions</t>
  </si>
  <si>
    <t>Use correlation ID.</t>
  </si>
  <si>
    <t>AI classification</t>
  </si>
  <si>
    <t>OpenAI</t>
  </si>
  <si>
    <t>Make AI / Anthropic</t>
  </si>
  <si>
    <t>You/service account or client</t>
  </si>
  <si>
    <t>Connection/secret, not raw header</t>
  </si>
  <si>
    <t>Classify and draft</t>
  </si>
  <si>
    <t>Rotate exposed keys.</t>
  </si>
  <si>
    <t>CRM/logging</t>
  </si>
  <si>
    <t>Notion</t>
  </si>
  <si>
    <t>Airtable / HubSpot</t>
  </si>
  <si>
    <t>Client or shared workspace</t>
  </si>
  <si>
    <t>OAuth connection</t>
  </si>
  <si>
    <t>Track inquiries</t>
  </si>
  <si>
    <t>Access control needed.</t>
  </si>
  <si>
    <t>Booking</t>
  </si>
  <si>
    <t>Calendly / Google Calendar</t>
  </si>
  <si>
    <t>Acuity</t>
  </si>
  <si>
    <t>Booking link/slots</t>
  </si>
  <si>
    <t>Later/Maybe</t>
  </si>
  <si>
    <t>Agentic actions need approval.</t>
  </si>
  <si>
    <t>Notifications</t>
  </si>
  <si>
    <t>Email / Slack</t>
  </si>
  <si>
    <t>Telegram</t>
  </si>
  <si>
    <t>Client/team</t>
  </si>
  <si>
    <t>Connection</t>
  </si>
  <si>
    <t>Escalations/errors</t>
  </si>
  <si>
    <t>Urgent route must work.</t>
  </si>
  <si>
    <t>Define where human control is mandatory and how escalations are handled.</t>
  </si>
  <si>
    <t>Situation</t>
  </si>
  <si>
    <t>AI Allowed?</t>
  </si>
  <si>
    <t>Draft Allowed?</t>
  </si>
  <si>
    <t>Auto-send Allowed?</t>
  </si>
  <si>
    <t>Human Owner</t>
  </si>
  <si>
    <t>Approval Channel</t>
  </si>
  <si>
    <t>Escalation Time</t>
  </si>
  <si>
    <t>Final Rule</t>
  </si>
  <si>
    <t>Normal booking request</t>
  </si>
  <si>
    <t>Yes, classify</t>
  </si>
  <si>
    <t>Business owner</t>
  </si>
  <si>
    <t>CRM/Gmail draft</t>
  </si>
  <si>
    <t>Same day</t>
  </si>
  <si>
    <t>Human approves before send.</t>
  </si>
  <si>
    <t>Price/FAQ question</t>
  </si>
  <si>
    <t>Yes, from approved FAQ</t>
  </si>
  <si>
    <t>Complaint</t>
  </si>
  <si>
    <t>Classification only</t>
  </si>
  <si>
    <t>No or very limited</t>
  </si>
  <si>
    <t>Email/phone alert</t>
  </si>
  <si>
    <t>Immediate/priority</t>
  </si>
  <si>
    <t>Human handles.</t>
  </si>
  <si>
    <t>Sensitive personal content</t>
  </si>
  <si>
    <t>No advice</t>
  </si>
  <si>
    <t>Urgent alert</t>
  </si>
  <si>
    <t>Immediate</t>
  </si>
  <si>
    <t>Escalate; no AI advice.</t>
  </si>
  <si>
    <t>Low confidence classification</t>
  </si>
  <si>
    <t>No until reviewed</t>
  </si>
  <si>
    <t>Business owner/PM</t>
  </si>
  <si>
    <t>Human Review queue</t>
  </si>
  <si>
    <t>Next review cycle</t>
  </si>
  <si>
    <t>Fallback to human review.</t>
  </si>
  <si>
    <t>Automation error</t>
  </si>
  <si>
    <t>Service owner</t>
  </si>
  <si>
    <t>Error notification</t>
  </si>
  <si>
    <t>Immediate/next business hour</t>
  </si>
  <si>
    <t>Stop risky action; log error.</t>
  </si>
  <si>
    <t>Define access, credentials, privacy, logging, and retention before build.</t>
  </si>
  <si>
    <t>Control Area</t>
  </si>
  <si>
    <t>Design Decision</t>
  </si>
  <si>
    <t>Recommended Rule</t>
  </si>
  <si>
    <t>Client Decision / Notes (EDIT)</t>
  </si>
  <si>
    <t>Required Before Build?</t>
  </si>
  <si>
    <t>API keys</t>
  </si>
  <si>
    <t>No hardcoded keys in scenarios/exports.</t>
  </si>
  <si>
    <t>Use Make connections/keychain or secure backend.</t>
  </si>
  <si>
    <t>High</t>
  </si>
  <si>
    <t>Client accounts</t>
  </si>
  <si>
    <t>Client owns Gmail, calendar, social accounts.</t>
  </si>
  <si>
    <t>Use granted access/OAuth where possible.</t>
  </si>
  <si>
    <t>Scenario access</t>
  </si>
  <si>
    <t>Limit who can edit production scenarios.</t>
  </si>
  <si>
    <t>Only service owner/admins.</t>
  </si>
  <si>
    <t>Data minimization</t>
  </si>
  <si>
    <t>Store only necessary fields.</t>
  </si>
  <si>
    <t>Avoid storing sensitive message body unless needed.</t>
  </si>
  <si>
    <t>Retention</t>
  </si>
  <si>
    <t>Define how long logs/messages stay in CRM.</t>
  </si>
  <si>
    <t>Set client-specific retention rule.</t>
  </si>
  <si>
    <t>Exports</t>
  </si>
  <si>
    <t>Do not export/share blueprints with secrets.</t>
  </si>
  <si>
    <t>Sanitize before sharing.</t>
  </si>
  <si>
    <t>Audit log</t>
  </si>
  <si>
    <t>Track actions taken by automation.</t>
  </si>
  <si>
    <t>Write run_id, action, status, error.</t>
  </si>
  <si>
    <t>Design fallback behavior so automation does not fail silently or take wrong action.</t>
  </si>
  <si>
    <t>Failure / Edge Case</t>
  </si>
  <si>
    <t>Detection Method</t>
  </si>
  <si>
    <t>Fallback Action</t>
  </si>
  <si>
    <t>Notify Whom?</t>
  </si>
  <si>
    <t>Log What?</t>
  </si>
  <si>
    <t>Severity</t>
  </si>
  <si>
    <t>Build Requirement</t>
  </si>
  <si>
    <t>AI API error</t>
  </si>
  <si>
    <t>HTTP error / timeout</t>
  </si>
  <si>
    <t>Send item to Human Review; retry if safe</t>
  </si>
  <si>
    <t>run_id, payload id, error</t>
  </si>
  <si>
    <t>Error route</t>
  </si>
  <si>
    <t>Invalid JSON from AI</t>
  </si>
  <si>
    <t>Parse error</t>
  </si>
  <si>
    <t>Human Review; do not route automatically</t>
  </si>
  <si>
    <t>raw response + message id</t>
  </si>
  <si>
    <t>JSON validation</t>
  </si>
  <si>
    <t>Low confidence</t>
  </si>
  <si>
    <t>confidence &lt; threshold</t>
  </si>
  <si>
    <t>Human Review</t>
  </si>
  <si>
    <t>classification + confidence</t>
  </si>
  <si>
    <t>Threshold rule</t>
  </si>
  <si>
    <t>Unknown category</t>
  </si>
  <si>
    <t>classification not in list</t>
  </si>
  <si>
    <t>category returned</t>
  </si>
  <si>
    <t>Validation list</t>
  </si>
  <si>
    <t>Duplicate message</t>
  </si>
  <si>
    <t>same source_message_id</t>
  </si>
  <si>
    <t>Skip or update existing record</t>
  </si>
  <si>
    <t>None unless repeated</t>
  </si>
  <si>
    <t>dedupe decision</t>
  </si>
  <si>
    <t>Correlation ID</t>
  </si>
  <si>
    <t>CRM write failure</t>
  </si>
  <si>
    <t>API error</t>
  </si>
  <si>
    <t>Retry; email notification</t>
  </si>
  <si>
    <t>record fields + error</t>
  </si>
  <si>
    <t>Retry/error route</t>
  </si>
  <si>
    <t>Email move failure</t>
  </si>
  <si>
    <t>module error</t>
  </si>
  <si>
    <t>Do not mark complete; notify</t>
  </si>
  <si>
    <t>email id + destination</t>
  </si>
  <si>
    <t>Final Phase 3 Blueprint Summary</t>
  </si>
  <si>
    <t>Complete this before starting Phase 4 build.</t>
  </si>
  <si>
    <t>Section</t>
  </si>
  <si>
    <t>Final Decision / Summary (EDIT)</t>
  </si>
  <si>
    <t>Open Issue</t>
  </si>
  <si>
    <t>Approved?</t>
  </si>
  <si>
    <t>Workflow goal</t>
  </si>
  <si>
    <t>Core automation steps</t>
  </si>
  <si>
    <t>Classification taxonomy</t>
  </si>
  <si>
    <t>Routing rules</t>
  </si>
  <si>
    <t>CRM/logging design</t>
  </si>
  <si>
    <t>Human approval rules</t>
  </si>
  <si>
    <t>Security/access decisions</t>
  </si>
  <si>
    <t>Error/fallback handling</t>
  </si>
  <si>
    <t>Ready for Phase 4 build?</t>
  </si>
  <si>
    <t>Blueprint at a Glance (auto-computed)</t>
  </si>
  <si>
    <t>Workflow steps designed</t>
  </si>
  <si>
    <t>Workflow steps — Approved</t>
  </si>
  <si>
    <t>Workflow steps — Done</t>
  </si>
  <si>
    <t>Data fields mapped</t>
  </si>
  <si>
    <t>Routing categories defined</t>
  </si>
  <si>
    <t>Tools selected as MVP-required</t>
  </si>
  <si>
    <t>Tools deferred (Later/Maybe)</t>
  </si>
  <si>
    <t>Approval rules defined</t>
  </si>
  <si>
    <t>Security controls — locked (Required=Yes)</t>
  </si>
  <si>
    <t>Error cases handled</t>
  </si>
  <si>
    <t>Total summary sections approved</t>
  </si>
  <si>
    <t>Dropdown Lists</t>
  </si>
  <si>
    <t>Internal lists used for consistent wording.</t>
  </si>
  <si>
    <t>Maybe</t>
  </si>
  <si>
    <t>Low</t>
  </si>
  <si>
    <t>Automation Type</t>
  </si>
  <si>
    <t>Agentic</t>
  </si>
  <si>
    <t>Package</t>
  </si>
  <si>
    <t>Basic</t>
  </si>
  <si>
    <t>Pro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</si>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</sst>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  <charset val="1"/>
    </font>
    <font>
      <b/>
      <sz val="14"/>
      <color rgb="FFFFFFFF"/>
      <name val="Calibri"/>
      <family val="2"/>
      <charset val="1"/>
    </font>
    <font>
      <i/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AF7"/>
        <bgColor rgb="FFDDEBF7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  <fill>
      <patternFill patternType="solid">
        <fgColor rgb="FFDDEBF7"/>
        <bgColor rgb="FFD9EA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6" fillId="5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/>
    </xf>
    <xf numFmtId="0" fontId="5" fillId="0" borderId="0" xfId="0" applyFont="1" applyAlignment="1">
      <alignment vertical="top" wrapText="1"/>
    </xf>
    <xf numFmtId="0" fontId="5" fillId="3" borderId="0" xfId="0" applyFont="1" applyFill="1" applyAlignment="1">
      <alignment horizontal="center" vertical="center" wrapText="1"/>
    </xf>
    <xf numFmtId="0" fontId="7" fillId="0" borderId="0" xfId="0" applyFont="1"/>
    <xf numFmtId="0" fontId="2" fillId="0" borderId="0" xfId="0" applyFont="1" applyAlignment="1">
      <alignment vertical="top" wrapText="1"/>
    </xf>
    <xf numFmtId="0" fontId="5" fillId="5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wrapText="1"/>
    </xf>
    <xf numFmtId="0" fontId="2" fillId="3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/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top" wrapText="1"/>
    </xf>
    <xf numFmtId="0" fontId="6" fillId="4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6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6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7E6E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HandoffTable" displayName="HandoffTable" ref="A4:F30" totalsRowShown="0">
  <tableColumns count="6">
    <tableColumn id="1" xr3:uid="{00000000-0010-0000-0000-000001000000}" name="Item"/>
    <tableColumn id="2" xr3:uid="{00000000-0010-0000-0000-000002000000}" name="Phase 2 Decision / Input (EDIT)"/>
    <tableColumn id="3" xr3:uid="{00000000-0010-0000-0000-000003000000}" name="Blueprint Impact (POST)"/>
    <tableColumn id="4" xr3:uid="{00000000-0010-0000-0000-000004000000}" name="Open Question"/>
    <tableColumn id="5" xr3:uid="{00000000-0010-0000-0000-000005000000}" name="Owner"/>
    <tableColumn id="6" xr3:uid="{00000000-0010-0000-0000-000006000000}" name="Statu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WorkflowBlueprintTable" displayName="WorkflowBlueprintTable" ref="A4:K40" totalsRowShown="0">
  <tableColumns count="11">
    <tableColumn id="1" xr3:uid="{00000000-0010-0000-0100-000001000000}" name="Step No."/>
    <tableColumn id="2" xr3:uid="{00000000-0010-0000-0100-000002000000}" name="Process Step"/>
    <tableColumn id="3" xr3:uid="{00000000-0010-0000-0100-000003000000}" name="Trigger / Input"/>
    <tableColumn id="4" xr3:uid="{00000000-0010-0000-0100-000004000000}" name="Tool / Module Candidate"/>
    <tableColumn id="5" xr3:uid="{00000000-0010-0000-0100-000005000000}" name="Traditional / AI / Agentic"/>
    <tableColumn id="6" xr3:uid="{00000000-0010-0000-0100-000006000000}" name="Action Logic"/>
    <tableColumn id="7" xr3:uid="{00000000-0010-0000-0100-000007000000}" name="Data Used / Created"/>
    <tableColumn id="8" xr3:uid="{00000000-0010-0000-0100-000008000000}" name="Human Control"/>
    <tableColumn id="9" xr3:uid="{00000000-0010-0000-0100-000009000000}" name="Output"/>
    <tableColumn id="10" xr3:uid="{00000000-0010-0000-0100-00000A000000}" name="Risk / Boundary"/>
    <tableColumn id="11" xr3:uid="{00000000-0010-0000-0100-00000B000000}" name="Build Statu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DataFieldMapTable" displayName="DataFieldMapTable" ref="A4:H50" totalsRowShown="0">
  <tableColumns count="8">
    <tableColumn id="1" xr3:uid="{00000000-0010-0000-0200-000001000000}" name="Field Name"/>
    <tableColumn id="2" xr3:uid="{00000000-0010-0000-0200-000002000000}" name="Source"/>
    <tableColumn id="3" xr3:uid="{00000000-0010-0000-0200-000003000000}" name="Example Value"/>
    <tableColumn id="4" xr3:uid="{00000000-0010-0000-0200-000004000000}" name="Required?"/>
    <tableColumn id="5" xr3:uid="{00000000-0010-0000-0200-000005000000}" name="Used By"/>
    <tableColumn id="6" xr3:uid="{00000000-0010-0000-0200-000006000000}" name="Stored Where"/>
    <tableColumn id="7" xr3:uid="{00000000-0010-0000-0200-000007000000}" name="Retention / Privacy Note"/>
    <tableColumn id="8" xr3:uid="{00000000-0010-0000-0200-000008000000}" name="Owner / Decision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RoutingRulesTable" displayName="RoutingRulesTable" ref="A4:I50" totalsRowShown="0">
  <tableColumns count="9">
    <tableColumn id="1" xr3:uid="{00000000-0010-0000-0300-000001000000}" name="Category"/>
    <tableColumn id="2" xr3:uid="{00000000-0010-0000-0300-000002000000}" name="Definition"/>
    <tableColumn id="3" xr3:uid="{00000000-0010-0000-0300-000003000000}" name="Example Message"/>
    <tableColumn id="4" xr3:uid="{00000000-0010-0000-0300-000004000000}" name="Allowed Automation"/>
    <tableColumn id="5" xr3:uid="{00000000-0010-0000-0300-000005000000}" name="Human Approval?"/>
    <tableColumn id="6" xr3:uid="{00000000-0010-0000-0300-000006000000}" name="Destination / Status"/>
    <tableColumn id="7" xr3:uid="{00000000-0010-0000-0300-000007000000}" name="Auto Reply Allowed?"/>
    <tableColumn id="8" xr3:uid="{00000000-0010-0000-0300-000008000000}" name="Fallback Rule"/>
    <tableColumn id="9" xr3:uid="{00000000-0010-0000-0300-000009000000}" name="Note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ToolStackTable" displayName="ToolStackTable" ref="A4:H40" totalsRowShown="0">
  <tableColumns count="8">
    <tableColumn id="1" xr3:uid="{00000000-0010-0000-0400-000001000000}" name="Function"/>
    <tableColumn id="2" xr3:uid="{00000000-0010-0000-0400-000002000000}" name="Preferred Tool"/>
    <tableColumn id="3" xr3:uid="{00000000-0010-0000-0400-000003000000}" name="Alternative Tool"/>
    <tableColumn id="4" xr3:uid="{00000000-0010-0000-0400-000004000000}" name="Account Owner"/>
    <tableColumn id="5" xr3:uid="{00000000-0010-0000-0400-000005000000}" name="Credential Storage"/>
    <tableColumn id="6" xr3:uid="{00000000-0010-0000-0400-000006000000}" name="Used For"/>
    <tableColumn id="7" xr3:uid="{00000000-0010-0000-0400-000007000000}" name="MVP Required?"/>
    <tableColumn id="8" xr3:uid="{00000000-0010-0000-0400-000008000000}" name="Risk / Note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ApprovalEscalationTable" displayName="ApprovalEscalationTable" ref="A4:H40" totalsRowShown="0">
  <tableColumns count="8">
    <tableColumn id="1" xr3:uid="{00000000-0010-0000-0500-000001000000}" name="Situation"/>
    <tableColumn id="2" xr3:uid="{00000000-0010-0000-0500-000002000000}" name="AI Allowed?"/>
    <tableColumn id="3" xr3:uid="{00000000-0010-0000-0500-000003000000}" name="Draft Allowed?"/>
    <tableColumn id="4" xr3:uid="{00000000-0010-0000-0500-000004000000}" name="Auto-send Allowed?"/>
    <tableColumn id="5" xr3:uid="{00000000-0010-0000-0500-000005000000}" name="Human Owner"/>
    <tableColumn id="6" xr3:uid="{00000000-0010-0000-0500-000006000000}" name="Approval Channel"/>
    <tableColumn id="7" xr3:uid="{00000000-0010-0000-0500-000007000000}" name="Escalation Time"/>
    <tableColumn id="8" xr3:uid="{00000000-0010-0000-0500-000008000000}" name="Final Rule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ecurityAccessTable" displayName="SecurityAccessTable" ref="A4:F40" totalsRowShown="0">
  <tableColumns count="6">
    <tableColumn id="1" xr3:uid="{00000000-0010-0000-0600-000001000000}" name="Control Area"/>
    <tableColumn id="2" xr3:uid="{00000000-0010-0000-0600-000002000000}" name="Design Decision"/>
    <tableColumn id="3" xr3:uid="{00000000-0010-0000-0600-000003000000}" name="Recommended Rule"/>
    <tableColumn id="4" xr3:uid="{00000000-0010-0000-0600-000004000000}" name="Client Decision / Notes (EDIT)"/>
    <tableColumn id="5" xr3:uid="{00000000-0010-0000-0600-000005000000}" name="Risk Level"/>
    <tableColumn id="6" xr3:uid="{00000000-0010-0000-0600-000006000000}" name="Required Before Build?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7000000}" name="ErrorMonitoringTable" displayName="ErrorMonitoringTable" ref="A4:G40" totalsRowShown="0">
  <tableColumns count="7">
    <tableColumn id="1" xr3:uid="{00000000-0010-0000-0700-000001000000}" name="Failure / Edge Case"/>
    <tableColumn id="2" xr3:uid="{00000000-0010-0000-0700-000002000000}" name="Detection Method"/>
    <tableColumn id="3" xr3:uid="{00000000-0010-0000-0700-000003000000}" name="Fallback Action"/>
    <tableColumn id="4" xr3:uid="{00000000-0010-0000-0700-000004000000}" name="Notify Whom?"/>
    <tableColumn id="5" xr3:uid="{00000000-0010-0000-0700-000005000000}" name="Log What?"/>
    <tableColumn id="6" xr3:uid="{00000000-0010-0000-0700-000006000000}" name="Severity"/>
    <tableColumn id="7" xr3:uid="{00000000-0010-0000-0700-000007000000}" name="Build Requirem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8000000}" name="FinalBlueprintSummaryTable" displayName="FinalBlueprintSummaryTable" ref="A4:D30" totalsRowShown="0">
  <tableColumns count="4">
    <tableColumn id="1" xr3:uid="{00000000-0010-0000-0800-000001000000}" name="Section"/>
    <tableColumn id="2" xr3:uid="{00000000-0010-0000-0800-000002000000}" name="Final Decision / Summary (EDIT)"/>
    <tableColumn id="3" xr3:uid="{00000000-0010-0000-0800-000003000000}" name="Open Issue"/>
    <tableColumn id="4" xr3:uid="{00000000-0010-0000-0800-000004000000}" name="Approved?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tabSelected="1" zoomScale="120" zoomScaleNormal="120" workbookViewId="0">
      <selection activeCell="A4" sqref="A4"/>
    </sheetView>
  </sheetViews>
  <sheetFormatPr baseColWidth="10" defaultColWidth="8.83203125" defaultRowHeight="15" x14ac:dyDescent="0.2"/>
  <cols>
    <col min="1" max="1" width="21.83203125" customWidth="1"/>
    <col min="2" max="2" width="60" customWidth="1"/>
    <col min="3" max="3" width="32" customWidth="1"/>
  </cols>
  <sheetData>
    <row r="1" spans="1:8" s="13" customFormat="1" ht="34.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</row>
    <row r="2" spans="1:8" ht="53.25" customHeight="1" x14ac:dyDescent="0.2">
      <c r="A2" s="11" t="s">
        <v>1</v>
      </c>
      <c r="B2" s="11"/>
      <c r="C2" s="11"/>
      <c r="D2" s="11"/>
      <c r="E2" s="11"/>
      <c r="F2" s="11"/>
      <c r="G2" s="11"/>
      <c r="H2" s="11"/>
    </row>
    <row r="4" spans="1:8" ht="42.75" customHeight="1" x14ac:dyDescent="0.2">
      <c r="A4" s="14" t="s">
        <v>2</v>
      </c>
      <c r="B4" s="14" t="s">
        <v>3</v>
      </c>
      <c r="C4" s="14" t="s">
        <v>4</v>
      </c>
    </row>
    <row r="5" spans="1:8" ht="15.75" customHeight="1" x14ac:dyDescent="0.2">
      <c r="A5" s="15" t="s">
        <v>5</v>
      </c>
      <c r="B5" s="15" t="s">
        <v>6</v>
      </c>
      <c r="C5" s="15" t="s">
        <v>7</v>
      </c>
    </row>
    <row r="6" spans="1:8" ht="15.75" customHeight="1" x14ac:dyDescent="0.2">
      <c r="A6" s="15" t="s">
        <v>8</v>
      </c>
      <c r="B6" s="15" t="s">
        <v>9</v>
      </c>
      <c r="C6" s="15" t="s">
        <v>10</v>
      </c>
    </row>
    <row r="7" spans="1:8" ht="15.75" customHeight="1" x14ac:dyDescent="0.2">
      <c r="A7" s="15" t="s">
        <v>11</v>
      </c>
      <c r="B7" s="15" t="s">
        <v>12</v>
      </c>
      <c r="C7" s="15" t="s">
        <v>13</v>
      </c>
    </row>
    <row r="8" spans="1:8" ht="15.75" customHeight="1" x14ac:dyDescent="0.2">
      <c r="A8" s="15" t="s">
        <v>14</v>
      </c>
      <c r="B8" s="15" t="s">
        <v>15</v>
      </c>
      <c r="C8" s="15" t="s">
        <v>16</v>
      </c>
    </row>
    <row r="9" spans="1:8" ht="15.75" customHeight="1" x14ac:dyDescent="0.2">
      <c r="A9" s="15" t="s">
        <v>17</v>
      </c>
      <c r="B9" s="15" t="s">
        <v>18</v>
      </c>
      <c r="C9" s="15" t="s">
        <v>19</v>
      </c>
    </row>
    <row r="10" spans="1:8" ht="15.75" customHeight="1" x14ac:dyDescent="0.2">
      <c r="A10" s="15" t="s">
        <v>20</v>
      </c>
      <c r="B10" s="15" t="s">
        <v>21</v>
      </c>
      <c r="C10" s="15" t="s">
        <v>22</v>
      </c>
    </row>
    <row r="11" spans="1:8" ht="15.75" customHeight="1" x14ac:dyDescent="0.2">
      <c r="A11" s="15" t="s">
        <v>23</v>
      </c>
      <c r="B11" s="15" t="s">
        <v>24</v>
      </c>
      <c r="C11" s="15" t="s">
        <v>25</v>
      </c>
    </row>
    <row r="12" spans="1:8" ht="15.75" customHeight="1" x14ac:dyDescent="0.2">
      <c r="A12" s="15" t="s">
        <v>26</v>
      </c>
      <c r="B12" s="15" t="s">
        <v>27</v>
      </c>
      <c r="C12" s="15" t="s">
        <v>28</v>
      </c>
    </row>
    <row r="13" spans="1:8" ht="15.75" customHeight="1" x14ac:dyDescent="0.2">
      <c r="A13" s="15" t="s">
        <v>29</v>
      </c>
      <c r="B13" s="15" t="s">
        <v>30</v>
      </c>
      <c r="C13" s="15" t="s">
        <v>31</v>
      </c>
    </row>
    <row r="15" spans="1:8" ht="15" customHeight="1" x14ac:dyDescent="0.2">
      <c r="A15" s="10" t="s">
        <v>32</v>
      </c>
      <c r="B15" s="10"/>
      <c r="C15" s="10"/>
      <c r="D15" s="10"/>
      <c r="E15" s="10"/>
      <c r="F15" s="10"/>
      <c r="G15" s="10"/>
      <c r="H15" s="10"/>
    </row>
    <row r="18" spans="1:1" x14ac:dyDescent="0.2">
      <c r="A18" t="s">
        <v>33</v>
      </c>
    </row>
    <row r="20" spans="1:1" x14ac:dyDescent="0.2">
      <c r="A20" s="16" t="s">
        <v>34</v>
      </c>
    </row>
    <row r="21" spans="1:1" x14ac:dyDescent="0.2">
      <c r="A21" t="s">
        <v>35</v>
      </c>
    </row>
    <row r="23" spans="1:1" x14ac:dyDescent="0.2">
      <c r="A23" s="16" t="s">
        <v>36</v>
      </c>
    </row>
    <row r="24" spans="1:1" x14ac:dyDescent="0.2">
      <c r="A24" t="s">
        <v>37</v>
      </c>
    </row>
    <row r="26" spans="1:1" x14ac:dyDescent="0.2">
      <c r="A26" s="16" t="s">
        <v>0</v>
      </c>
    </row>
    <row r="27" spans="1:1" x14ac:dyDescent="0.2">
      <c r="A27" t="s">
        <v>38</v>
      </c>
    </row>
    <row r="29" spans="1:1" x14ac:dyDescent="0.2">
      <c r="A29" s="16" t="s">
        <v>39</v>
      </c>
    </row>
    <row r="30" spans="1:1" x14ac:dyDescent="0.2">
      <c r="A30" t="s">
        <v>40</v>
      </c>
    </row>
    <row r="32" spans="1:1" x14ac:dyDescent="0.2">
      <c r="A32" s="16" t="s">
        <v>41</v>
      </c>
    </row>
    <row r="33" spans="1:3" x14ac:dyDescent="0.2">
      <c r="A33" t="s">
        <v>42</v>
      </c>
    </row>
    <row r="35" spans="1:3" x14ac:dyDescent="0.2">
      <c r="A35" s="16" t="s">
        <v>43</v>
      </c>
    </row>
    <row r="36" spans="1:3" x14ac:dyDescent="0.2">
      <c r="A36" t="s">
        <v>44</v>
      </c>
    </row>
    <row r="38" spans="1:3" ht="21.75" customHeight="1" x14ac:dyDescent="0.2">
      <c r="A38" s="9" t="s">
        <v>45</v>
      </c>
      <c r="B38" s="9"/>
      <c r="C38" s="9"/>
    </row>
    <row r="40" spans="1:3" ht="15" customHeight="1" x14ac:dyDescent="0.2">
      <c r="A40" s="8" t="s">
        <v>46</v>
      </c>
      <c r="B40" s="8"/>
      <c r="C40" s="8"/>
    </row>
    <row r="41" spans="1:3" ht="15.75" customHeight="1" x14ac:dyDescent="0.2">
      <c r="A41" s="17" t="s">
        <v>47</v>
      </c>
      <c r="B41" s="17" t="s">
        <v>48</v>
      </c>
      <c r="C41" s="17" t="s">
        <v>49</v>
      </c>
    </row>
    <row r="42" spans="1:3" ht="15.75" customHeight="1" x14ac:dyDescent="0.2">
      <c r="A42" s="18" t="s">
        <v>50</v>
      </c>
      <c r="B42" s="19" t="s">
        <v>51</v>
      </c>
      <c r="C42" s="20">
        <f>COUNTIF('Workflow Blueprint'!K5:K40,"Draft")</f>
        <v>22</v>
      </c>
    </row>
    <row r="43" spans="1:3" ht="15.75" customHeight="1" x14ac:dyDescent="0.2">
      <c r="A43" s="18" t="s">
        <v>52</v>
      </c>
      <c r="B43" s="19" t="s">
        <v>53</v>
      </c>
      <c r="C43" s="20">
        <f>COUNTIF('Workflow Blueprint'!K5:K40,"Approved")</f>
        <v>0</v>
      </c>
    </row>
    <row r="44" spans="1:3" ht="15.75" customHeight="1" x14ac:dyDescent="0.2">
      <c r="A44" s="18" t="s">
        <v>54</v>
      </c>
      <c r="B44" s="19" t="s">
        <v>55</v>
      </c>
      <c r="C44" s="20">
        <f>COUNTIF('Workflow Blueprint'!K5:K40,"Later")</f>
        <v>0</v>
      </c>
    </row>
    <row r="45" spans="1:3" ht="15.75" customHeight="1" x14ac:dyDescent="0.2">
      <c r="A45" s="18" t="s">
        <v>56</v>
      </c>
      <c r="B45" s="19" t="s">
        <v>57</v>
      </c>
      <c r="C45" s="20">
        <f>COUNTIF('Workflow Blueprint'!K5:K40,"Blocked")</f>
        <v>0</v>
      </c>
    </row>
    <row r="46" spans="1:3" ht="15.75" customHeight="1" x14ac:dyDescent="0.2">
      <c r="A46" s="18" t="s">
        <v>58</v>
      </c>
      <c r="B46" s="19" t="s">
        <v>59</v>
      </c>
      <c r="C46" s="20">
        <f>COUNTIF('Workflow Blueprint'!K5:K40,"Done")</f>
        <v>0</v>
      </c>
    </row>
    <row r="48" spans="1:3" ht="15" customHeight="1" x14ac:dyDescent="0.2">
      <c r="A48" s="8" t="s">
        <v>60</v>
      </c>
      <c r="B48" s="8"/>
      <c r="C48" s="8"/>
    </row>
    <row r="49" spans="1:3" ht="15.75" customHeight="1" x14ac:dyDescent="0.2">
      <c r="A49" s="17" t="s">
        <v>47</v>
      </c>
      <c r="B49" s="17" t="s">
        <v>48</v>
      </c>
      <c r="C49" s="17" t="s">
        <v>49</v>
      </c>
    </row>
    <row r="50" spans="1:3" ht="15.75" customHeight="1" x14ac:dyDescent="0.2">
      <c r="A50" s="18" t="s">
        <v>61</v>
      </c>
      <c r="B50" s="19" t="s">
        <v>62</v>
      </c>
      <c r="C50" s="20">
        <f>COUNTIF('Workflow Blueprint'!L5:L40,"Empty")</f>
        <v>14</v>
      </c>
    </row>
    <row r="51" spans="1:3" ht="15.75" customHeight="1" x14ac:dyDescent="0.2">
      <c r="A51" s="18" t="s">
        <v>63</v>
      </c>
      <c r="B51" s="19" t="s">
        <v>64</v>
      </c>
      <c r="C51" s="20">
        <f>COUNTIF('Workflow Blueprint'!L5:L40,"Partial")</f>
        <v>0</v>
      </c>
    </row>
    <row r="52" spans="1:3" ht="15.75" customHeight="1" x14ac:dyDescent="0.2">
      <c r="A52" s="18" t="s">
        <v>65</v>
      </c>
      <c r="B52" s="19" t="s">
        <v>66</v>
      </c>
      <c r="C52" s="20">
        <f>COUNTIF('Workflow Blueprint'!L5:L40,"Complete")</f>
        <v>22</v>
      </c>
    </row>
    <row r="54" spans="1:3" ht="15" customHeight="1" x14ac:dyDescent="0.2">
      <c r="A54" s="8" t="s">
        <v>67</v>
      </c>
      <c r="B54" s="8"/>
      <c r="C54" s="8"/>
    </row>
    <row r="55" spans="1:3" ht="15.75" customHeight="1" x14ac:dyDescent="0.2">
      <c r="A55" s="17" t="s">
        <v>47</v>
      </c>
      <c r="B55" s="17" t="s">
        <v>48</v>
      </c>
      <c r="C55" s="17" t="s">
        <v>49</v>
      </c>
    </row>
    <row r="56" spans="1:3" ht="15.75" customHeight="1" x14ac:dyDescent="0.2">
      <c r="A56" s="18" t="s">
        <v>68</v>
      </c>
      <c r="B56" s="19" t="s">
        <v>69</v>
      </c>
      <c r="C56" s="20">
        <f>COUNTIF('Security &amp; Access'!F5:F40,"Yes")</f>
        <v>7</v>
      </c>
    </row>
    <row r="57" spans="1:3" ht="15.75" customHeight="1" x14ac:dyDescent="0.2">
      <c r="A57" s="18" t="s">
        <v>70</v>
      </c>
      <c r="B57" s="19" t="s">
        <v>71</v>
      </c>
      <c r="C57" s="20">
        <f>COUNTIF('Security &amp; Access'!F5:F40,"No")</f>
        <v>0</v>
      </c>
    </row>
    <row r="58" spans="1:3" ht="15.75" customHeight="1" x14ac:dyDescent="0.2">
      <c r="A58" s="18" t="s">
        <v>54</v>
      </c>
      <c r="B58" s="19" t="s">
        <v>72</v>
      </c>
      <c r="C58" s="20">
        <f>COUNTIF('Security &amp; Access'!F5:F40,"Later")</f>
        <v>0</v>
      </c>
    </row>
    <row r="60" spans="1:3" ht="15" customHeight="1" x14ac:dyDescent="0.2">
      <c r="A60" s="8" t="s">
        <v>73</v>
      </c>
      <c r="B60" s="8"/>
      <c r="C60" s="8"/>
    </row>
    <row r="61" spans="1:3" ht="15.75" customHeight="1" x14ac:dyDescent="0.2">
      <c r="A61" s="17" t="s">
        <v>47</v>
      </c>
      <c r="B61" s="17" t="s">
        <v>48</v>
      </c>
      <c r="C61" s="17" t="s">
        <v>49</v>
      </c>
    </row>
    <row r="62" spans="1:3" ht="15.75" customHeight="1" x14ac:dyDescent="0.2">
      <c r="A62" s="18" t="s">
        <v>68</v>
      </c>
      <c r="B62" s="19" t="s">
        <v>74</v>
      </c>
      <c r="C62" s="20">
        <f>COUNTIF('Final Blueprint Summary'!D5:D30,"Yes")</f>
        <v>0</v>
      </c>
    </row>
    <row r="63" spans="1:3" ht="15.75" customHeight="1" x14ac:dyDescent="0.2">
      <c r="A63" s="18" t="s">
        <v>63</v>
      </c>
      <c r="B63" s="19" t="s">
        <v>75</v>
      </c>
      <c r="C63" s="20">
        <f>COUNTIF('Final Blueprint Summary'!D5:D30,"Partial")</f>
        <v>0</v>
      </c>
    </row>
    <row r="64" spans="1:3" ht="15.75" customHeight="1" x14ac:dyDescent="0.2">
      <c r="A64" s="18" t="s">
        <v>70</v>
      </c>
      <c r="B64" s="19" t="s">
        <v>76</v>
      </c>
      <c r="C64" s="20">
        <f>COUNTIF('Final Blueprint Summary'!D5:D30,"No")</f>
        <v>10</v>
      </c>
    </row>
    <row r="67" spans="1:3" ht="27.75" customHeight="1" x14ac:dyDescent="0.2">
      <c r="A67" s="7" t="s">
        <v>77</v>
      </c>
      <c r="B67" s="7"/>
      <c r="C67" s="7"/>
    </row>
  </sheetData>
  <mergeCells count="9">
    <mergeCell ref="A48:C48"/>
    <mergeCell ref="A54:C54"/>
    <mergeCell ref="A60:C60"/>
    <mergeCell ref="A67:C67"/>
    <mergeCell ref="A1:H1"/>
    <mergeCell ref="A2:H2"/>
    <mergeCell ref="A15:H15"/>
    <mergeCell ref="A38:C38"/>
    <mergeCell ref="A40:C4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zoomScale="120" zoomScaleNormal="120" workbookViewId="0">
      <selection activeCell="A5" sqref="A5"/>
    </sheetView>
  </sheetViews>
  <sheetFormatPr baseColWidth="10" defaultColWidth="8.6640625" defaultRowHeight="15" x14ac:dyDescent="0.2"/>
  <cols>
    <col min="1" max="1" width="6" customWidth="1"/>
    <col min="2" max="2" width="38" customWidth="1"/>
    <col min="3" max="3" width="52" customWidth="1"/>
    <col min="4" max="4" width="50" customWidth="1"/>
  </cols>
  <sheetData>
    <row r="1" spans="1:4" ht="18.75" customHeight="1" x14ac:dyDescent="0.25">
      <c r="A1" s="6" t="s">
        <v>78</v>
      </c>
      <c r="B1" s="6"/>
      <c r="C1" s="6"/>
      <c r="D1" s="6"/>
    </row>
    <row r="2" spans="1:4" ht="33.75" customHeight="1" x14ac:dyDescent="0.2">
      <c r="A2" s="7" t="s">
        <v>79</v>
      </c>
      <c r="B2" s="7"/>
      <c r="C2" s="7"/>
      <c r="D2" s="7"/>
    </row>
    <row r="4" spans="1:4" ht="24" customHeight="1" x14ac:dyDescent="0.2">
      <c r="A4" s="8" t="s">
        <v>80</v>
      </c>
      <c r="B4" s="8"/>
      <c r="C4" s="8"/>
      <c r="D4" s="8"/>
    </row>
    <row r="5" spans="1:4" ht="25.5" customHeight="1" x14ac:dyDescent="0.2">
      <c r="A5" s="17" t="s">
        <v>81</v>
      </c>
      <c r="B5" s="17" t="s">
        <v>82</v>
      </c>
      <c r="C5" s="17" t="s">
        <v>83</v>
      </c>
      <c r="D5" s="21" t="s">
        <v>84</v>
      </c>
    </row>
    <row r="6" spans="1:4" ht="33.75" customHeight="1" x14ac:dyDescent="0.2">
      <c r="A6" s="18" t="s">
        <v>85</v>
      </c>
      <c r="B6" s="18" t="s">
        <v>86</v>
      </c>
      <c r="C6" s="22" t="s">
        <v>87</v>
      </c>
      <c r="D6" s="23" t="s">
        <v>88</v>
      </c>
    </row>
    <row r="7" spans="1:4" ht="33.75" customHeight="1" x14ac:dyDescent="0.2">
      <c r="A7" s="18" t="s">
        <v>89</v>
      </c>
      <c r="B7" s="18" t="s">
        <v>90</v>
      </c>
      <c r="C7" s="19" t="s">
        <v>91</v>
      </c>
      <c r="D7" s="23" t="s">
        <v>70</v>
      </c>
    </row>
    <row r="8" spans="1:4" ht="33.75" customHeight="1" x14ac:dyDescent="0.2">
      <c r="A8" s="18" t="s">
        <v>92</v>
      </c>
      <c r="B8" s="18" t="s">
        <v>93</v>
      </c>
      <c r="C8" s="19" t="s">
        <v>94</v>
      </c>
      <c r="D8" s="23" t="s">
        <v>95</v>
      </c>
    </row>
    <row r="9" spans="1:4" ht="33.75" customHeight="1" x14ac:dyDescent="0.2">
      <c r="A9" s="18" t="s">
        <v>96</v>
      </c>
      <c r="B9" s="18" t="s">
        <v>97</v>
      </c>
      <c r="C9" s="19" t="s">
        <v>98</v>
      </c>
      <c r="D9" s="23" t="s">
        <v>99</v>
      </c>
    </row>
    <row r="10" spans="1:4" ht="33.75" customHeight="1" x14ac:dyDescent="0.2">
      <c r="A10" s="18" t="s">
        <v>100</v>
      </c>
      <c r="B10" s="18" t="s">
        <v>101</v>
      </c>
      <c r="C10" s="19" t="s">
        <v>102</v>
      </c>
      <c r="D10" s="23" t="s">
        <v>103</v>
      </c>
    </row>
    <row r="11" spans="1:4" ht="33.75" customHeight="1" x14ac:dyDescent="0.2">
      <c r="A11" s="18" t="s">
        <v>104</v>
      </c>
      <c r="B11" s="18" t="s">
        <v>105</v>
      </c>
      <c r="C11" s="19" t="s">
        <v>106</v>
      </c>
      <c r="D11" s="23" t="s">
        <v>95</v>
      </c>
    </row>
    <row r="13" spans="1:4" ht="24" customHeight="1" x14ac:dyDescent="0.2">
      <c r="A13" s="5" t="s">
        <v>107</v>
      </c>
      <c r="B13" s="5"/>
      <c r="C13" s="5"/>
      <c r="D13" s="5"/>
    </row>
    <row r="14" spans="1:4" ht="27.75" customHeight="1" x14ac:dyDescent="0.2">
      <c r="A14" s="24" t="s">
        <v>81</v>
      </c>
      <c r="B14" s="24" t="s">
        <v>108</v>
      </c>
      <c r="C14" s="24" t="s">
        <v>109</v>
      </c>
      <c r="D14" s="24" t="s">
        <v>110</v>
      </c>
    </row>
    <row r="15" spans="1:4" ht="33.75" customHeight="1" x14ac:dyDescent="0.2">
      <c r="A15" s="25" t="s">
        <v>111</v>
      </c>
      <c r="B15" s="25" t="s">
        <v>112</v>
      </c>
      <c r="C15" s="25" t="str">
        <f>IF(D6="Monitor","Managed",IF(D9="None","Traditional",IF(D9="Take action","Agentic","AI")))</f>
        <v>AI</v>
      </c>
      <c r="D15" s="19" t="s">
        <v>113</v>
      </c>
    </row>
    <row r="16" spans="1:4" ht="33.75" customHeight="1" x14ac:dyDescent="0.2">
      <c r="A16" s="25" t="s">
        <v>114</v>
      </c>
      <c r="B16" s="25" t="s">
        <v>115</v>
      </c>
      <c r="C16" s="26" t="str">
        <f>IF(D6="Intake","Webhook / Gmail / Form connector",IF(D6="Normalize","Data formatter (Make tools / parser)",IF(D6="Classify","AI API (OpenAI / Anthropic / Make AI)",IF(D6="Route","Router module (Make / n8n)",IF(D6="Log","CRM (Notion / Airtable / HubSpot)",IF(D6="Draft reply","AI API + Gmail/CRM draft module",IF(D6="Send","Email / Messaging connector",IF(D6="Escalate","Notification (Email / Slack / SMS)",IF(D6="Monitor","Logger + dashboard / audit log",IF(D6="Extract","AI API (document parser / OCR / field extractor)",IF(D6="Validate","Validation module (Make / n8n / custom rule logic)",IF(D6="Enrich","CRM + AI API (data enrichment / lookup)",IF(D6="Generate content","AI API (OpenAI / Anthropic / Make AI)",IF(D6="Publish","CMS / Social / Newsletter connector (scheduling tool)",IF(D6="Approve","Approval workflow (email / Slack / CRM status gate)","PM to define")))))))))))))))</f>
        <v>AI API (OpenAI / Anthropic / Make AI)</v>
      </c>
      <c r="D16" s="19" t="s">
        <v>116</v>
      </c>
    </row>
    <row r="17" spans="1:4" ht="33.75" customHeight="1" x14ac:dyDescent="0.2">
      <c r="A17" s="25" t="s">
        <v>117</v>
      </c>
      <c r="B17" s="25" t="s">
        <v>118</v>
      </c>
      <c r="C17" s="25" t="str">
        <f>IF(OR(D7="Yes",D8="High",D10="One-way"),"Always (every action approved)",IF(D9="None","Not required",IF(OR(D6="Send",D6="Escalate"),"Required (human approves before send)",IF(D9="Take action","Always (every action approved)",IF(D9="Classify only","Optional (review when confidence low)","Required (human reviews drafts)")))))</f>
        <v>Optional (review when confidence low)</v>
      </c>
      <c r="D17" s="19" t="s">
        <v>119</v>
      </c>
    </row>
    <row r="18" spans="1:4" ht="33.75" customHeight="1" x14ac:dyDescent="0.2">
      <c r="A18" s="25" t="s">
        <v>120</v>
      </c>
      <c r="B18" s="25" t="s">
        <v>121</v>
      </c>
      <c r="C18" s="25" t="str">
        <f>IF(OR(D7="Yes",D8="High"),"High",IF(AND(D10="One-way",D9&lt;&gt;"None"),"High",IF(OR(D8="Medium",D9="Take action"),"Medium","Low")))</f>
        <v>Medium</v>
      </c>
      <c r="D18" s="19" t="s">
        <v>122</v>
      </c>
    </row>
    <row r="19" spans="1:4" ht="33.75" customHeight="1" x14ac:dyDescent="0.2">
      <c r="A19" s="25" t="s">
        <v>123</v>
      </c>
      <c r="B19" s="25" t="s">
        <v>124</v>
      </c>
      <c r="C19" s="26" t="str">
        <f>IF(AND(D7="Yes",D9="Generate content"),"Sensitive + AI content: human approval mandatory; no AI advice.",IF(AND(D10="One-way",D9="Take action"),"Irreversible AI action: require allow-list + audit log + kill-switch.",IF(D6="Publish","Publishing step: human approval required before any content goes live; log post ID and timestamp.",IF(D6="Extract","Extraction step: validate all required fields before downstream write; error route mandatory.",IF(D6="Approve","Approval step: define timeout rule — what happens if approver does not respond in time?",IF(D7="Yes","Sensitive route: classify + escalate only; never auto-act.",IF(AND(D11="High",D9&lt;&gt;"None"),"High volume + AI: add rate limit + cost monitor + fallback to human.",IF(D6="Monitor","Log run_id, status, error; alert on silent failures.","Standard: log inputs and outputs; fall back to Human Review on uncertainty."))))))))</f>
        <v>Standard: log inputs and outputs; fall back to Human Review on uncertainty.</v>
      </c>
      <c r="D19" s="19" t="s">
        <v>125</v>
      </c>
    </row>
    <row r="22" spans="1:4" ht="15" customHeight="1" x14ac:dyDescent="0.2">
      <c r="A22" s="4" t="s">
        <v>126</v>
      </c>
      <c r="B22" s="4"/>
      <c r="C22" s="4"/>
      <c r="D22" s="4"/>
    </row>
    <row r="23" spans="1:4" ht="15" customHeight="1" x14ac:dyDescent="0.2">
      <c r="A23" s="7" t="s">
        <v>127</v>
      </c>
      <c r="B23" s="7"/>
      <c r="C23" s="7"/>
      <c r="D23" s="7"/>
    </row>
    <row r="24" spans="1:4" ht="15" customHeight="1" x14ac:dyDescent="0.2">
      <c r="A24" s="7" t="s">
        <v>128</v>
      </c>
      <c r="B24" s="7"/>
      <c r="C24" s="7"/>
      <c r="D24" s="7"/>
    </row>
    <row r="25" spans="1:4" ht="15" customHeight="1" x14ac:dyDescent="0.2">
      <c r="A25" s="7" t="s">
        <v>129</v>
      </c>
      <c r="B25" s="7"/>
      <c r="C25" s="7"/>
      <c r="D25" s="7"/>
    </row>
    <row r="26" spans="1:4" ht="15" customHeight="1" x14ac:dyDescent="0.2">
      <c r="A26" s="7" t="s">
        <v>130</v>
      </c>
      <c r="B26" s="7"/>
      <c r="C26" s="7"/>
      <c r="D26" s="7"/>
    </row>
    <row r="27" spans="1:4" x14ac:dyDescent="0.2">
      <c r="A27" s="7"/>
      <c r="B27" s="7"/>
      <c r="C27" s="7"/>
      <c r="D27" s="7"/>
    </row>
    <row r="28" spans="1:4" ht="15" customHeight="1" x14ac:dyDescent="0.2">
      <c r="A28" s="7" t="s">
        <v>131</v>
      </c>
      <c r="B28" s="7"/>
      <c r="C28" s="7"/>
      <c r="D28" s="7"/>
    </row>
  </sheetData>
  <mergeCells count="11">
    <mergeCell ref="A28:D28"/>
    <mergeCell ref="A23:D23"/>
    <mergeCell ref="A24:D24"/>
    <mergeCell ref="A25:D25"/>
    <mergeCell ref="A26:D26"/>
    <mergeCell ref="A27:D27"/>
    <mergeCell ref="A1:D1"/>
    <mergeCell ref="A2:D2"/>
    <mergeCell ref="A4:D4"/>
    <mergeCell ref="A13:D13"/>
    <mergeCell ref="A22:D22"/>
  </mergeCells>
  <dataValidations count="5">
    <dataValidation type="list" allowBlank="1" sqref="D6" xr:uid="{00000000-0002-0000-0100-000000000000}">
      <formula1>"Intake,Normalize,Classify,Route,Log,Draft reply,Send,Escalate,Monitor,Other"</formula1>
      <formula2>0</formula2>
    </dataValidation>
    <dataValidation type="list" allowBlank="1" sqref="D7" xr:uid="{00000000-0002-0000-0100-000001000000}">
      <formula1>"Yes,No,Sometimes"</formula1>
      <formula2>0</formula2>
    </dataValidation>
    <dataValidation type="list" allowBlank="1" sqref="D8 D11" xr:uid="{00000000-0002-0000-0100-000002000000}">
      <formula1>"Low,Medium,High"</formula1>
      <formula2>0</formula2>
    </dataValidation>
    <dataValidation type="list" allowBlank="1" sqref="D9" xr:uid="{00000000-0002-0000-0100-000003000000}">
      <formula1>"None,Classify only,Generate content,Take action"</formula1>
      <formula2>0</formula2>
    </dataValidation>
    <dataValidation type="list" allowBlank="1" sqref="D10" xr:uid="{00000000-0002-0000-0100-000004000000}">
      <formula1>"Reversible,One-way"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1"/>
  <sheetViews>
    <sheetView zoomScale="120" zoomScaleNormal="120" workbookViewId="0">
      <selection activeCell="A4" sqref="A4"/>
    </sheetView>
  </sheetViews>
  <sheetFormatPr baseColWidth="10" defaultColWidth="8.83203125" defaultRowHeight="21" customHeight="1" x14ac:dyDescent="0.2"/>
  <cols>
    <col min="1" max="1" width="24" customWidth="1"/>
    <col min="2" max="3" width="45" customWidth="1"/>
    <col min="4" max="4" width="34" customWidth="1"/>
    <col min="5" max="5" width="16" customWidth="1"/>
    <col min="6" max="6" width="18" customWidth="1"/>
  </cols>
  <sheetData>
    <row r="1" spans="1:26" ht="34.5" customHeight="1" x14ac:dyDescent="0.2">
      <c r="A1" s="3" t="s">
        <v>132</v>
      </c>
      <c r="B1" s="3"/>
      <c r="C1" s="3"/>
      <c r="D1" s="3"/>
      <c r="E1" s="3"/>
      <c r="F1" s="3"/>
      <c r="G1" s="3"/>
      <c r="H1" s="3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53.25" customHeight="1" x14ac:dyDescent="0.2">
      <c r="A2" s="11" t="s">
        <v>133</v>
      </c>
      <c r="B2" s="11"/>
      <c r="C2" s="11"/>
      <c r="D2" s="11"/>
      <c r="E2" s="11"/>
      <c r="F2" s="11"/>
      <c r="G2" s="11"/>
      <c r="H2" s="11"/>
    </row>
    <row r="3" spans="1:26" ht="15" x14ac:dyDescent="0.2"/>
    <row r="4" spans="1:26" ht="42.75" customHeight="1" x14ac:dyDescent="0.2">
      <c r="A4" s="14" t="s">
        <v>134</v>
      </c>
      <c r="B4" s="14" t="s">
        <v>135</v>
      </c>
      <c r="C4" s="14" t="s">
        <v>136</v>
      </c>
      <c r="D4" s="14" t="s">
        <v>137</v>
      </c>
      <c r="E4" s="14" t="s">
        <v>138</v>
      </c>
      <c r="F4" s="14" t="s">
        <v>47</v>
      </c>
    </row>
    <row r="5" spans="1:26" ht="21" customHeight="1" x14ac:dyDescent="0.2">
      <c r="A5" t="s">
        <v>139</v>
      </c>
      <c r="B5" t="s">
        <v>140</v>
      </c>
      <c r="C5" t="s">
        <v>141</v>
      </c>
      <c r="E5" t="s">
        <v>142</v>
      </c>
      <c r="F5" t="s">
        <v>50</v>
      </c>
    </row>
    <row r="6" spans="1:26" ht="21" customHeight="1" x14ac:dyDescent="0.2">
      <c r="A6" t="s">
        <v>143</v>
      </c>
      <c r="B6" t="s">
        <v>144</v>
      </c>
      <c r="C6" t="s">
        <v>145</v>
      </c>
      <c r="E6" t="s">
        <v>142</v>
      </c>
      <c r="F6" t="s">
        <v>50</v>
      </c>
    </row>
    <row r="7" spans="1:26" ht="21" customHeight="1" x14ac:dyDescent="0.2">
      <c r="A7" t="s">
        <v>146</v>
      </c>
      <c r="B7" t="s">
        <v>147</v>
      </c>
      <c r="C7" t="s">
        <v>148</v>
      </c>
      <c r="D7" t="s">
        <v>149</v>
      </c>
      <c r="E7" t="s">
        <v>142</v>
      </c>
      <c r="F7" t="s">
        <v>54</v>
      </c>
    </row>
    <row r="8" spans="1:26" ht="21" customHeight="1" x14ac:dyDescent="0.2">
      <c r="A8" t="s">
        <v>150</v>
      </c>
      <c r="B8" t="s">
        <v>151</v>
      </c>
      <c r="C8" t="s">
        <v>152</v>
      </c>
      <c r="E8" t="s">
        <v>142</v>
      </c>
      <c r="F8" t="s">
        <v>50</v>
      </c>
    </row>
    <row r="9" spans="1:26" ht="21" customHeight="1" x14ac:dyDescent="0.2">
      <c r="A9" t="s">
        <v>153</v>
      </c>
      <c r="B9" t="s">
        <v>154</v>
      </c>
      <c r="C9" t="s">
        <v>155</v>
      </c>
      <c r="E9" t="s">
        <v>142</v>
      </c>
      <c r="F9" t="s">
        <v>50</v>
      </c>
    </row>
    <row r="10" spans="1:26" ht="21" customHeight="1" x14ac:dyDescent="0.2">
      <c r="A10" t="s">
        <v>156</v>
      </c>
      <c r="B10" t="s">
        <v>157</v>
      </c>
      <c r="C10" t="s">
        <v>158</v>
      </c>
      <c r="E10" t="s">
        <v>142</v>
      </c>
      <c r="F10" t="s">
        <v>50</v>
      </c>
    </row>
    <row r="11" spans="1:26" ht="21" customHeight="1" x14ac:dyDescent="0.2">
      <c r="A11" t="s">
        <v>159</v>
      </c>
      <c r="B11" t="s">
        <v>160</v>
      </c>
      <c r="C11" t="s">
        <v>161</v>
      </c>
      <c r="E11" t="s">
        <v>142</v>
      </c>
      <c r="F11" t="s">
        <v>50</v>
      </c>
    </row>
  </sheetData>
  <mergeCells count="2">
    <mergeCell ref="A1:H1"/>
    <mergeCell ref="A2:H2"/>
  </mergeCells>
  <dataValidations count="1">
    <dataValidation type="list" sqref="F5:F40" xr:uid="{00000000-0002-0000-0200-000000000000}">
      <formula1>"Draft,Approved,Later,Blocked,Done"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0"/>
  <sheetViews>
    <sheetView zoomScale="120" zoomScaleNormal="120" workbookViewId="0">
      <selection activeCell="A4" sqref="A4"/>
    </sheetView>
  </sheetViews>
  <sheetFormatPr baseColWidth="10" defaultColWidth="8.83203125" defaultRowHeight="21" customHeight="1" x14ac:dyDescent="0.2"/>
  <cols>
    <col min="1" max="1" width="10" customWidth="1"/>
    <col min="2" max="2" width="26" customWidth="1"/>
    <col min="3" max="3" width="32" customWidth="1"/>
    <col min="4" max="4" width="28" customWidth="1"/>
    <col min="5" max="5" width="22" customWidth="1"/>
    <col min="6" max="6" width="38" customWidth="1"/>
    <col min="7" max="7" width="36" customWidth="1"/>
    <col min="8" max="8" width="28" customWidth="1"/>
    <col min="9" max="9" width="30" customWidth="1"/>
    <col min="10" max="10" width="34" customWidth="1"/>
    <col min="11" max="11" width="16" customWidth="1"/>
    <col min="12" max="12" width="22" customWidth="1"/>
  </cols>
  <sheetData>
    <row r="1" spans="1:26" ht="34.5" customHeight="1" x14ac:dyDescent="0.2">
      <c r="A1" s="3" t="s">
        <v>10</v>
      </c>
      <c r="B1" s="3"/>
      <c r="C1" s="3"/>
      <c r="D1" s="3"/>
      <c r="E1" s="3"/>
      <c r="F1" s="3"/>
      <c r="G1" s="3"/>
      <c r="H1" s="3"/>
      <c r="I1" s="28"/>
      <c r="J1" s="28"/>
      <c r="K1" s="29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53.25" customHeight="1" x14ac:dyDescent="0.2">
      <c r="A2" s="11" t="s">
        <v>162</v>
      </c>
      <c r="B2" s="11"/>
      <c r="C2" s="11"/>
      <c r="D2" s="11"/>
      <c r="E2" s="11"/>
      <c r="F2" s="11"/>
      <c r="G2" s="11"/>
      <c r="H2" s="11"/>
    </row>
    <row r="3" spans="1:26" ht="15" x14ac:dyDescent="0.2"/>
    <row r="4" spans="1:26" ht="42.75" customHeight="1" x14ac:dyDescent="0.2">
      <c r="A4" s="14" t="s">
        <v>163</v>
      </c>
      <c r="B4" s="14" t="s">
        <v>164</v>
      </c>
      <c r="C4" s="14" t="s">
        <v>165</v>
      </c>
      <c r="D4" s="14" t="s">
        <v>166</v>
      </c>
      <c r="E4" s="14" t="s">
        <v>167</v>
      </c>
      <c r="F4" s="14" t="s">
        <v>168</v>
      </c>
      <c r="G4" s="14" t="s">
        <v>169</v>
      </c>
      <c r="H4" s="14" t="s">
        <v>170</v>
      </c>
      <c r="I4" s="14" t="s">
        <v>171</v>
      </c>
      <c r="J4" s="14" t="s">
        <v>172</v>
      </c>
      <c r="K4" s="14" t="s">
        <v>173</v>
      </c>
      <c r="L4" s="17" t="s">
        <v>174</v>
      </c>
    </row>
    <row r="5" spans="1:26" ht="21" customHeight="1" x14ac:dyDescent="0.2">
      <c r="A5">
        <v>1</v>
      </c>
      <c r="B5" t="s">
        <v>175</v>
      </c>
      <c r="C5" t="s">
        <v>176</v>
      </c>
      <c r="D5" t="s">
        <v>177</v>
      </c>
      <c r="E5" t="s">
        <v>178</v>
      </c>
      <c r="F5" t="s">
        <v>179</v>
      </c>
      <c r="G5" t="s">
        <v>180</v>
      </c>
      <c r="H5" t="s">
        <v>181</v>
      </c>
      <c r="I5" t="s">
        <v>182</v>
      </c>
      <c r="J5" t="s">
        <v>183</v>
      </c>
      <c r="K5" t="s">
        <v>50</v>
      </c>
      <c r="L5" s="30" t="str">
        <f t="shared" ref="L5:L40" si="0">IF(COUNTA(B5,C5,D5,E5,F5,I5,K5)=0,"Empty",IF(COUNTA(B5,C5,D5,E5,F5,I5,K5)&lt;7,"Partial","Complete"))</f>
        <v>Complete</v>
      </c>
    </row>
    <row r="6" spans="1:26" ht="21" customHeight="1" x14ac:dyDescent="0.2">
      <c r="A6">
        <v>2</v>
      </c>
      <c r="B6" t="s">
        <v>184</v>
      </c>
      <c r="C6" t="s">
        <v>185</v>
      </c>
      <c r="D6" t="s">
        <v>186</v>
      </c>
      <c r="E6" t="s">
        <v>178</v>
      </c>
      <c r="F6" t="s">
        <v>187</v>
      </c>
      <c r="G6" t="s">
        <v>188</v>
      </c>
      <c r="H6" t="s">
        <v>181</v>
      </c>
      <c r="I6" t="s">
        <v>189</v>
      </c>
      <c r="J6" t="s">
        <v>190</v>
      </c>
      <c r="K6" t="s">
        <v>50</v>
      </c>
      <c r="L6" s="30" t="str">
        <f t="shared" si="0"/>
        <v>Complete</v>
      </c>
    </row>
    <row r="7" spans="1:26" ht="21" customHeight="1" x14ac:dyDescent="0.2">
      <c r="A7">
        <v>3</v>
      </c>
      <c r="B7" t="s">
        <v>191</v>
      </c>
      <c r="C7" t="s">
        <v>192</v>
      </c>
      <c r="D7" t="s">
        <v>193</v>
      </c>
      <c r="E7" t="s">
        <v>194</v>
      </c>
      <c r="F7" t="s">
        <v>195</v>
      </c>
      <c r="G7" t="s">
        <v>196</v>
      </c>
      <c r="H7" t="s">
        <v>197</v>
      </c>
      <c r="I7" t="s">
        <v>198</v>
      </c>
      <c r="J7" t="s">
        <v>199</v>
      </c>
      <c r="K7" t="s">
        <v>50</v>
      </c>
      <c r="L7" s="30" t="str">
        <f t="shared" si="0"/>
        <v>Complete</v>
      </c>
    </row>
    <row r="8" spans="1:26" ht="21" customHeight="1" x14ac:dyDescent="0.2">
      <c r="A8">
        <v>4</v>
      </c>
      <c r="B8" t="s">
        <v>200</v>
      </c>
      <c r="C8" t="s">
        <v>201</v>
      </c>
      <c r="D8" t="s">
        <v>202</v>
      </c>
      <c r="E8" t="s">
        <v>178</v>
      </c>
      <c r="F8" t="s">
        <v>203</v>
      </c>
      <c r="G8" t="s">
        <v>204</v>
      </c>
      <c r="H8" t="s">
        <v>205</v>
      </c>
      <c r="I8" t="s">
        <v>206</v>
      </c>
      <c r="J8" t="s">
        <v>207</v>
      </c>
      <c r="K8" t="s">
        <v>50</v>
      </c>
      <c r="L8" s="30" t="str">
        <f t="shared" si="0"/>
        <v>Complete</v>
      </c>
    </row>
    <row r="9" spans="1:26" ht="21" customHeight="1" x14ac:dyDescent="0.2">
      <c r="A9">
        <v>5</v>
      </c>
      <c r="B9" t="s">
        <v>208</v>
      </c>
      <c r="C9" t="s">
        <v>209</v>
      </c>
      <c r="D9" t="s">
        <v>210</v>
      </c>
      <c r="E9" t="s">
        <v>178</v>
      </c>
      <c r="F9" t="s">
        <v>211</v>
      </c>
      <c r="G9" t="s">
        <v>212</v>
      </c>
      <c r="H9" t="s">
        <v>213</v>
      </c>
      <c r="I9" t="s">
        <v>214</v>
      </c>
      <c r="J9" t="s">
        <v>215</v>
      </c>
      <c r="K9" t="s">
        <v>50</v>
      </c>
      <c r="L9" s="30" t="str">
        <f t="shared" si="0"/>
        <v>Complete</v>
      </c>
    </row>
    <row r="10" spans="1:26" ht="21" customHeight="1" x14ac:dyDescent="0.2">
      <c r="A10">
        <v>6</v>
      </c>
      <c r="B10" t="s">
        <v>216</v>
      </c>
      <c r="C10" t="s">
        <v>217</v>
      </c>
      <c r="D10" t="s">
        <v>218</v>
      </c>
      <c r="E10" t="s">
        <v>194</v>
      </c>
      <c r="F10" t="s">
        <v>219</v>
      </c>
      <c r="G10" t="s">
        <v>220</v>
      </c>
      <c r="H10" t="s">
        <v>221</v>
      </c>
      <c r="I10" t="s">
        <v>222</v>
      </c>
      <c r="J10" t="s">
        <v>223</v>
      </c>
      <c r="K10" t="s">
        <v>50</v>
      </c>
      <c r="L10" s="30" t="str">
        <f t="shared" si="0"/>
        <v>Complete</v>
      </c>
    </row>
    <row r="11" spans="1:26" ht="21" customHeight="1" x14ac:dyDescent="0.2">
      <c r="A11">
        <v>7</v>
      </c>
      <c r="B11" t="s">
        <v>224</v>
      </c>
      <c r="C11" t="s">
        <v>225</v>
      </c>
      <c r="D11" t="s">
        <v>226</v>
      </c>
      <c r="E11" t="s">
        <v>178</v>
      </c>
      <c r="F11" t="s">
        <v>227</v>
      </c>
      <c r="G11" t="s">
        <v>228</v>
      </c>
      <c r="H11" t="s">
        <v>229</v>
      </c>
      <c r="I11" t="s">
        <v>230</v>
      </c>
      <c r="J11" t="s">
        <v>231</v>
      </c>
      <c r="K11" t="s">
        <v>50</v>
      </c>
      <c r="L11" s="30" t="str">
        <f t="shared" si="0"/>
        <v>Complete</v>
      </c>
    </row>
    <row r="12" spans="1:26" ht="21" customHeight="1" x14ac:dyDescent="0.2">
      <c r="A12">
        <v>8</v>
      </c>
      <c r="B12" t="s">
        <v>232</v>
      </c>
      <c r="C12" t="s">
        <v>233</v>
      </c>
      <c r="D12" t="s">
        <v>234</v>
      </c>
      <c r="E12" t="s">
        <v>235</v>
      </c>
      <c r="F12" t="s">
        <v>236</v>
      </c>
      <c r="G12" t="s">
        <v>237</v>
      </c>
      <c r="H12" t="s">
        <v>238</v>
      </c>
      <c r="I12" t="s">
        <v>239</v>
      </c>
      <c r="J12" t="s">
        <v>240</v>
      </c>
      <c r="K12" t="s">
        <v>50</v>
      </c>
      <c r="L12" s="30" t="str">
        <f t="shared" si="0"/>
        <v>Complete</v>
      </c>
    </row>
    <row r="13" spans="1:26" ht="21" customHeight="1" x14ac:dyDescent="0.2">
      <c r="B13" t="s">
        <v>241</v>
      </c>
      <c r="C13" t="s">
        <v>242</v>
      </c>
      <c r="D13" t="s">
        <v>243</v>
      </c>
      <c r="E13" t="s">
        <v>178</v>
      </c>
      <c r="F13" t="s">
        <v>244</v>
      </c>
      <c r="G13" t="s">
        <v>245</v>
      </c>
      <c r="H13" t="s">
        <v>181</v>
      </c>
      <c r="I13" t="s">
        <v>246</v>
      </c>
      <c r="J13" t="s">
        <v>247</v>
      </c>
      <c r="K13" t="s">
        <v>50</v>
      </c>
      <c r="L13" s="30" t="str">
        <f t="shared" si="0"/>
        <v>Complete</v>
      </c>
    </row>
    <row r="14" spans="1:26" ht="21" customHeight="1" x14ac:dyDescent="0.2">
      <c r="B14" t="s">
        <v>248</v>
      </c>
      <c r="C14" t="s">
        <v>249</v>
      </c>
      <c r="D14" t="s">
        <v>250</v>
      </c>
      <c r="E14" t="s">
        <v>194</v>
      </c>
      <c r="F14" t="s">
        <v>251</v>
      </c>
      <c r="G14" t="s">
        <v>252</v>
      </c>
      <c r="H14" t="s">
        <v>253</v>
      </c>
      <c r="I14" t="s">
        <v>254</v>
      </c>
      <c r="J14" t="s">
        <v>255</v>
      </c>
      <c r="K14" t="s">
        <v>50</v>
      </c>
      <c r="L14" s="30" t="str">
        <f t="shared" si="0"/>
        <v>Complete</v>
      </c>
    </row>
    <row r="15" spans="1:26" ht="21" customHeight="1" x14ac:dyDescent="0.2">
      <c r="B15" t="s">
        <v>256</v>
      </c>
      <c r="C15" t="s">
        <v>257</v>
      </c>
      <c r="D15" t="s">
        <v>258</v>
      </c>
      <c r="E15" t="s">
        <v>178</v>
      </c>
      <c r="F15" t="s">
        <v>259</v>
      </c>
      <c r="G15" t="s">
        <v>260</v>
      </c>
      <c r="H15" t="s">
        <v>261</v>
      </c>
      <c r="I15" t="s">
        <v>262</v>
      </c>
      <c r="J15" t="s">
        <v>263</v>
      </c>
      <c r="K15" t="s">
        <v>50</v>
      </c>
      <c r="L15" s="30" t="str">
        <f t="shared" si="0"/>
        <v>Complete</v>
      </c>
    </row>
    <row r="16" spans="1:26" ht="21" customHeight="1" x14ac:dyDescent="0.2">
      <c r="B16" t="s">
        <v>264</v>
      </c>
      <c r="C16" t="s">
        <v>265</v>
      </c>
      <c r="D16" t="s">
        <v>266</v>
      </c>
      <c r="E16" t="s">
        <v>178</v>
      </c>
      <c r="F16" t="s">
        <v>267</v>
      </c>
      <c r="G16" t="s">
        <v>268</v>
      </c>
      <c r="H16" t="s">
        <v>269</v>
      </c>
      <c r="I16" t="s">
        <v>270</v>
      </c>
      <c r="J16" t="s">
        <v>271</v>
      </c>
      <c r="K16" t="s">
        <v>50</v>
      </c>
      <c r="L16" s="30" t="str">
        <f t="shared" si="0"/>
        <v>Complete</v>
      </c>
    </row>
    <row r="17" spans="2:12" ht="21" customHeight="1" x14ac:dyDescent="0.2">
      <c r="B17" t="s">
        <v>272</v>
      </c>
      <c r="C17" t="s">
        <v>273</v>
      </c>
      <c r="D17" t="s">
        <v>274</v>
      </c>
      <c r="E17" t="s">
        <v>178</v>
      </c>
      <c r="F17" t="s">
        <v>275</v>
      </c>
      <c r="G17" t="s">
        <v>276</v>
      </c>
      <c r="H17" t="s">
        <v>277</v>
      </c>
      <c r="I17" t="s">
        <v>278</v>
      </c>
      <c r="J17" t="s">
        <v>279</v>
      </c>
      <c r="K17" t="s">
        <v>50</v>
      </c>
      <c r="L17" s="30" t="str">
        <f t="shared" si="0"/>
        <v>Complete</v>
      </c>
    </row>
    <row r="18" spans="2:12" ht="21" customHeight="1" x14ac:dyDescent="0.2">
      <c r="B18" t="s">
        <v>280</v>
      </c>
      <c r="C18" t="s">
        <v>281</v>
      </c>
      <c r="D18" t="s">
        <v>282</v>
      </c>
      <c r="E18" t="s">
        <v>178</v>
      </c>
      <c r="F18" t="s">
        <v>283</v>
      </c>
      <c r="G18" t="s">
        <v>284</v>
      </c>
      <c r="H18" t="s">
        <v>181</v>
      </c>
      <c r="I18" t="s">
        <v>285</v>
      </c>
      <c r="J18" t="s">
        <v>286</v>
      </c>
      <c r="K18" t="s">
        <v>50</v>
      </c>
      <c r="L18" s="30" t="str">
        <f t="shared" si="0"/>
        <v>Complete</v>
      </c>
    </row>
    <row r="19" spans="2:12" ht="21" customHeight="1" x14ac:dyDescent="0.2">
      <c r="B19" t="s">
        <v>287</v>
      </c>
      <c r="C19" t="s">
        <v>288</v>
      </c>
      <c r="D19" t="s">
        <v>289</v>
      </c>
      <c r="E19" t="s">
        <v>194</v>
      </c>
      <c r="F19" t="s">
        <v>290</v>
      </c>
      <c r="G19" t="s">
        <v>291</v>
      </c>
      <c r="H19" t="s">
        <v>292</v>
      </c>
      <c r="I19" t="s">
        <v>293</v>
      </c>
      <c r="J19" t="s">
        <v>294</v>
      </c>
      <c r="K19" t="s">
        <v>50</v>
      </c>
      <c r="L19" s="30" t="str">
        <f t="shared" si="0"/>
        <v>Complete</v>
      </c>
    </row>
    <row r="20" spans="2:12" ht="21" customHeight="1" x14ac:dyDescent="0.2">
      <c r="B20" t="s">
        <v>295</v>
      </c>
      <c r="C20" t="s">
        <v>293</v>
      </c>
      <c r="D20" t="s">
        <v>296</v>
      </c>
      <c r="E20" t="s">
        <v>178</v>
      </c>
      <c r="F20" t="s">
        <v>297</v>
      </c>
      <c r="G20" t="s">
        <v>298</v>
      </c>
      <c r="H20" t="s">
        <v>299</v>
      </c>
      <c r="I20" t="s">
        <v>300</v>
      </c>
      <c r="J20" t="s">
        <v>301</v>
      </c>
      <c r="K20" t="s">
        <v>50</v>
      </c>
      <c r="L20" s="30" t="str">
        <f t="shared" si="0"/>
        <v>Complete</v>
      </c>
    </row>
    <row r="21" spans="2:12" ht="21" customHeight="1" x14ac:dyDescent="0.2">
      <c r="B21" t="s">
        <v>302</v>
      </c>
      <c r="C21" t="s">
        <v>303</v>
      </c>
      <c r="D21" t="s">
        <v>304</v>
      </c>
      <c r="E21" t="s">
        <v>178</v>
      </c>
      <c r="F21" t="s">
        <v>305</v>
      </c>
      <c r="G21" t="s">
        <v>306</v>
      </c>
      <c r="H21" t="s">
        <v>307</v>
      </c>
      <c r="I21" t="s">
        <v>308</v>
      </c>
      <c r="J21" t="s">
        <v>309</v>
      </c>
      <c r="K21" t="s">
        <v>50</v>
      </c>
      <c r="L21" s="30" t="str">
        <f t="shared" si="0"/>
        <v>Complete</v>
      </c>
    </row>
    <row r="22" spans="2:12" ht="21" customHeight="1" x14ac:dyDescent="0.2">
      <c r="B22" t="s">
        <v>310</v>
      </c>
      <c r="C22" t="s">
        <v>308</v>
      </c>
      <c r="D22" t="s">
        <v>311</v>
      </c>
      <c r="E22" t="s">
        <v>178</v>
      </c>
      <c r="F22" t="s">
        <v>312</v>
      </c>
      <c r="G22" t="s">
        <v>313</v>
      </c>
      <c r="H22" t="s">
        <v>181</v>
      </c>
      <c r="I22" t="s">
        <v>314</v>
      </c>
      <c r="J22" t="s">
        <v>315</v>
      </c>
      <c r="K22" t="s">
        <v>50</v>
      </c>
      <c r="L22" s="30" t="str">
        <f t="shared" si="0"/>
        <v>Complete</v>
      </c>
    </row>
    <row r="23" spans="2:12" ht="21" customHeight="1" x14ac:dyDescent="0.2">
      <c r="B23" t="s">
        <v>316</v>
      </c>
      <c r="C23" t="s">
        <v>317</v>
      </c>
      <c r="D23" t="s">
        <v>318</v>
      </c>
      <c r="E23" t="s">
        <v>178</v>
      </c>
      <c r="F23" t="s">
        <v>319</v>
      </c>
      <c r="G23" t="s">
        <v>320</v>
      </c>
      <c r="H23" t="s">
        <v>181</v>
      </c>
      <c r="I23" t="s">
        <v>321</v>
      </c>
      <c r="J23" t="s">
        <v>322</v>
      </c>
      <c r="K23" t="s">
        <v>50</v>
      </c>
      <c r="L23" s="30" t="str">
        <f t="shared" si="0"/>
        <v>Complete</v>
      </c>
    </row>
    <row r="24" spans="2:12" ht="21" customHeight="1" x14ac:dyDescent="0.2">
      <c r="B24" t="s">
        <v>323</v>
      </c>
      <c r="C24" t="s">
        <v>321</v>
      </c>
      <c r="D24" t="s">
        <v>324</v>
      </c>
      <c r="E24" t="s">
        <v>178</v>
      </c>
      <c r="F24" t="s">
        <v>325</v>
      </c>
      <c r="G24" t="s">
        <v>326</v>
      </c>
      <c r="H24" t="s">
        <v>327</v>
      </c>
      <c r="I24" t="s">
        <v>328</v>
      </c>
      <c r="J24" t="s">
        <v>329</v>
      </c>
      <c r="K24" t="s">
        <v>50</v>
      </c>
      <c r="L24" s="30" t="str">
        <f t="shared" si="0"/>
        <v>Complete</v>
      </c>
    </row>
    <row r="25" spans="2:12" ht="21" customHeight="1" x14ac:dyDescent="0.2">
      <c r="B25" t="s">
        <v>330</v>
      </c>
      <c r="C25" t="s">
        <v>328</v>
      </c>
      <c r="D25" t="s">
        <v>331</v>
      </c>
      <c r="E25" t="s">
        <v>178</v>
      </c>
      <c r="F25" t="s">
        <v>332</v>
      </c>
      <c r="G25" t="s">
        <v>333</v>
      </c>
      <c r="H25" t="s">
        <v>334</v>
      </c>
      <c r="I25" t="s">
        <v>335</v>
      </c>
      <c r="J25" t="s">
        <v>336</v>
      </c>
      <c r="K25" t="s">
        <v>50</v>
      </c>
      <c r="L25" s="30" t="str">
        <f t="shared" si="0"/>
        <v>Complete</v>
      </c>
    </row>
    <row r="26" spans="2:12" ht="21" customHeight="1" x14ac:dyDescent="0.2">
      <c r="B26" t="s">
        <v>337</v>
      </c>
      <c r="C26" t="s">
        <v>338</v>
      </c>
      <c r="D26" t="s">
        <v>339</v>
      </c>
      <c r="E26" t="s">
        <v>178</v>
      </c>
      <c r="F26" t="s">
        <v>340</v>
      </c>
      <c r="G26" t="s">
        <v>341</v>
      </c>
      <c r="H26" t="s">
        <v>181</v>
      </c>
      <c r="I26" t="s">
        <v>342</v>
      </c>
      <c r="J26" t="s">
        <v>343</v>
      </c>
      <c r="K26" t="s">
        <v>50</v>
      </c>
      <c r="L26" s="30" t="str">
        <f t="shared" si="0"/>
        <v>Complete</v>
      </c>
    </row>
    <row r="27" spans="2:12" ht="21" customHeight="1" x14ac:dyDescent="0.2">
      <c r="L27" s="30" t="str">
        <f t="shared" si="0"/>
        <v>Empty</v>
      </c>
    </row>
    <row r="28" spans="2:12" ht="21" customHeight="1" x14ac:dyDescent="0.2">
      <c r="L28" s="30" t="str">
        <f t="shared" si="0"/>
        <v>Empty</v>
      </c>
    </row>
    <row r="29" spans="2:12" ht="21" customHeight="1" x14ac:dyDescent="0.2">
      <c r="L29" s="30" t="str">
        <f t="shared" si="0"/>
        <v>Empty</v>
      </c>
    </row>
    <row r="30" spans="2:12" ht="21" customHeight="1" x14ac:dyDescent="0.2">
      <c r="L30" s="30" t="str">
        <f t="shared" si="0"/>
        <v>Empty</v>
      </c>
    </row>
    <row r="31" spans="2:12" ht="21" customHeight="1" x14ac:dyDescent="0.2">
      <c r="L31" s="30" t="str">
        <f t="shared" si="0"/>
        <v>Empty</v>
      </c>
    </row>
    <row r="32" spans="2:12" ht="21" customHeight="1" x14ac:dyDescent="0.2">
      <c r="L32" s="30" t="str">
        <f t="shared" si="0"/>
        <v>Empty</v>
      </c>
    </row>
    <row r="33" spans="12:12" ht="21" customHeight="1" x14ac:dyDescent="0.2">
      <c r="L33" s="30" t="str">
        <f t="shared" si="0"/>
        <v>Empty</v>
      </c>
    </row>
    <row r="34" spans="12:12" ht="21" customHeight="1" x14ac:dyDescent="0.2">
      <c r="L34" s="30" t="str">
        <f t="shared" si="0"/>
        <v>Empty</v>
      </c>
    </row>
    <row r="35" spans="12:12" ht="21" customHeight="1" x14ac:dyDescent="0.2">
      <c r="L35" s="30" t="str">
        <f t="shared" si="0"/>
        <v>Empty</v>
      </c>
    </row>
    <row r="36" spans="12:12" ht="21" customHeight="1" x14ac:dyDescent="0.2">
      <c r="L36" s="30" t="str">
        <f t="shared" si="0"/>
        <v>Empty</v>
      </c>
    </row>
    <row r="37" spans="12:12" ht="21" customHeight="1" x14ac:dyDescent="0.2">
      <c r="L37" s="30" t="str">
        <f t="shared" si="0"/>
        <v>Empty</v>
      </c>
    </row>
    <row r="38" spans="12:12" ht="21" customHeight="1" x14ac:dyDescent="0.2">
      <c r="L38" s="30" t="str">
        <f t="shared" si="0"/>
        <v>Empty</v>
      </c>
    </row>
    <row r="39" spans="12:12" ht="21" customHeight="1" x14ac:dyDescent="0.2">
      <c r="L39" s="30" t="str">
        <f t="shared" si="0"/>
        <v>Empty</v>
      </c>
    </row>
    <row r="40" spans="12:12" ht="21" customHeight="1" x14ac:dyDescent="0.2">
      <c r="L40" s="30" t="str">
        <f t="shared" si="0"/>
        <v>Empty</v>
      </c>
    </row>
  </sheetData>
  <mergeCells count="2">
    <mergeCell ref="A1:H1"/>
    <mergeCell ref="A2:H2"/>
  </mergeCells>
  <dataValidations count="2">
    <dataValidation type="list" sqref="E5:E40" xr:uid="{00000000-0002-0000-0300-000000000000}">
      <formula1>"Traditional,AI,Managed,Agentic"</formula1>
      <formula2>0</formula2>
    </dataValidation>
    <dataValidation type="list" sqref="K5:K40" xr:uid="{00000000-0002-0000-0300-000001000000}">
      <formula1>"Draft,Approved,Later,Blocked,Done"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50"/>
  <sheetViews>
    <sheetView zoomScale="120" zoomScaleNormal="120" workbookViewId="0">
      <selection activeCell="A4" sqref="A4"/>
    </sheetView>
  </sheetViews>
  <sheetFormatPr baseColWidth="10" defaultColWidth="8.83203125" defaultRowHeight="21" customHeight="1" x14ac:dyDescent="0.2"/>
  <cols>
    <col min="1" max="2" width="24" customWidth="1"/>
    <col min="3" max="3" width="30" customWidth="1"/>
    <col min="4" max="4" width="14" customWidth="1"/>
    <col min="5" max="5" width="28" customWidth="1"/>
    <col min="6" max="6" width="24" customWidth="1"/>
    <col min="7" max="7" width="40" customWidth="1"/>
    <col min="8" max="8" width="24" customWidth="1"/>
  </cols>
  <sheetData>
    <row r="1" spans="1:26" ht="34.5" customHeight="1" x14ac:dyDescent="0.2">
      <c r="A1" s="2" t="s">
        <v>13</v>
      </c>
      <c r="B1" s="2"/>
      <c r="C1" s="2"/>
      <c r="D1" s="2"/>
      <c r="E1" s="2"/>
      <c r="F1" s="2"/>
      <c r="G1" s="2"/>
      <c r="H1" s="2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53.25" customHeight="1" x14ac:dyDescent="0.2">
      <c r="A2" s="11" t="s">
        <v>344</v>
      </c>
      <c r="B2" s="11"/>
      <c r="C2" s="11"/>
      <c r="D2" s="11"/>
      <c r="E2" s="11"/>
      <c r="F2" s="11"/>
      <c r="G2" s="11"/>
      <c r="H2" s="11"/>
    </row>
    <row r="3" spans="1:26" ht="15" x14ac:dyDescent="0.2"/>
    <row r="4" spans="1:26" ht="42.75" customHeight="1" x14ac:dyDescent="0.2">
      <c r="A4" s="14" t="s">
        <v>345</v>
      </c>
      <c r="B4" s="14" t="s">
        <v>346</v>
      </c>
      <c r="C4" s="14" t="s">
        <v>347</v>
      </c>
      <c r="D4" s="14" t="s">
        <v>348</v>
      </c>
      <c r="E4" s="14" t="s">
        <v>349</v>
      </c>
      <c r="F4" s="14" t="s">
        <v>350</v>
      </c>
      <c r="G4" s="14" t="s">
        <v>351</v>
      </c>
      <c r="H4" s="14" t="s">
        <v>352</v>
      </c>
    </row>
    <row r="5" spans="1:26" ht="21" customHeight="1" x14ac:dyDescent="0.2">
      <c r="A5" s="15" t="s">
        <v>353</v>
      </c>
      <c r="B5" s="15" t="s">
        <v>354</v>
      </c>
      <c r="C5" s="15" t="s">
        <v>355</v>
      </c>
      <c r="D5" s="15" t="s">
        <v>68</v>
      </c>
      <c r="E5" s="15" t="s">
        <v>356</v>
      </c>
      <c r="F5" s="15" t="s">
        <v>357</v>
      </c>
      <c r="G5" s="15" t="s">
        <v>358</v>
      </c>
      <c r="H5" s="15"/>
    </row>
    <row r="6" spans="1:26" ht="21" customHeight="1" x14ac:dyDescent="0.2">
      <c r="A6" s="15" t="s">
        <v>359</v>
      </c>
      <c r="B6" s="15" t="s">
        <v>360</v>
      </c>
      <c r="C6" s="15" t="s">
        <v>361</v>
      </c>
      <c r="D6" s="15" t="s">
        <v>68</v>
      </c>
      <c r="E6" s="15" t="s">
        <v>362</v>
      </c>
      <c r="F6" s="15" t="s">
        <v>357</v>
      </c>
      <c r="G6" s="15" t="s">
        <v>363</v>
      </c>
      <c r="H6" s="15"/>
    </row>
    <row r="7" spans="1:26" ht="21" customHeight="1" x14ac:dyDescent="0.2">
      <c r="A7" s="15" t="s">
        <v>364</v>
      </c>
      <c r="B7" s="15" t="s">
        <v>365</v>
      </c>
      <c r="C7" s="15" t="s">
        <v>366</v>
      </c>
      <c r="D7" s="15" t="s">
        <v>367</v>
      </c>
      <c r="E7" s="15" t="s">
        <v>368</v>
      </c>
      <c r="F7" s="15" t="s">
        <v>369</v>
      </c>
      <c r="G7" s="15" t="s">
        <v>370</v>
      </c>
      <c r="H7" s="15"/>
    </row>
    <row r="8" spans="1:26" ht="21" customHeight="1" x14ac:dyDescent="0.2">
      <c r="A8" s="15" t="s">
        <v>371</v>
      </c>
      <c r="B8" s="15" t="s">
        <v>365</v>
      </c>
      <c r="C8" s="15" t="s">
        <v>372</v>
      </c>
      <c r="D8" s="15" t="s">
        <v>373</v>
      </c>
      <c r="E8" s="15" t="s">
        <v>374</v>
      </c>
      <c r="F8" s="15" t="s">
        <v>369</v>
      </c>
      <c r="G8" s="15" t="s">
        <v>375</v>
      </c>
      <c r="H8" s="15"/>
    </row>
    <row r="9" spans="1:26" ht="21" customHeight="1" x14ac:dyDescent="0.2">
      <c r="A9" s="15" t="s">
        <v>376</v>
      </c>
      <c r="B9" s="15" t="s">
        <v>377</v>
      </c>
      <c r="C9" s="15" t="s">
        <v>378</v>
      </c>
      <c r="D9" s="15" t="s">
        <v>367</v>
      </c>
      <c r="E9" s="15" t="s">
        <v>379</v>
      </c>
      <c r="F9" s="15" t="s">
        <v>369</v>
      </c>
      <c r="G9" s="15" t="s">
        <v>380</v>
      </c>
      <c r="H9" s="15"/>
    </row>
    <row r="10" spans="1:26" ht="21" customHeight="1" x14ac:dyDescent="0.2">
      <c r="A10" s="15" t="s">
        <v>381</v>
      </c>
      <c r="B10" s="15" t="s">
        <v>377</v>
      </c>
      <c r="C10" s="15" t="s">
        <v>382</v>
      </c>
      <c r="D10" s="15" t="s">
        <v>68</v>
      </c>
      <c r="E10" s="15" t="s">
        <v>383</v>
      </c>
      <c r="F10" s="15" t="s">
        <v>384</v>
      </c>
      <c r="G10" s="15" t="s">
        <v>385</v>
      </c>
      <c r="H10" s="15"/>
    </row>
    <row r="11" spans="1:26" ht="21" customHeight="1" x14ac:dyDescent="0.2">
      <c r="A11" s="15" t="s">
        <v>386</v>
      </c>
      <c r="B11" s="15" t="s">
        <v>387</v>
      </c>
      <c r="C11" s="15" t="s">
        <v>388</v>
      </c>
      <c r="D11" s="15" t="s">
        <v>68</v>
      </c>
      <c r="E11" s="15" t="s">
        <v>389</v>
      </c>
      <c r="F11" s="15" t="s">
        <v>357</v>
      </c>
      <c r="G11" s="15" t="s">
        <v>390</v>
      </c>
      <c r="H11" s="15"/>
    </row>
    <row r="12" spans="1:26" ht="21" customHeight="1" x14ac:dyDescent="0.2">
      <c r="A12" s="15" t="s">
        <v>391</v>
      </c>
      <c r="B12" s="15" t="s">
        <v>387</v>
      </c>
      <c r="C12" s="15" t="s">
        <v>392</v>
      </c>
      <c r="D12" s="15" t="s">
        <v>68</v>
      </c>
      <c r="E12" s="15" t="s">
        <v>393</v>
      </c>
      <c r="F12" s="15" t="s">
        <v>357</v>
      </c>
      <c r="G12" s="15" t="s">
        <v>394</v>
      </c>
      <c r="H12" s="15"/>
    </row>
    <row r="13" spans="1:26" ht="21" customHeight="1" x14ac:dyDescent="0.2">
      <c r="A13" s="15" t="s">
        <v>395</v>
      </c>
      <c r="B13" s="15" t="s">
        <v>396</v>
      </c>
      <c r="C13" s="15" t="s">
        <v>397</v>
      </c>
      <c r="D13" s="15" t="s">
        <v>68</v>
      </c>
      <c r="E13" s="15" t="s">
        <v>398</v>
      </c>
      <c r="F13" s="15" t="s">
        <v>357</v>
      </c>
      <c r="G13" s="15" t="s">
        <v>399</v>
      </c>
      <c r="H13" s="15"/>
    </row>
    <row r="14" spans="1:26" ht="21" customHeight="1" x14ac:dyDescent="0.2">
      <c r="A14" s="15" t="s">
        <v>400</v>
      </c>
      <c r="B14" s="15" t="s">
        <v>401</v>
      </c>
      <c r="C14" s="15" t="s">
        <v>402</v>
      </c>
      <c r="D14" s="15" t="s">
        <v>68</v>
      </c>
      <c r="E14" s="15" t="s">
        <v>403</v>
      </c>
      <c r="F14" s="15" t="s">
        <v>369</v>
      </c>
      <c r="G14" s="15" t="s">
        <v>404</v>
      </c>
      <c r="H14" s="15"/>
    </row>
    <row r="15" spans="1:26" ht="21" customHeight="1" x14ac:dyDescent="0.2">
      <c r="A15" s="15"/>
      <c r="B15" s="15"/>
      <c r="C15" s="15"/>
      <c r="D15" s="15"/>
      <c r="E15" s="15"/>
      <c r="F15" s="15"/>
      <c r="G15" s="15"/>
      <c r="H15" s="15"/>
    </row>
    <row r="16" spans="1:26" ht="21" customHeight="1" x14ac:dyDescent="0.2">
      <c r="A16" s="15"/>
      <c r="B16" s="15"/>
      <c r="C16" s="15"/>
      <c r="D16" s="15"/>
      <c r="E16" s="15"/>
      <c r="F16" s="15"/>
      <c r="G16" s="15"/>
      <c r="H16" s="15"/>
    </row>
    <row r="17" spans="1:8" ht="21" customHeight="1" x14ac:dyDescent="0.2">
      <c r="A17" s="15"/>
      <c r="B17" s="15"/>
      <c r="C17" s="15"/>
      <c r="D17" s="15"/>
      <c r="E17" s="15"/>
      <c r="F17" s="15"/>
      <c r="G17" s="15"/>
      <c r="H17" s="15"/>
    </row>
    <row r="18" spans="1:8" ht="21" customHeight="1" x14ac:dyDescent="0.2">
      <c r="A18" s="15"/>
      <c r="B18" s="15"/>
      <c r="C18" s="15"/>
      <c r="D18" s="15"/>
      <c r="E18" s="15"/>
      <c r="F18" s="15"/>
      <c r="G18" s="15"/>
      <c r="H18" s="15"/>
    </row>
    <row r="19" spans="1:8" ht="21" customHeight="1" x14ac:dyDescent="0.2">
      <c r="A19" s="15"/>
      <c r="B19" s="15"/>
      <c r="C19" s="15"/>
      <c r="D19" s="15"/>
      <c r="E19" s="15"/>
      <c r="F19" s="15"/>
      <c r="G19" s="15"/>
      <c r="H19" s="15"/>
    </row>
    <row r="20" spans="1:8" ht="21" customHeight="1" x14ac:dyDescent="0.2">
      <c r="A20" s="15"/>
      <c r="B20" s="15"/>
      <c r="C20" s="15"/>
      <c r="D20" s="15"/>
      <c r="E20" s="15"/>
      <c r="F20" s="15"/>
      <c r="G20" s="15"/>
      <c r="H20" s="15"/>
    </row>
    <row r="21" spans="1:8" ht="21" customHeight="1" x14ac:dyDescent="0.2">
      <c r="A21" s="15"/>
      <c r="B21" s="15"/>
      <c r="C21" s="15"/>
      <c r="D21" s="15"/>
      <c r="E21" s="15"/>
      <c r="F21" s="15"/>
      <c r="G21" s="15"/>
      <c r="H21" s="15"/>
    </row>
    <row r="22" spans="1:8" ht="21" customHeight="1" x14ac:dyDescent="0.2">
      <c r="A22" s="15"/>
      <c r="B22" s="15"/>
      <c r="C22" s="15"/>
      <c r="D22" s="15"/>
      <c r="E22" s="15"/>
      <c r="F22" s="15"/>
      <c r="G22" s="15"/>
      <c r="H22" s="15"/>
    </row>
    <row r="23" spans="1:8" ht="21" customHeight="1" x14ac:dyDescent="0.2">
      <c r="A23" s="15"/>
      <c r="B23" s="15"/>
      <c r="C23" s="15"/>
      <c r="D23" s="15"/>
      <c r="E23" s="15"/>
      <c r="F23" s="15"/>
      <c r="G23" s="15"/>
      <c r="H23" s="15"/>
    </row>
    <row r="24" spans="1:8" ht="21" customHeight="1" x14ac:dyDescent="0.2">
      <c r="A24" s="15"/>
      <c r="B24" s="15"/>
      <c r="C24" s="15"/>
      <c r="D24" s="15"/>
      <c r="E24" s="15"/>
      <c r="F24" s="15"/>
      <c r="G24" s="15"/>
      <c r="H24" s="15"/>
    </row>
    <row r="25" spans="1:8" ht="21" customHeight="1" x14ac:dyDescent="0.2">
      <c r="A25" s="15"/>
      <c r="B25" s="15"/>
      <c r="C25" s="15"/>
      <c r="D25" s="15"/>
      <c r="E25" s="15"/>
      <c r="F25" s="15"/>
      <c r="G25" s="15"/>
      <c r="H25" s="15"/>
    </row>
    <row r="26" spans="1:8" ht="21" customHeight="1" x14ac:dyDescent="0.2">
      <c r="A26" s="15"/>
      <c r="B26" s="15"/>
      <c r="C26" s="15"/>
      <c r="D26" s="15"/>
      <c r="E26" s="15"/>
      <c r="F26" s="15"/>
      <c r="G26" s="15"/>
      <c r="H26" s="15"/>
    </row>
    <row r="27" spans="1:8" ht="21" customHeight="1" x14ac:dyDescent="0.2">
      <c r="A27" s="15"/>
      <c r="B27" s="15"/>
      <c r="C27" s="15"/>
      <c r="D27" s="15"/>
      <c r="E27" s="15"/>
      <c r="F27" s="15"/>
      <c r="G27" s="15"/>
      <c r="H27" s="15"/>
    </row>
    <row r="28" spans="1:8" ht="21" customHeight="1" x14ac:dyDescent="0.2">
      <c r="A28" s="15"/>
      <c r="B28" s="15"/>
      <c r="C28" s="15"/>
      <c r="D28" s="15"/>
      <c r="E28" s="15"/>
      <c r="F28" s="15"/>
      <c r="G28" s="15"/>
      <c r="H28" s="15"/>
    </row>
    <row r="29" spans="1:8" ht="21" customHeight="1" x14ac:dyDescent="0.2">
      <c r="A29" s="15"/>
      <c r="B29" s="15"/>
      <c r="C29" s="15"/>
      <c r="D29" s="15"/>
      <c r="E29" s="15"/>
      <c r="F29" s="15"/>
      <c r="G29" s="15"/>
      <c r="H29" s="15"/>
    </row>
    <row r="30" spans="1:8" ht="21" customHeight="1" x14ac:dyDescent="0.2">
      <c r="A30" s="15"/>
      <c r="B30" s="15"/>
      <c r="C30" s="15"/>
      <c r="D30" s="15"/>
      <c r="E30" s="15"/>
      <c r="F30" s="15"/>
      <c r="G30" s="15"/>
      <c r="H30" s="15"/>
    </row>
    <row r="31" spans="1:8" ht="21" customHeight="1" x14ac:dyDescent="0.2">
      <c r="A31" s="15"/>
      <c r="B31" s="15"/>
      <c r="C31" s="15"/>
      <c r="D31" s="15"/>
      <c r="E31" s="15"/>
      <c r="F31" s="15"/>
      <c r="G31" s="15"/>
      <c r="H31" s="15"/>
    </row>
    <row r="32" spans="1:8" ht="21" customHeight="1" x14ac:dyDescent="0.2">
      <c r="A32" s="15"/>
      <c r="B32" s="15"/>
      <c r="C32" s="15"/>
      <c r="D32" s="15"/>
      <c r="E32" s="15"/>
      <c r="F32" s="15"/>
      <c r="G32" s="15"/>
      <c r="H32" s="15"/>
    </row>
    <row r="33" spans="1:8" ht="21" customHeight="1" x14ac:dyDescent="0.2">
      <c r="A33" s="15"/>
      <c r="B33" s="15"/>
      <c r="C33" s="15"/>
      <c r="D33" s="15"/>
      <c r="E33" s="15"/>
      <c r="F33" s="15"/>
      <c r="G33" s="15"/>
      <c r="H33" s="15"/>
    </row>
    <row r="34" spans="1:8" ht="21" customHeight="1" x14ac:dyDescent="0.2">
      <c r="A34" s="15"/>
      <c r="B34" s="15"/>
      <c r="C34" s="15"/>
      <c r="D34" s="15"/>
      <c r="E34" s="15"/>
      <c r="F34" s="15"/>
      <c r="G34" s="15"/>
      <c r="H34" s="15"/>
    </row>
    <row r="35" spans="1:8" ht="21" customHeight="1" x14ac:dyDescent="0.2">
      <c r="A35" s="15"/>
      <c r="B35" s="15"/>
      <c r="C35" s="15"/>
      <c r="D35" s="15"/>
      <c r="E35" s="15"/>
      <c r="F35" s="15"/>
      <c r="G35" s="15"/>
      <c r="H35" s="15"/>
    </row>
    <row r="36" spans="1:8" ht="21" customHeight="1" x14ac:dyDescent="0.2">
      <c r="A36" s="15"/>
      <c r="B36" s="15"/>
      <c r="C36" s="15"/>
      <c r="D36" s="15"/>
      <c r="E36" s="15"/>
      <c r="F36" s="15"/>
      <c r="G36" s="15"/>
      <c r="H36" s="15"/>
    </row>
    <row r="37" spans="1:8" ht="21" customHeight="1" x14ac:dyDescent="0.2">
      <c r="A37" s="15"/>
      <c r="B37" s="15"/>
      <c r="C37" s="15"/>
      <c r="D37" s="15"/>
      <c r="E37" s="15"/>
      <c r="F37" s="15"/>
      <c r="G37" s="15"/>
      <c r="H37" s="15"/>
    </row>
    <row r="38" spans="1:8" ht="21" customHeight="1" x14ac:dyDescent="0.2">
      <c r="A38" s="15"/>
      <c r="B38" s="15"/>
      <c r="C38" s="15"/>
      <c r="D38" s="15"/>
      <c r="E38" s="15"/>
      <c r="F38" s="15"/>
      <c r="G38" s="15"/>
      <c r="H38" s="15"/>
    </row>
    <row r="39" spans="1:8" ht="21" customHeight="1" x14ac:dyDescent="0.2">
      <c r="A39" s="15"/>
      <c r="B39" s="15"/>
      <c r="C39" s="15"/>
      <c r="D39" s="15"/>
      <c r="E39" s="15"/>
      <c r="F39" s="15"/>
      <c r="G39" s="15"/>
      <c r="H39" s="15"/>
    </row>
    <row r="40" spans="1:8" ht="21" customHeight="1" x14ac:dyDescent="0.2">
      <c r="A40" s="15"/>
      <c r="B40" s="15"/>
      <c r="C40" s="15"/>
      <c r="D40" s="15"/>
      <c r="E40" s="15"/>
      <c r="F40" s="15"/>
      <c r="G40" s="15"/>
      <c r="H40" s="15"/>
    </row>
    <row r="41" spans="1:8" ht="21" customHeight="1" x14ac:dyDescent="0.2">
      <c r="A41" s="15"/>
      <c r="B41" s="15"/>
      <c r="C41" s="15"/>
      <c r="D41" s="15"/>
      <c r="E41" s="15"/>
      <c r="F41" s="15"/>
      <c r="G41" s="15"/>
      <c r="H41" s="15"/>
    </row>
    <row r="42" spans="1:8" ht="21" customHeight="1" x14ac:dyDescent="0.2">
      <c r="A42" s="15"/>
      <c r="B42" s="15"/>
      <c r="C42" s="15"/>
      <c r="D42" s="15"/>
      <c r="E42" s="15"/>
      <c r="F42" s="15"/>
      <c r="G42" s="15"/>
      <c r="H42" s="15"/>
    </row>
    <row r="43" spans="1:8" ht="21" customHeight="1" x14ac:dyDescent="0.2">
      <c r="A43" s="15"/>
      <c r="B43" s="15"/>
      <c r="C43" s="15"/>
      <c r="D43" s="15"/>
      <c r="E43" s="15"/>
      <c r="F43" s="15"/>
      <c r="G43" s="15"/>
      <c r="H43" s="15"/>
    </row>
    <row r="44" spans="1:8" ht="21" customHeight="1" x14ac:dyDescent="0.2">
      <c r="A44" s="15"/>
      <c r="B44" s="15"/>
      <c r="C44" s="15"/>
      <c r="D44" s="15"/>
      <c r="E44" s="15"/>
      <c r="F44" s="15"/>
      <c r="G44" s="15"/>
      <c r="H44" s="15"/>
    </row>
    <row r="45" spans="1:8" ht="21" customHeight="1" x14ac:dyDescent="0.2">
      <c r="A45" s="15"/>
      <c r="B45" s="15"/>
      <c r="C45" s="15"/>
      <c r="D45" s="15"/>
      <c r="E45" s="15"/>
      <c r="F45" s="15"/>
      <c r="G45" s="15"/>
      <c r="H45" s="15"/>
    </row>
    <row r="46" spans="1:8" ht="21" customHeight="1" x14ac:dyDescent="0.2">
      <c r="A46" s="15"/>
      <c r="B46" s="15"/>
      <c r="C46" s="15"/>
      <c r="D46" s="15"/>
      <c r="E46" s="15"/>
      <c r="F46" s="15"/>
      <c r="G46" s="15"/>
      <c r="H46" s="15"/>
    </row>
    <row r="47" spans="1:8" ht="21" customHeight="1" x14ac:dyDescent="0.2">
      <c r="A47" s="15"/>
      <c r="B47" s="15"/>
      <c r="C47" s="15"/>
      <c r="D47" s="15"/>
      <c r="E47" s="15"/>
      <c r="F47" s="15"/>
      <c r="G47" s="15"/>
      <c r="H47" s="15"/>
    </row>
    <row r="48" spans="1:8" ht="21" customHeight="1" x14ac:dyDescent="0.2">
      <c r="A48" s="15"/>
      <c r="B48" s="15"/>
      <c r="C48" s="15"/>
      <c r="D48" s="15"/>
      <c r="E48" s="15"/>
      <c r="F48" s="15"/>
      <c r="G48" s="15"/>
      <c r="H48" s="15"/>
    </row>
    <row r="49" spans="1:8" ht="21" customHeight="1" x14ac:dyDescent="0.2">
      <c r="A49" s="15"/>
      <c r="B49" s="15"/>
      <c r="C49" s="15"/>
      <c r="D49" s="15"/>
      <c r="E49" s="15"/>
      <c r="F49" s="15"/>
      <c r="G49" s="15"/>
      <c r="H49" s="15"/>
    </row>
    <row r="50" spans="1:8" ht="21" customHeight="1" x14ac:dyDescent="0.2">
      <c r="A50" s="15"/>
      <c r="B50" s="15"/>
      <c r="C50" s="15"/>
      <c r="D50" s="15"/>
      <c r="E50" s="15"/>
      <c r="F50" s="15"/>
      <c r="G50" s="15"/>
      <c r="H50" s="15"/>
    </row>
  </sheetData>
  <mergeCells count="2">
    <mergeCell ref="A1:H1"/>
    <mergeCell ref="A2:H2"/>
  </mergeCells>
  <dataValidations count="1">
    <dataValidation type="list" allowBlank="1" sqref="D5:D50" xr:uid="{00000000-0002-0000-0400-000000000000}">
      <formula1>"Yes,No,Optional,Yes for email,Yes for sensitive,Conditional"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1"/>
  <sheetViews>
    <sheetView zoomScale="120" zoomScaleNormal="120" workbookViewId="0">
      <selection activeCell="A4" sqref="A4"/>
    </sheetView>
  </sheetViews>
  <sheetFormatPr baseColWidth="10" defaultColWidth="8.83203125" defaultRowHeight="21" customHeight="1" x14ac:dyDescent="0.2"/>
  <cols>
    <col min="1" max="1" width="24" customWidth="1"/>
    <col min="2" max="3" width="34" customWidth="1"/>
    <col min="4" max="4" width="36" customWidth="1"/>
    <col min="5" max="5" width="18" customWidth="1"/>
    <col min="6" max="6" width="22" customWidth="1"/>
    <col min="7" max="7" width="18" customWidth="1"/>
    <col min="8" max="8" width="32" customWidth="1"/>
    <col min="9" max="9" width="24" customWidth="1"/>
  </cols>
  <sheetData>
    <row r="1" spans="1:26" ht="34.5" customHeight="1" x14ac:dyDescent="0.2">
      <c r="A1" s="2" t="s">
        <v>16</v>
      </c>
      <c r="B1" s="2"/>
      <c r="C1" s="2"/>
      <c r="D1" s="2"/>
      <c r="E1" s="2"/>
      <c r="F1" s="2"/>
      <c r="G1" s="2"/>
      <c r="H1" s="2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53.25" customHeight="1" x14ac:dyDescent="0.2">
      <c r="A2" s="11" t="s">
        <v>405</v>
      </c>
      <c r="B2" s="11"/>
      <c r="C2" s="11"/>
      <c r="D2" s="11"/>
      <c r="E2" s="11"/>
      <c r="F2" s="11"/>
      <c r="G2" s="11"/>
      <c r="H2" s="11"/>
    </row>
    <row r="3" spans="1:26" ht="15" x14ac:dyDescent="0.2"/>
    <row r="4" spans="1:26" ht="42.75" customHeight="1" x14ac:dyDescent="0.2">
      <c r="A4" s="32" t="s">
        <v>406</v>
      </c>
      <c r="B4" s="32" t="s">
        <v>407</v>
      </c>
      <c r="C4" s="32" t="s">
        <v>408</v>
      </c>
      <c r="D4" s="32" t="s">
        <v>409</v>
      </c>
      <c r="E4" s="32" t="s">
        <v>410</v>
      </c>
      <c r="F4" s="32" t="s">
        <v>411</v>
      </c>
      <c r="G4" s="32" t="s">
        <v>412</v>
      </c>
      <c r="H4" s="32" t="s">
        <v>413</v>
      </c>
      <c r="I4" s="32" t="s">
        <v>414</v>
      </c>
    </row>
    <row r="5" spans="1:26" ht="21" customHeight="1" x14ac:dyDescent="0.2">
      <c r="A5" t="s">
        <v>388</v>
      </c>
      <c r="B5" t="s">
        <v>415</v>
      </c>
      <c r="C5" t="s">
        <v>416</v>
      </c>
      <c r="D5" t="s">
        <v>417</v>
      </c>
      <c r="E5" t="s">
        <v>68</v>
      </c>
      <c r="F5" t="s">
        <v>402</v>
      </c>
      <c r="G5" t="s">
        <v>418</v>
      </c>
      <c r="H5" t="s">
        <v>419</v>
      </c>
    </row>
    <row r="6" spans="1:26" ht="21" customHeight="1" x14ac:dyDescent="0.2">
      <c r="A6" t="s">
        <v>420</v>
      </c>
      <c r="B6" t="s">
        <v>421</v>
      </c>
      <c r="C6" t="s">
        <v>422</v>
      </c>
      <c r="D6" t="s">
        <v>423</v>
      </c>
      <c r="E6" t="s">
        <v>68</v>
      </c>
      <c r="F6" t="s">
        <v>402</v>
      </c>
      <c r="G6" t="s">
        <v>418</v>
      </c>
      <c r="H6" t="s">
        <v>424</v>
      </c>
    </row>
    <row r="7" spans="1:26" ht="21" customHeight="1" x14ac:dyDescent="0.2">
      <c r="A7" t="s">
        <v>425</v>
      </c>
      <c r="B7" t="s">
        <v>426</v>
      </c>
      <c r="C7" t="s">
        <v>427</v>
      </c>
      <c r="D7" t="s">
        <v>428</v>
      </c>
      <c r="E7" t="s">
        <v>68</v>
      </c>
      <c r="F7" t="s">
        <v>429</v>
      </c>
      <c r="G7" t="s">
        <v>418</v>
      </c>
      <c r="H7" t="s">
        <v>430</v>
      </c>
    </row>
    <row r="8" spans="1:26" ht="21" customHeight="1" x14ac:dyDescent="0.2">
      <c r="A8" t="s">
        <v>431</v>
      </c>
      <c r="B8" t="s">
        <v>432</v>
      </c>
      <c r="C8" t="s">
        <v>433</v>
      </c>
      <c r="D8" t="s">
        <v>434</v>
      </c>
      <c r="E8" t="s">
        <v>68</v>
      </c>
      <c r="F8" t="s">
        <v>435</v>
      </c>
      <c r="G8" t="s">
        <v>70</v>
      </c>
      <c r="H8" t="s">
        <v>436</v>
      </c>
    </row>
    <row r="9" spans="1:26" ht="21" customHeight="1" x14ac:dyDescent="0.2">
      <c r="A9" t="s">
        <v>437</v>
      </c>
      <c r="B9" t="s">
        <v>438</v>
      </c>
      <c r="C9" t="s">
        <v>439</v>
      </c>
      <c r="D9" t="s">
        <v>440</v>
      </c>
      <c r="E9" t="s">
        <v>68</v>
      </c>
      <c r="F9" t="s">
        <v>441</v>
      </c>
      <c r="G9" t="s">
        <v>70</v>
      </c>
      <c r="H9" t="s">
        <v>442</v>
      </c>
    </row>
    <row r="10" spans="1:26" ht="21" customHeight="1" x14ac:dyDescent="0.2">
      <c r="A10" t="s">
        <v>443</v>
      </c>
      <c r="B10" t="s">
        <v>444</v>
      </c>
      <c r="C10" t="s">
        <v>445</v>
      </c>
      <c r="D10" t="s">
        <v>446</v>
      </c>
      <c r="E10" t="s">
        <v>447</v>
      </c>
      <c r="F10" t="s">
        <v>448</v>
      </c>
      <c r="G10" t="s">
        <v>70</v>
      </c>
      <c r="H10" t="s">
        <v>449</v>
      </c>
    </row>
    <row r="11" spans="1:26" ht="21" customHeight="1" x14ac:dyDescent="0.2">
      <c r="A11" t="s">
        <v>450</v>
      </c>
      <c r="B11" t="s">
        <v>451</v>
      </c>
      <c r="C11" t="s">
        <v>452</v>
      </c>
      <c r="D11" t="s">
        <v>453</v>
      </c>
      <c r="E11" t="s">
        <v>70</v>
      </c>
      <c r="F11" t="s">
        <v>454</v>
      </c>
      <c r="G11" t="s">
        <v>70</v>
      </c>
      <c r="H11" t="s">
        <v>455</v>
      </c>
    </row>
  </sheetData>
  <mergeCells count="2">
    <mergeCell ref="A1:H1"/>
    <mergeCell ref="A2:H2"/>
  </mergeCells>
  <dataValidations count="2">
    <dataValidation type="list" allowBlank="1" sqref="E5:E50" xr:uid="{00000000-0002-0000-0500-000000000000}">
      <formula1>"Yes,No,Sometimes"</formula1>
      <formula2>0</formula2>
    </dataValidation>
    <dataValidation type="list" allowBlank="1" sqref="G5:G50" xr:uid="{00000000-0002-0000-0500-000001000000}">
      <formula1>"No,No in MVP,Yes,Safe categories only,Conditional"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1"/>
  <sheetViews>
    <sheetView zoomScale="120" zoomScaleNormal="120" workbookViewId="0">
      <selection activeCell="A4" sqref="A4"/>
    </sheetView>
  </sheetViews>
  <sheetFormatPr baseColWidth="10" defaultColWidth="8.83203125" defaultRowHeight="21" customHeight="1" x14ac:dyDescent="0.2"/>
  <cols>
    <col min="1" max="1" width="28" customWidth="1"/>
    <col min="2" max="4" width="24" customWidth="1"/>
    <col min="5" max="5" width="32" customWidth="1"/>
    <col min="6" max="6" width="30" customWidth="1"/>
    <col min="7" max="7" width="16" customWidth="1"/>
    <col min="8" max="8" width="34" customWidth="1"/>
  </cols>
  <sheetData>
    <row r="1" spans="1:26" ht="34.5" customHeight="1" x14ac:dyDescent="0.2">
      <c r="A1" s="2" t="s">
        <v>19</v>
      </c>
      <c r="B1" s="2"/>
      <c r="C1" s="2"/>
      <c r="D1" s="2"/>
      <c r="E1" s="2"/>
      <c r="F1" s="2"/>
      <c r="G1" s="2"/>
      <c r="H1" s="2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53.25" customHeight="1" x14ac:dyDescent="0.2">
      <c r="A2" s="11" t="s">
        <v>456</v>
      </c>
      <c r="B2" s="11"/>
      <c r="C2" s="11"/>
      <c r="D2" s="11"/>
      <c r="E2" s="11"/>
      <c r="F2" s="11"/>
      <c r="G2" s="11"/>
      <c r="H2" s="11"/>
    </row>
    <row r="3" spans="1:26" ht="15" x14ac:dyDescent="0.2"/>
    <row r="4" spans="1:26" ht="42.75" customHeight="1" x14ac:dyDescent="0.2">
      <c r="A4" s="14" t="s">
        <v>457</v>
      </c>
      <c r="B4" s="14" t="s">
        <v>458</v>
      </c>
      <c r="C4" s="14" t="s">
        <v>459</v>
      </c>
      <c r="D4" s="14" t="s">
        <v>460</v>
      </c>
      <c r="E4" s="14" t="s">
        <v>461</v>
      </c>
      <c r="F4" s="14" t="s">
        <v>462</v>
      </c>
      <c r="G4" s="14" t="s">
        <v>463</v>
      </c>
      <c r="H4" s="14" t="s">
        <v>464</v>
      </c>
    </row>
    <row r="5" spans="1:26" ht="21" customHeight="1" x14ac:dyDescent="0.2">
      <c r="A5" t="s">
        <v>465</v>
      </c>
      <c r="B5" t="s">
        <v>466</v>
      </c>
      <c r="C5" t="s">
        <v>467</v>
      </c>
      <c r="D5" t="s">
        <v>468</v>
      </c>
      <c r="E5" t="s">
        <v>469</v>
      </c>
      <c r="F5" t="s">
        <v>470</v>
      </c>
      <c r="G5" t="s">
        <v>68</v>
      </c>
      <c r="H5" t="s">
        <v>471</v>
      </c>
    </row>
    <row r="6" spans="1:26" ht="21" customHeight="1" x14ac:dyDescent="0.2">
      <c r="A6" t="s">
        <v>472</v>
      </c>
      <c r="B6" t="s">
        <v>473</v>
      </c>
      <c r="C6" t="s">
        <v>474</v>
      </c>
      <c r="D6" t="s">
        <v>475</v>
      </c>
      <c r="E6" t="s">
        <v>476</v>
      </c>
      <c r="F6" t="s">
        <v>477</v>
      </c>
      <c r="G6" t="s">
        <v>68</v>
      </c>
      <c r="H6" t="s">
        <v>478</v>
      </c>
    </row>
    <row r="7" spans="1:26" ht="21" customHeight="1" x14ac:dyDescent="0.2">
      <c r="A7" t="s">
        <v>479</v>
      </c>
      <c r="B7" t="s">
        <v>480</v>
      </c>
      <c r="C7" t="s">
        <v>481</v>
      </c>
      <c r="D7" t="s">
        <v>482</v>
      </c>
      <c r="E7" t="s">
        <v>483</v>
      </c>
      <c r="F7" t="s">
        <v>484</v>
      </c>
      <c r="G7" t="s">
        <v>68</v>
      </c>
      <c r="H7" t="s">
        <v>485</v>
      </c>
    </row>
    <row r="8" spans="1:26" ht="21" customHeight="1" x14ac:dyDescent="0.2">
      <c r="A8" t="s">
        <v>486</v>
      </c>
      <c r="B8" t="s">
        <v>487</v>
      </c>
      <c r="C8" t="s">
        <v>488</v>
      </c>
      <c r="D8" t="s">
        <v>489</v>
      </c>
      <c r="E8" t="s">
        <v>490</v>
      </c>
      <c r="F8" t="s">
        <v>491</v>
      </c>
      <c r="G8" t="s">
        <v>68</v>
      </c>
      <c r="H8" t="s">
        <v>492</v>
      </c>
    </row>
    <row r="9" spans="1:26" ht="21" customHeight="1" x14ac:dyDescent="0.2">
      <c r="A9" t="s">
        <v>493</v>
      </c>
      <c r="B9" t="s">
        <v>494</v>
      </c>
      <c r="C9" t="s">
        <v>495</v>
      </c>
      <c r="D9" t="s">
        <v>496</v>
      </c>
      <c r="E9" t="s">
        <v>497</v>
      </c>
      <c r="F9" t="s">
        <v>498</v>
      </c>
      <c r="G9" t="s">
        <v>68</v>
      </c>
      <c r="H9" t="s">
        <v>499</v>
      </c>
    </row>
    <row r="10" spans="1:26" ht="21" customHeight="1" x14ac:dyDescent="0.2">
      <c r="A10" t="s">
        <v>500</v>
      </c>
      <c r="B10" t="s">
        <v>501</v>
      </c>
      <c r="C10" t="s">
        <v>502</v>
      </c>
      <c r="D10" t="s">
        <v>475</v>
      </c>
      <c r="E10" t="s">
        <v>497</v>
      </c>
      <c r="F10" t="s">
        <v>503</v>
      </c>
      <c r="G10" t="s">
        <v>504</v>
      </c>
      <c r="H10" t="s">
        <v>505</v>
      </c>
    </row>
    <row r="11" spans="1:26" ht="21" customHeight="1" x14ac:dyDescent="0.2">
      <c r="A11" t="s">
        <v>506</v>
      </c>
      <c r="B11" t="s">
        <v>507</v>
      </c>
      <c r="C11" t="s">
        <v>508</v>
      </c>
      <c r="D11" t="s">
        <v>509</v>
      </c>
      <c r="E11" t="s">
        <v>510</v>
      </c>
      <c r="F11" t="s">
        <v>511</v>
      </c>
      <c r="G11" t="s">
        <v>68</v>
      </c>
      <c r="H11" t="s">
        <v>512</v>
      </c>
    </row>
  </sheetData>
  <mergeCells count="2">
    <mergeCell ref="A1:H1"/>
    <mergeCell ref="A2:H2"/>
  </mergeCells>
  <dataValidations count="1">
    <dataValidation type="list" sqref="G5:G40" xr:uid="{00000000-0002-0000-0600-000000000000}">
      <formula1>"Yes,No,Later,Maybe"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40"/>
  <sheetViews>
    <sheetView zoomScale="120" zoomScaleNormal="120" workbookViewId="0">
      <selection activeCell="A4" sqref="A4"/>
    </sheetView>
  </sheetViews>
  <sheetFormatPr baseColWidth="10" defaultColWidth="8.83203125" defaultRowHeight="21" customHeight="1" x14ac:dyDescent="0.2"/>
  <cols>
    <col min="1" max="1" width="28" customWidth="1"/>
    <col min="2" max="2" width="20" customWidth="1"/>
    <col min="3" max="3" width="22" customWidth="1"/>
    <col min="4" max="4" width="20" customWidth="1"/>
    <col min="5" max="6" width="24" customWidth="1"/>
    <col min="7" max="7" width="18" customWidth="1"/>
    <col min="8" max="8" width="38" customWidth="1"/>
  </cols>
  <sheetData>
    <row r="1" spans="1:26" ht="34.5" customHeight="1" x14ac:dyDescent="0.2">
      <c r="A1" s="2" t="s">
        <v>22</v>
      </c>
      <c r="B1" s="2"/>
      <c r="C1" s="2"/>
      <c r="D1" s="2"/>
      <c r="E1" s="2"/>
      <c r="F1" s="2"/>
      <c r="G1" s="2"/>
      <c r="H1" s="2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53.25" customHeight="1" x14ac:dyDescent="0.2">
      <c r="A2" s="11" t="s">
        <v>513</v>
      </c>
      <c r="B2" s="11"/>
      <c r="C2" s="11"/>
      <c r="D2" s="11"/>
      <c r="E2" s="11"/>
      <c r="F2" s="11"/>
      <c r="G2" s="11"/>
      <c r="H2" s="11"/>
    </row>
    <row r="3" spans="1:26" ht="15" x14ac:dyDescent="0.2"/>
    <row r="4" spans="1:26" ht="42.75" customHeight="1" x14ac:dyDescent="0.2">
      <c r="A4" s="14" t="s">
        <v>514</v>
      </c>
      <c r="B4" s="14" t="s">
        <v>515</v>
      </c>
      <c r="C4" s="14" t="s">
        <v>516</v>
      </c>
      <c r="D4" s="14" t="s">
        <v>517</v>
      </c>
      <c r="E4" s="14" t="s">
        <v>518</v>
      </c>
      <c r="F4" s="14" t="s">
        <v>519</v>
      </c>
      <c r="G4" s="14" t="s">
        <v>520</v>
      </c>
      <c r="H4" s="14" t="s">
        <v>521</v>
      </c>
    </row>
    <row r="5" spans="1:26" ht="21" customHeight="1" x14ac:dyDescent="0.2">
      <c r="A5" t="s">
        <v>522</v>
      </c>
      <c r="B5" t="s">
        <v>523</v>
      </c>
      <c r="C5" t="s">
        <v>68</v>
      </c>
      <c r="D5" t="s">
        <v>418</v>
      </c>
      <c r="E5" t="s">
        <v>524</v>
      </c>
      <c r="F5" t="s">
        <v>525</v>
      </c>
      <c r="G5" t="s">
        <v>526</v>
      </c>
      <c r="H5" t="s">
        <v>527</v>
      </c>
    </row>
    <row r="6" spans="1:26" ht="21" customHeight="1" x14ac:dyDescent="0.2">
      <c r="A6" t="s">
        <v>528</v>
      </c>
      <c r="B6" t="s">
        <v>523</v>
      </c>
      <c r="C6" t="s">
        <v>529</v>
      </c>
      <c r="D6" t="s">
        <v>418</v>
      </c>
      <c r="E6" t="s">
        <v>524</v>
      </c>
      <c r="F6" t="s">
        <v>525</v>
      </c>
      <c r="G6" t="s">
        <v>526</v>
      </c>
      <c r="H6" t="s">
        <v>527</v>
      </c>
    </row>
    <row r="7" spans="1:26" ht="21" customHeight="1" x14ac:dyDescent="0.2">
      <c r="A7" t="s">
        <v>530</v>
      </c>
      <c r="B7" t="s">
        <v>531</v>
      </c>
      <c r="C7" t="s">
        <v>532</v>
      </c>
      <c r="D7" t="s">
        <v>70</v>
      </c>
      <c r="E7" t="s">
        <v>524</v>
      </c>
      <c r="F7" t="s">
        <v>533</v>
      </c>
      <c r="G7" t="s">
        <v>534</v>
      </c>
      <c r="H7" t="s">
        <v>535</v>
      </c>
    </row>
    <row r="8" spans="1:26" ht="21" customHeight="1" x14ac:dyDescent="0.2">
      <c r="A8" t="s">
        <v>536</v>
      </c>
      <c r="B8" t="s">
        <v>531</v>
      </c>
      <c r="C8" t="s">
        <v>537</v>
      </c>
      <c r="D8" t="s">
        <v>70</v>
      </c>
      <c r="E8" t="s">
        <v>524</v>
      </c>
      <c r="F8" t="s">
        <v>538</v>
      </c>
      <c r="G8" t="s">
        <v>539</v>
      </c>
      <c r="H8" t="s">
        <v>540</v>
      </c>
    </row>
    <row r="9" spans="1:26" ht="21" customHeight="1" x14ac:dyDescent="0.2">
      <c r="A9" t="s">
        <v>541</v>
      </c>
      <c r="B9" t="s">
        <v>68</v>
      </c>
      <c r="C9" t="s">
        <v>542</v>
      </c>
      <c r="D9" t="s">
        <v>70</v>
      </c>
      <c r="E9" t="s">
        <v>543</v>
      </c>
      <c r="F9" t="s">
        <v>544</v>
      </c>
      <c r="G9" t="s">
        <v>545</v>
      </c>
      <c r="H9" t="s">
        <v>546</v>
      </c>
    </row>
    <row r="10" spans="1:26" ht="21" customHeight="1" x14ac:dyDescent="0.2">
      <c r="A10" t="s">
        <v>547</v>
      </c>
      <c r="B10" t="s">
        <v>70</v>
      </c>
      <c r="C10" t="s">
        <v>70</v>
      </c>
      <c r="D10" t="s">
        <v>70</v>
      </c>
      <c r="E10" t="s">
        <v>548</v>
      </c>
      <c r="F10" t="s">
        <v>549</v>
      </c>
      <c r="G10" t="s">
        <v>550</v>
      </c>
      <c r="H10" t="s">
        <v>551</v>
      </c>
    </row>
    <row r="11" spans="1:26" ht="21" customHeight="1" x14ac:dyDescent="0.2">
      <c r="A11" s="15"/>
      <c r="B11" s="15"/>
      <c r="C11" s="15"/>
      <c r="D11" s="15"/>
      <c r="E11" s="15"/>
      <c r="F11" s="15"/>
      <c r="G11" s="15"/>
      <c r="H11" s="15"/>
    </row>
    <row r="12" spans="1:26" ht="21" customHeight="1" x14ac:dyDescent="0.2">
      <c r="A12" s="15"/>
      <c r="B12" s="15"/>
      <c r="C12" s="15"/>
      <c r="D12" s="15"/>
      <c r="E12" s="15"/>
      <c r="F12" s="15"/>
      <c r="G12" s="15"/>
      <c r="H12" s="15"/>
    </row>
    <row r="13" spans="1:26" ht="21" customHeight="1" x14ac:dyDescent="0.2">
      <c r="A13" s="15"/>
      <c r="B13" s="15"/>
      <c r="C13" s="15"/>
      <c r="D13" s="15"/>
      <c r="E13" s="15"/>
      <c r="F13" s="15"/>
      <c r="G13" s="15"/>
      <c r="H13" s="15"/>
    </row>
    <row r="14" spans="1:26" ht="21" customHeight="1" x14ac:dyDescent="0.2">
      <c r="A14" s="15"/>
      <c r="B14" s="15"/>
      <c r="C14" s="15"/>
      <c r="D14" s="15"/>
      <c r="E14" s="15"/>
      <c r="F14" s="15"/>
      <c r="G14" s="15"/>
      <c r="H14" s="15"/>
    </row>
    <row r="15" spans="1:26" ht="21" customHeight="1" x14ac:dyDescent="0.2">
      <c r="A15" s="15"/>
      <c r="B15" s="15"/>
      <c r="C15" s="15"/>
      <c r="D15" s="15"/>
      <c r="E15" s="15"/>
      <c r="F15" s="15"/>
      <c r="G15" s="15"/>
      <c r="H15" s="15"/>
    </row>
    <row r="16" spans="1:26" ht="21" customHeight="1" x14ac:dyDescent="0.2">
      <c r="A16" s="15"/>
      <c r="B16" s="15"/>
      <c r="C16" s="15"/>
      <c r="D16" s="15"/>
      <c r="E16" s="15"/>
      <c r="F16" s="15"/>
      <c r="G16" s="15"/>
      <c r="H16" s="15"/>
    </row>
    <row r="17" spans="1:8" ht="21" customHeight="1" x14ac:dyDescent="0.2">
      <c r="A17" s="15"/>
      <c r="B17" s="15"/>
      <c r="C17" s="15"/>
      <c r="D17" s="15"/>
      <c r="E17" s="15"/>
      <c r="F17" s="15"/>
      <c r="G17" s="15"/>
      <c r="H17" s="15"/>
    </row>
    <row r="18" spans="1:8" ht="21" customHeight="1" x14ac:dyDescent="0.2">
      <c r="A18" s="15"/>
      <c r="B18" s="15"/>
      <c r="C18" s="15"/>
      <c r="D18" s="15"/>
      <c r="E18" s="15"/>
      <c r="F18" s="15"/>
      <c r="G18" s="15"/>
      <c r="H18" s="15"/>
    </row>
    <row r="19" spans="1:8" ht="21" customHeight="1" x14ac:dyDescent="0.2">
      <c r="A19" s="15"/>
      <c r="B19" s="15"/>
      <c r="C19" s="15"/>
      <c r="D19" s="15"/>
      <c r="E19" s="15"/>
      <c r="F19" s="15"/>
      <c r="G19" s="15"/>
      <c r="H19" s="15"/>
    </row>
    <row r="20" spans="1:8" ht="21" customHeight="1" x14ac:dyDescent="0.2">
      <c r="A20" s="15"/>
      <c r="B20" s="15"/>
      <c r="C20" s="15"/>
      <c r="D20" s="15"/>
      <c r="E20" s="15"/>
      <c r="F20" s="15"/>
      <c r="G20" s="15"/>
      <c r="H20" s="15"/>
    </row>
    <row r="21" spans="1:8" ht="21" customHeight="1" x14ac:dyDescent="0.2">
      <c r="A21" s="15"/>
      <c r="B21" s="15"/>
      <c r="C21" s="15"/>
      <c r="D21" s="15"/>
      <c r="E21" s="15"/>
      <c r="F21" s="15"/>
      <c r="G21" s="15"/>
      <c r="H21" s="15"/>
    </row>
    <row r="22" spans="1:8" ht="21" customHeight="1" x14ac:dyDescent="0.2">
      <c r="A22" s="15"/>
      <c r="B22" s="15"/>
      <c r="C22" s="15"/>
      <c r="D22" s="15"/>
      <c r="E22" s="15"/>
      <c r="F22" s="15"/>
      <c r="G22" s="15"/>
      <c r="H22" s="15"/>
    </row>
    <row r="23" spans="1:8" ht="21" customHeight="1" x14ac:dyDescent="0.2">
      <c r="A23" s="15"/>
      <c r="B23" s="15"/>
      <c r="C23" s="15"/>
      <c r="D23" s="15"/>
      <c r="E23" s="15"/>
      <c r="F23" s="15"/>
      <c r="G23" s="15"/>
      <c r="H23" s="15"/>
    </row>
    <row r="24" spans="1:8" ht="21" customHeight="1" x14ac:dyDescent="0.2">
      <c r="A24" s="15"/>
      <c r="B24" s="15"/>
      <c r="C24" s="15"/>
      <c r="D24" s="15"/>
      <c r="E24" s="15"/>
      <c r="F24" s="15"/>
      <c r="G24" s="15"/>
      <c r="H24" s="15"/>
    </row>
    <row r="25" spans="1:8" ht="21" customHeight="1" x14ac:dyDescent="0.2">
      <c r="A25" s="15"/>
      <c r="B25" s="15"/>
      <c r="C25" s="15"/>
      <c r="D25" s="15"/>
      <c r="E25" s="15"/>
      <c r="F25" s="15"/>
      <c r="G25" s="15"/>
      <c r="H25" s="15"/>
    </row>
    <row r="26" spans="1:8" ht="21" customHeight="1" x14ac:dyDescent="0.2">
      <c r="A26" s="15"/>
      <c r="B26" s="15"/>
      <c r="C26" s="15"/>
      <c r="D26" s="15"/>
      <c r="E26" s="15"/>
      <c r="F26" s="15"/>
      <c r="G26" s="15"/>
      <c r="H26" s="15"/>
    </row>
    <row r="27" spans="1:8" ht="21" customHeight="1" x14ac:dyDescent="0.2">
      <c r="A27" s="15"/>
      <c r="B27" s="15"/>
      <c r="C27" s="15"/>
      <c r="D27" s="15"/>
      <c r="E27" s="15"/>
      <c r="F27" s="15"/>
      <c r="G27" s="15"/>
      <c r="H27" s="15"/>
    </row>
    <row r="28" spans="1:8" ht="21" customHeight="1" x14ac:dyDescent="0.2">
      <c r="A28" s="15"/>
      <c r="B28" s="15"/>
      <c r="C28" s="15"/>
      <c r="D28" s="15"/>
      <c r="E28" s="15"/>
      <c r="F28" s="15"/>
      <c r="G28" s="15"/>
      <c r="H28" s="15"/>
    </row>
    <row r="29" spans="1:8" ht="21" customHeight="1" x14ac:dyDescent="0.2">
      <c r="A29" s="15"/>
      <c r="B29" s="15"/>
      <c r="C29" s="15"/>
      <c r="D29" s="15"/>
      <c r="E29" s="15"/>
      <c r="F29" s="15"/>
      <c r="G29" s="15"/>
      <c r="H29" s="15"/>
    </row>
    <row r="30" spans="1:8" ht="21" customHeight="1" x14ac:dyDescent="0.2">
      <c r="A30" s="15"/>
      <c r="B30" s="15"/>
      <c r="C30" s="15"/>
      <c r="D30" s="15"/>
      <c r="E30" s="15"/>
      <c r="F30" s="15"/>
      <c r="G30" s="15"/>
      <c r="H30" s="15"/>
    </row>
    <row r="31" spans="1:8" ht="21" customHeight="1" x14ac:dyDescent="0.2">
      <c r="A31" s="15"/>
      <c r="B31" s="15"/>
      <c r="C31" s="15"/>
      <c r="D31" s="15"/>
      <c r="E31" s="15"/>
      <c r="F31" s="15"/>
      <c r="G31" s="15"/>
      <c r="H31" s="15"/>
    </row>
    <row r="32" spans="1:8" ht="21" customHeight="1" x14ac:dyDescent="0.2">
      <c r="A32" s="15"/>
      <c r="B32" s="15"/>
      <c r="C32" s="15"/>
      <c r="D32" s="15"/>
      <c r="E32" s="15"/>
      <c r="F32" s="15"/>
      <c r="G32" s="15"/>
      <c r="H32" s="15"/>
    </row>
    <row r="33" spans="1:8" ht="21" customHeight="1" x14ac:dyDescent="0.2">
      <c r="A33" s="15"/>
      <c r="B33" s="15"/>
      <c r="C33" s="15"/>
      <c r="D33" s="15"/>
      <c r="E33" s="15"/>
      <c r="F33" s="15"/>
      <c r="G33" s="15"/>
      <c r="H33" s="15"/>
    </row>
    <row r="34" spans="1:8" ht="21" customHeight="1" x14ac:dyDescent="0.2">
      <c r="A34" s="15"/>
      <c r="B34" s="15"/>
      <c r="C34" s="15"/>
      <c r="D34" s="15"/>
      <c r="E34" s="15"/>
      <c r="F34" s="15"/>
      <c r="G34" s="15"/>
      <c r="H34" s="15"/>
    </row>
    <row r="35" spans="1:8" ht="21" customHeight="1" x14ac:dyDescent="0.2">
      <c r="A35" s="15"/>
      <c r="B35" s="15"/>
      <c r="C35" s="15"/>
      <c r="D35" s="15"/>
      <c r="E35" s="15"/>
      <c r="F35" s="15"/>
      <c r="G35" s="15"/>
      <c r="H35" s="15"/>
    </row>
    <row r="36" spans="1:8" ht="21" customHeight="1" x14ac:dyDescent="0.2">
      <c r="A36" s="15"/>
      <c r="B36" s="15"/>
      <c r="C36" s="15"/>
      <c r="D36" s="15"/>
      <c r="E36" s="15"/>
      <c r="F36" s="15"/>
      <c r="G36" s="15"/>
      <c r="H36" s="15"/>
    </row>
    <row r="37" spans="1:8" ht="21" customHeight="1" x14ac:dyDescent="0.2">
      <c r="A37" s="15"/>
      <c r="B37" s="15"/>
      <c r="C37" s="15"/>
      <c r="D37" s="15"/>
      <c r="E37" s="15"/>
      <c r="F37" s="15"/>
      <c r="G37" s="15"/>
      <c r="H37" s="15"/>
    </row>
    <row r="38" spans="1:8" ht="21" customHeight="1" x14ac:dyDescent="0.2">
      <c r="A38" s="15"/>
      <c r="B38" s="15"/>
      <c r="C38" s="15"/>
      <c r="D38" s="15"/>
      <c r="E38" s="15"/>
      <c r="F38" s="15"/>
      <c r="G38" s="15"/>
      <c r="H38" s="15"/>
    </row>
    <row r="39" spans="1:8" ht="21" customHeight="1" x14ac:dyDescent="0.2">
      <c r="A39" s="15"/>
      <c r="B39" s="15"/>
      <c r="C39" s="15"/>
      <c r="D39" s="15"/>
      <c r="E39" s="15"/>
      <c r="F39" s="15"/>
      <c r="G39" s="15"/>
      <c r="H39" s="15"/>
    </row>
    <row r="40" spans="1:8" ht="21" customHeight="1" x14ac:dyDescent="0.2">
      <c r="A40" s="15"/>
      <c r="B40" s="15"/>
      <c r="C40" s="15"/>
      <c r="D40" s="15"/>
      <c r="E40" s="15"/>
      <c r="F40" s="15"/>
      <c r="G40" s="15"/>
      <c r="H40" s="15"/>
    </row>
  </sheetData>
  <mergeCells count="2">
    <mergeCell ref="A1:H1"/>
    <mergeCell ref="A2:H2"/>
  </mergeCells>
  <dataValidations count="3">
    <dataValidation type="list" allowBlank="1" sqref="B5:B40" xr:uid="{00000000-0002-0000-0700-000000000000}">
      <formula1>"Yes,No,Classification only,Conditional"</formula1>
      <formula2>0</formula2>
    </dataValidation>
    <dataValidation type="list" allowBlank="1" sqref="C5:C40" xr:uid="{00000000-0002-0000-0700-000001000000}">
      <formula1>"Yes,No,Yes from approved FAQ,No or very limited,Conditional"</formula1>
      <formula2>0</formula2>
    </dataValidation>
    <dataValidation type="list" allowBlank="1" sqref="D5:D40" xr:uid="{00000000-0002-0000-0700-000002000000}">
      <formula1>"No,No in MVP,Yes,Safe categories only,Conditional"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40"/>
  <sheetViews>
    <sheetView zoomScale="120" zoomScaleNormal="120" workbookViewId="0">
      <selection activeCell="A4" sqref="A4"/>
    </sheetView>
  </sheetViews>
  <sheetFormatPr baseColWidth="10" defaultColWidth="8.83203125" defaultRowHeight="21" customHeight="1" x14ac:dyDescent="0.2"/>
  <cols>
    <col min="1" max="1" width="26" customWidth="1"/>
    <col min="2" max="2" width="38" customWidth="1"/>
    <col min="3" max="3" width="42" customWidth="1"/>
    <col min="4" max="4" width="36" customWidth="1"/>
    <col min="5" max="5" width="16" customWidth="1"/>
    <col min="6" max="6" width="20" customWidth="1"/>
  </cols>
  <sheetData>
    <row r="1" spans="1:26" ht="34.5" customHeight="1" x14ac:dyDescent="0.2">
      <c r="A1" s="3" t="s">
        <v>25</v>
      </c>
      <c r="B1" s="3"/>
      <c r="C1" s="3"/>
      <c r="D1" s="3"/>
      <c r="E1" s="3"/>
      <c r="F1" s="3"/>
      <c r="G1" s="3"/>
      <c r="H1" s="3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53.25" customHeight="1" x14ac:dyDescent="0.2">
      <c r="A2" s="11" t="s">
        <v>552</v>
      </c>
      <c r="B2" s="11"/>
      <c r="C2" s="11"/>
      <c r="D2" s="11"/>
      <c r="E2" s="11"/>
      <c r="F2" s="11"/>
      <c r="G2" s="11"/>
      <c r="H2" s="11"/>
    </row>
    <row r="3" spans="1:26" ht="15" x14ac:dyDescent="0.2"/>
    <row r="4" spans="1:26" ht="42.75" customHeight="1" x14ac:dyDescent="0.2">
      <c r="A4" s="14" t="s">
        <v>553</v>
      </c>
      <c r="B4" s="14" t="s">
        <v>554</v>
      </c>
      <c r="C4" s="14" t="s">
        <v>555</v>
      </c>
      <c r="D4" s="14" t="s">
        <v>556</v>
      </c>
      <c r="E4" s="14" t="s">
        <v>121</v>
      </c>
      <c r="F4" s="14" t="s">
        <v>557</v>
      </c>
    </row>
    <row r="5" spans="1:26" ht="21" customHeight="1" x14ac:dyDescent="0.2">
      <c r="A5" s="15" t="s">
        <v>558</v>
      </c>
      <c r="B5" s="15" t="s">
        <v>559</v>
      </c>
      <c r="C5" s="15" t="s">
        <v>560</v>
      </c>
      <c r="D5" s="15"/>
      <c r="E5" s="15" t="s">
        <v>561</v>
      </c>
      <c r="F5" s="15" t="s">
        <v>68</v>
      </c>
    </row>
    <row r="6" spans="1:26" ht="21" customHeight="1" x14ac:dyDescent="0.2">
      <c r="A6" s="15" t="s">
        <v>562</v>
      </c>
      <c r="B6" s="15" t="s">
        <v>563</v>
      </c>
      <c r="C6" s="15" t="s">
        <v>564</v>
      </c>
      <c r="D6" s="15"/>
      <c r="E6" s="15" t="s">
        <v>561</v>
      </c>
      <c r="F6" s="15" t="s">
        <v>68</v>
      </c>
    </row>
    <row r="7" spans="1:26" ht="21" customHeight="1" x14ac:dyDescent="0.2">
      <c r="A7" s="15" t="s">
        <v>565</v>
      </c>
      <c r="B7" s="15" t="s">
        <v>566</v>
      </c>
      <c r="C7" s="15" t="s">
        <v>567</v>
      </c>
      <c r="D7" s="15"/>
      <c r="E7" s="15" t="s">
        <v>95</v>
      </c>
      <c r="F7" s="15" t="s">
        <v>68</v>
      </c>
    </row>
    <row r="8" spans="1:26" ht="21" customHeight="1" x14ac:dyDescent="0.2">
      <c r="A8" s="15" t="s">
        <v>568</v>
      </c>
      <c r="B8" s="15" t="s">
        <v>569</v>
      </c>
      <c r="C8" s="15" t="s">
        <v>570</v>
      </c>
      <c r="D8" s="15"/>
      <c r="E8" s="15" t="s">
        <v>561</v>
      </c>
      <c r="F8" s="15" t="s">
        <v>68</v>
      </c>
    </row>
    <row r="9" spans="1:26" ht="21" customHeight="1" x14ac:dyDescent="0.2">
      <c r="A9" s="15" t="s">
        <v>571</v>
      </c>
      <c r="B9" s="15" t="s">
        <v>572</v>
      </c>
      <c r="C9" s="15" t="s">
        <v>573</v>
      </c>
      <c r="D9" s="15"/>
      <c r="E9" s="15" t="s">
        <v>95</v>
      </c>
      <c r="F9" s="15" t="s">
        <v>68</v>
      </c>
    </row>
    <row r="10" spans="1:26" ht="21" customHeight="1" x14ac:dyDescent="0.2">
      <c r="A10" s="15" t="s">
        <v>574</v>
      </c>
      <c r="B10" s="15" t="s">
        <v>575</v>
      </c>
      <c r="C10" s="15" t="s">
        <v>576</v>
      </c>
      <c r="D10" s="15"/>
      <c r="E10" s="15" t="s">
        <v>561</v>
      </c>
      <c r="F10" s="15" t="s">
        <v>68</v>
      </c>
    </row>
    <row r="11" spans="1:26" ht="21" customHeight="1" x14ac:dyDescent="0.2">
      <c r="A11" s="15" t="s">
        <v>577</v>
      </c>
      <c r="B11" s="15" t="s">
        <v>578</v>
      </c>
      <c r="C11" s="15" t="s">
        <v>579</v>
      </c>
      <c r="D11" s="15"/>
      <c r="E11" s="15" t="s">
        <v>95</v>
      </c>
      <c r="F11" s="15" t="s">
        <v>68</v>
      </c>
    </row>
    <row r="12" spans="1:26" ht="21" customHeight="1" x14ac:dyDescent="0.2">
      <c r="A12" s="15"/>
      <c r="B12" s="15"/>
      <c r="C12" s="15"/>
      <c r="D12" s="15"/>
      <c r="E12" s="15"/>
      <c r="F12" s="15"/>
    </row>
    <row r="13" spans="1:26" ht="21" customHeight="1" x14ac:dyDescent="0.2">
      <c r="A13" s="15"/>
      <c r="B13" s="15"/>
      <c r="C13" s="15"/>
      <c r="D13" s="15"/>
      <c r="E13" s="15"/>
      <c r="F13" s="15"/>
    </row>
    <row r="14" spans="1:26" ht="21" customHeight="1" x14ac:dyDescent="0.2">
      <c r="A14" s="15"/>
      <c r="B14" s="15"/>
      <c r="C14" s="15"/>
      <c r="D14" s="15"/>
      <c r="E14" s="15"/>
      <c r="F14" s="15"/>
    </row>
    <row r="15" spans="1:26" ht="21" customHeight="1" x14ac:dyDescent="0.2">
      <c r="A15" s="15"/>
      <c r="B15" s="15"/>
      <c r="C15" s="15"/>
      <c r="D15" s="15"/>
      <c r="E15" s="15"/>
      <c r="F15" s="15"/>
    </row>
    <row r="16" spans="1:26" ht="21" customHeight="1" x14ac:dyDescent="0.2">
      <c r="A16" s="15"/>
      <c r="B16" s="15"/>
      <c r="C16" s="15"/>
      <c r="D16" s="15"/>
      <c r="E16" s="15"/>
      <c r="F16" s="15"/>
    </row>
    <row r="17" spans="1:6" ht="21" customHeight="1" x14ac:dyDescent="0.2">
      <c r="A17" s="15"/>
      <c r="B17" s="15"/>
      <c r="C17" s="15"/>
      <c r="D17" s="15"/>
      <c r="E17" s="15"/>
      <c r="F17" s="15"/>
    </row>
    <row r="18" spans="1:6" ht="21" customHeight="1" x14ac:dyDescent="0.2">
      <c r="A18" s="15"/>
      <c r="B18" s="15"/>
      <c r="C18" s="15"/>
      <c r="D18" s="15"/>
      <c r="E18" s="15"/>
      <c r="F18" s="15"/>
    </row>
    <row r="19" spans="1:6" ht="21" customHeight="1" x14ac:dyDescent="0.2">
      <c r="A19" s="15"/>
      <c r="B19" s="15"/>
      <c r="C19" s="15"/>
      <c r="D19" s="15"/>
      <c r="E19" s="15"/>
      <c r="F19" s="15"/>
    </row>
    <row r="20" spans="1:6" ht="21" customHeight="1" x14ac:dyDescent="0.2">
      <c r="A20" s="15"/>
      <c r="B20" s="15"/>
      <c r="C20" s="15"/>
      <c r="D20" s="15"/>
      <c r="E20" s="15"/>
      <c r="F20" s="15"/>
    </row>
    <row r="21" spans="1:6" ht="21" customHeight="1" x14ac:dyDescent="0.2">
      <c r="A21" s="15"/>
      <c r="B21" s="15"/>
      <c r="C21" s="15"/>
      <c r="D21" s="15"/>
      <c r="E21" s="15"/>
      <c r="F21" s="15"/>
    </row>
    <row r="22" spans="1:6" ht="21" customHeight="1" x14ac:dyDescent="0.2">
      <c r="A22" s="15"/>
      <c r="B22" s="15"/>
      <c r="C22" s="15"/>
      <c r="D22" s="15"/>
      <c r="E22" s="15"/>
      <c r="F22" s="15"/>
    </row>
    <row r="23" spans="1:6" ht="21" customHeight="1" x14ac:dyDescent="0.2">
      <c r="A23" s="15"/>
      <c r="B23" s="15"/>
      <c r="C23" s="15"/>
      <c r="D23" s="15"/>
      <c r="E23" s="15"/>
      <c r="F23" s="15"/>
    </row>
    <row r="24" spans="1:6" ht="21" customHeight="1" x14ac:dyDescent="0.2">
      <c r="A24" s="15"/>
      <c r="B24" s="15"/>
      <c r="C24" s="15"/>
      <c r="D24" s="15"/>
      <c r="E24" s="15"/>
      <c r="F24" s="15"/>
    </row>
    <row r="25" spans="1:6" ht="21" customHeight="1" x14ac:dyDescent="0.2">
      <c r="A25" s="15"/>
      <c r="B25" s="15"/>
      <c r="C25" s="15"/>
      <c r="D25" s="15"/>
      <c r="E25" s="15"/>
      <c r="F25" s="15"/>
    </row>
    <row r="26" spans="1:6" ht="21" customHeight="1" x14ac:dyDescent="0.2">
      <c r="A26" s="15"/>
      <c r="B26" s="15"/>
      <c r="C26" s="15"/>
      <c r="D26" s="15"/>
      <c r="E26" s="15"/>
      <c r="F26" s="15"/>
    </row>
    <row r="27" spans="1:6" ht="21" customHeight="1" x14ac:dyDescent="0.2">
      <c r="A27" s="15"/>
      <c r="B27" s="15"/>
      <c r="C27" s="15"/>
      <c r="D27" s="15"/>
      <c r="E27" s="15"/>
      <c r="F27" s="15"/>
    </row>
    <row r="28" spans="1:6" ht="21" customHeight="1" x14ac:dyDescent="0.2">
      <c r="A28" s="15"/>
      <c r="B28" s="15"/>
      <c r="C28" s="15"/>
      <c r="D28" s="15"/>
      <c r="E28" s="15"/>
      <c r="F28" s="15"/>
    </row>
    <row r="29" spans="1:6" ht="21" customHeight="1" x14ac:dyDescent="0.2">
      <c r="A29" s="15"/>
      <c r="B29" s="15"/>
      <c r="C29" s="15"/>
      <c r="D29" s="15"/>
      <c r="E29" s="15"/>
      <c r="F29" s="15"/>
    </row>
    <row r="30" spans="1:6" ht="21" customHeight="1" x14ac:dyDescent="0.2">
      <c r="A30" s="15"/>
      <c r="B30" s="15"/>
      <c r="C30" s="15"/>
      <c r="D30" s="15"/>
      <c r="E30" s="15"/>
      <c r="F30" s="15"/>
    </row>
    <row r="31" spans="1:6" ht="21" customHeight="1" x14ac:dyDescent="0.2">
      <c r="A31" s="15"/>
      <c r="B31" s="15"/>
      <c r="C31" s="15"/>
      <c r="D31" s="15"/>
      <c r="E31" s="15"/>
      <c r="F31" s="15"/>
    </row>
    <row r="32" spans="1:6" ht="21" customHeight="1" x14ac:dyDescent="0.2">
      <c r="A32" s="15"/>
      <c r="B32" s="15"/>
      <c r="C32" s="15"/>
      <c r="D32" s="15"/>
      <c r="E32" s="15"/>
      <c r="F32" s="15"/>
    </row>
    <row r="33" spans="1:6" ht="21" customHeight="1" x14ac:dyDescent="0.2">
      <c r="A33" s="15"/>
      <c r="B33" s="15"/>
      <c r="C33" s="15"/>
      <c r="D33" s="15"/>
      <c r="E33" s="15"/>
      <c r="F33" s="15"/>
    </row>
    <row r="34" spans="1:6" ht="21" customHeight="1" x14ac:dyDescent="0.2">
      <c r="A34" s="15"/>
      <c r="B34" s="15"/>
      <c r="C34" s="15"/>
      <c r="D34" s="15"/>
      <c r="E34" s="15"/>
      <c r="F34" s="15"/>
    </row>
    <row r="35" spans="1:6" ht="21" customHeight="1" x14ac:dyDescent="0.2">
      <c r="A35" s="15"/>
      <c r="B35" s="15"/>
      <c r="C35" s="15"/>
      <c r="D35" s="15"/>
      <c r="E35" s="15"/>
      <c r="F35" s="15"/>
    </row>
    <row r="36" spans="1:6" ht="21" customHeight="1" x14ac:dyDescent="0.2">
      <c r="A36" s="15"/>
      <c r="B36" s="15"/>
      <c r="C36" s="15"/>
      <c r="D36" s="15"/>
      <c r="E36" s="15"/>
      <c r="F36" s="15"/>
    </row>
    <row r="37" spans="1:6" ht="21" customHeight="1" x14ac:dyDescent="0.2">
      <c r="A37" s="15"/>
      <c r="B37" s="15"/>
      <c r="C37" s="15"/>
      <c r="D37" s="15"/>
      <c r="E37" s="15"/>
      <c r="F37" s="15"/>
    </row>
    <row r="38" spans="1:6" ht="21" customHeight="1" x14ac:dyDescent="0.2">
      <c r="A38" s="15"/>
      <c r="B38" s="15"/>
      <c r="C38" s="15"/>
      <c r="D38" s="15"/>
      <c r="E38" s="15"/>
      <c r="F38" s="15"/>
    </row>
    <row r="39" spans="1:6" ht="21" customHeight="1" x14ac:dyDescent="0.2">
      <c r="A39" s="15"/>
      <c r="B39" s="15"/>
      <c r="C39" s="15"/>
      <c r="D39" s="15"/>
      <c r="E39" s="15"/>
      <c r="F39" s="15"/>
    </row>
    <row r="40" spans="1:6" ht="21" customHeight="1" x14ac:dyDescent="0.2">
      <c r="A40" s="15"/>
      <c r="B40" s="15"/>
      <c r="C40" s="15"/>
      <c r="D40" s="15"/>
      <c r="E40" s="15"/>
      <c r="F40" s="15"/>
    </row>
  </sheetData>
  <mergeCells count="2">
    <mergeCell ref="A1:H1"/>
    <mergeCell ref="A2:H2"/>
  </mergeCells>
  <dataValidations count="2">
    <dataValidation type="list" sqref="E5:E40" xr:uid="{00000000-0002-0000-0800-000000000000}">
      <formula1>"Low,Medium,High"</formula1>
      <formula2>0</formula2>
    </dataValidation>
    <dataValidation type="list" sqref="F5:F40" xr:uid="{00000000-0002-0000-0800-000001000000}">
      <formula1>"Yes,No,Later"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40"/>
  <sheetViews>
    <sheetView zoomScale="120" zoomScaleNormal="120" workbookViewId="0">
      <selection activeCell="A4" sqref="A4"/>
    </sheetView>
  </sheetViews>
  <sheetFormatPr baseColWidth="10" defaultColWidth="8.83203125" defaultRowHeight="15" x14ac:dyDescent="0.2"/>
  <cols>
    <col min="1" max="2" width="28" customWidth="1"/>
    <col min="3" max="3" width="38" customWidth="1"/>
    <col min="4" max="4" width="24" customWidth="1"/>
    <col min="5" max="5" width="34" customWidth="1"/>
    <col min="6" max="6" width="16" customWidth="1"/>
    <col min="7" max="7" width="26" customWidth="1"/>
  </cols>
  <sheetData>
    <row r="1" spans="1:26" ht="34.5" customHeight="1" x14ac:dyDescent="0.2">
      <c r="A1" s="2" t="s">
        <v>28</v>
      </c>
      <c r="B1" s="2"/>
      <c r="C1" s="2"/>
      <c r="D1" s="2"/>
      <c r="E1" s="2"/>
      <c r="F1" s="2"/>
      <c r="G1" s="2"/>
      <c r="H1" s="2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53.25" customHeight="1" x14ac:dyDescent="0.2">
      <c r="A2" s="11" t="s">
        <v>580</v>
      </c>
      <c r="B2" s="11"/>
      <c r="C2" s="11"/>
      <c r="D2" s="11"/>
      <c r="E2" s="11"/>
      <c r="F2" s="11"/>
      <c r="G2" s="11"/>
      <c r="H2" s="11"/>
    </row>
    <row r="4" spans="1:26" ht="42.75" customHeight="1" x14ac:dyDescent="0.2">
      <c r="A4" s="14" t="s">
        <v>581</v>
      </c>
      <c r="B4" s="14" t="s">
        <v>582</v>
      </c>
      <c r="C4" s="14" t="s">
        <v>583</v>
      </c>
      <c r="D4" s="14" t="s">
        <v>584</v>
      </c>
      <c r="E4" s="14" t="s">
        <v>585</v>
      </c>
      <c r="F4" s="14" t="s">
        <v>586</v>
      </c>
      <c r="G4" s="14" t="s">
        <v>587</v>
      </c>
    </row>
    <row r="5" spans="1:26" ht="15.75" customHeight="1" x14ac:dyDescent="0.2">
      <c r="A5" s="15" t="s">
        <v>588</v>
      </c>
      <c r="B5" s="15" t="s">
        <v>589</v>
      </c>
      <c r="C5" s="15" t="s">
        <v>590</v>
      </c>
      <c r="D5" s="15" t="s">
        <v>548</v>
      </c>
      <c r="E5" s="15" t="s">
        <v>591</v>
      </c>
      <c r="F5" s="15" t="s">
        <v>561</v>
      </c>
      <c r="G5" s="15" t="s">
        <v>592</v>
      </c>
    </row>
    <row r="6" spans="1:26" ht="15.75" customHeight="1" x14ac:dyDescent="0.2">
      <c r="A6" s="15" t="s">
        <v>593</v>
      </c>
      <c r="B6" s="15" t="s">
        <v>594</v>
      </c>
      <c r="C6" s="15" t="s">
        <v>595</v>
      </c>
      <c r="D6" s="15" t="s">
        <v>548</v>
      </c>
      <c r="E6" s="15" t="s">
        <v>596</v>
      </c>
      <c r="F6" s="15" t="s">
        <v>561</v>
      </c>
      <c r="G6" s="15" t="s">
        <v>597</v>
      </c>
    </row>
    <row r="7" spans="1:26" ht="15.75" customHeight="1" x14ac:dyDescent="0.2">
      <c r="A7" s="15" t="s">
        <v>598</v>
      </c>
      <c r="B7" s="15" t="s">
        <v>599</v>
      </c>
      <c r="C7" s="15" t="s">
        <v>600</v>
      </c>
      <c r="D7" s="15" t="s">
        <v>524</v>
      </c>
      <c r="E7" s="15" t="s">
        <v>601</v>
      </c>
      <c r="F7" s="15" t="s">
        <v>95</v>
      </c>
      <c r="G7" s="15" t="s">
        <v>602</v>
      </c>
    </row>
    <row r="8" spans="1:26" ht="15.75" customHeight="1" x14ac:dyDescent="0.2">
      <c r="A8" s="15" t="s">
        <v>603</v>
      </c>
      <c r="B8" s="15" t="s">
        <v>604</v>
      </c>
      <c r="C8" s="15" t="s">
        <v>600</v>
      </c>
      <c r="D8" s="15" t="s">
        <v>548</v>
      </c>
      <c r="E8" s="15" t="s">
        <v>605</v>
      </c>
      <c r="F8" s="15" t="s">
        <v>95</v>
      </c>
      <c r="G8" s="15" t="s">
        <v>606</v>
      </c>
    </row>
    <row r="9" spans="1:26" ht="15.75" customHeight="1" x14ac:dyDescent="0.2">
      <c r="A9" s="15" t="s">
        <v>607</v>
      </c>
      <c r="B9" s="15" t="s">
        <v>608</v>
      </c>
      <c r="C9" s="15" t="s">
        <v>609</v>
      </c>
      <c r="D9" s="15" t="s">
        <v>610</v>
      </c>
      <c r="E9" s="15" t="s">
        <v>611</v>
      </c>
      <c r="F9" s="15" t="s">
        <v>95</v>
      </c>
      <c r="G9" s="15" t="s">
        <v>612</v>
      </c>
    </row>
    <row r="10" spans="1:26" ht="15.75" customHeight="1" x14ac:dyDescent="0.2">
      <c r="A10" s="15" t="s">
        <v>613</v>
      </c>
      <c r="B10" s="15" t="s">
        <v>614</v>
      </c>
      <c r="C10" s="15" t="s">
        <v>615</v>
      </c>
      <c r="D10" s="15" t="s">
        <v>548</v>
      </c>
      <c r="E10" s="15" t="s">
        <v>616</v>
      </c>
      <c r="F10" s="15" t="s">
        <v>561</v>
      </c>
      <c r="G10" s="15" t="s">
        <v>617</v>
      </c>
    </row>
    <row r="11" spans="1:26" ht="15.75" customHeight="1" x14ac:dyDescent="0.2">
      <c r="A11" s="15" t="s">
        <v>618</v>
      </c>
      <c r="B11" s="15" t="s">
        <v>619</v>
      </c>
      <c r="C11" s="15" t="s">
        <v>620</v>
      </c>
      <c r="D11" s="15" t="s">
        <v>548</v>
      </c>
      <c r="E11" s="15" t="s">
        <v>621</v>
      </c>
      <c r="F11" s="15" t="s">
        <v>95</v>
      </c>
      <c r="G11" s="15" t="s">
        <v>592</v>
      </c>
    </row>
    <row r="12" spans="1:26" x14ac:dyDescent="0.2">
      <c r="A12" s="15"/>
      <c r="B12" s="15"/>
      <c r="C12" s="15"/>
      <c r="D12" s="15"/>
      <c r="E12" s="15"/>
      <c r="F12" s="15"/>
      <c r="G12" s="15"/>
    </row>
    <row r="13" spans="1:26" x14ac:dyDescent="0.2">
      <c r="A13" s="15"/>
      <c r="B13" s="15"/>
      <c r="C13" s="15"/>
      <c r="D13" s="15"/>
      <c r="E13" s="15"/>
      <c r="F13" s="15"/>
      <c r="G13" s="15"/>
    </row>
    <row r="14" spans="1:26" x14ac:dyDescent="0.2">
      <c r="A14" s="15"/>
      <c r="B14" s="15"/>
      <c r="C14" s="15"/>
      <c r="D14" s="15"/>
      <c r="E14" s="15"/>
      <c r="F14" s="15"/>
      <c r="G14" s="15"/>
    </row>
    <row r="15" spans="1:26" x14ac:dyDescent="0.2">
      <c r="A15" s="15"/>
      <c r="B15" s="15"/>
      <c r="C15" s="15"/>
      <c r="D15" s="15"/>
      <c r="E15" s="15"/>
      <c r="F15" s="15"/>
      <c r="G15" s="15"/>
    </row>
    <row r="16" spans="1:26" x14ac:dyDescent="0.2">
      <c r="A16" s="15"/>
      <c r="B16" s="15"/>
      <c r="C16" s="15"/>
      <c r="D16" s="15"/>
      <c r="E16" s="15"/>
      <c r="F16" s="15"/>
      <c r="G16" s="15"/>
    </row>
    <row r="17" spans="1:7" x14ac:dyDescent="0.2">
      <c r="A17" s="15"/>
      <c r="B17" s="15"/>
      <c r="C17" s="15"/>
      <c r="D17" s="15"/>
      <c r="E17" s="15"/>
      <c r="F17" s="15"/>
      <c r="G17" s="15"/>
    </row>
    <row r="18" spans="1:7" x14ac:dyDescent="0.2">
      <c r="A18" s="15"/>
      <c r="B18" s="15"/>
      <c r="C18" s="15"/>
      <c r="D18" s="15"/>
      <c r="E18" s="15"/>
      <c r="F18" s="15"/>
      <c r="G18" s="15"/>
    </row>
    <row r="19" spans="1:7" x14ac:dyDescent="0.2">
      <c r="A19" s="15"/>
      <c r="B19" s="15"/>
      <c r="C19" s="15"/>
      <c r="D19" s="15"/>
      <c r="E19" s="15"/>
      <c r="F19" s="15"/>
      <c r="G19" s="15"/>
    </row>
    <row r="20" spans="1:7" x14ac:dyDescent="0.2">
      <c r="A20" s="15"/>
      <c r="B20" s="15"/>
      <c r="C20" s="15"/>
      <c r="D20" s="15"/>
      <c r="E20" s="15"/>
      <c r="F20" s="15"/>
      <c r="G20" s="15"/>
    </row>
    <row r="21" spans="1:7" x14ac:dyDescent="0.2">
      <c r="A21" s="15"/>
      <c r="B21" s="15"/>
      <c r="C21" s="15"/>
      <c r="D21" s="15"/>
      <c r="E21" s="15"/>
      <c r="F21" s="15"/>
      <c r="G21" s="15"/>
    </row>
    <row r="22" spans="1:7" x14ac:dyDescent="0.2">
      <c r="A22" s="15"/>
      <c r="B22" s="15"/>
      <c r="C22" s="15"/>
      <c r="D22" s="15"/>
      <c r="E22" s="15"/>
      <c r="F22" s="15"/>
      <c r="G22" s="15"/>
    </row>
    <row r="23" spans="1:7" x14ac:dyDescent="0.2">
      <c r="A23" s="15"/>
      <c r="B23" s="15"/>
      <c r="C23" s="15"/>
      <c r="D23" s="15"/>
      <c r="E23" s="15"/>
      <c r="F23" s="15"/>
      <c r="G23" s="15"/>
    </row>
    <row r="24" spans="1:7" x14ac:dyDescent="0.2">
      <c r="A24" s="15"/>
      <c r="B24" s="15"/>
      <c r="C24" s="15"/>
      <c r="D24" s="15"/>
      <c r="E24" s="15"/>
      <c r="F24" s="15"/>
      <c r="G24" s="15"/>
    </row>
    <row r="25" spans="1:7" x14ac:dyDescent="0.2">
      <c r="A25" s="15"/>
      <c r="B25" s="15"/>
      <c r="C25" s="15"/>
      <c r="D25" s="15"/>
      <c r="E25" s="15"/>
      <c r="F25" s="15"/>
      <c r="G25" s="15"/>
    </row>
    <row r="26" spans="1:7" x14ac:dyDescent="0.2">
      <c r="A26" s="15"/>
      <c r="B26" s="15"/>
      <c r="C26" s="15"/>
      <c r="D26" s="15"/>
      <c r="E26" s="15"/>
      <c r="F26" s="15"/>
      <c r="G26" s="15"/>
    </row>
    <row r="27" spans="1:7" x14ac:dyDescent="0.2">
      <c r="A27" s="15"/>
      <c r="B27" s="15"/>
      <c r="C27" s="15"/>
      <c r="D27" s="15"/>
      <c r="E27" s="15"/>
      <c r="F27" s="15"/>
      <c r="G27" s="15"/>
    </row>
    <row r="28" spans="1:7" x14ac:dyDescent="0.2">
      <c r="A28" s="15"/>
      <c r="B28" s="15"/>
      <c r="C28" s="15"/>
      <c r="D28" s="15"/>
      <c r="E28" s="15"/>
      <c r="F28" s="15"/>
      <c r="G28" s="15"/>
    </row>
    <row r="29" spans="1:7" x14ac:dyDescent="0.2">
      <c r="A29" s="15"/>
      <c r="B29" s="15"/>
      <c r="C29" s="15"/>
      <c r="D29" s="15"/>
      <c r="E29" s="15"/>
      <c r="F29" s="15"/>
      <c r="G29" s="15"/>
    </row>
    <row r="30" spans="1:7" x14ac:dyDescent="0.2">
      <c r="A30" s="15"/>
      <c r="B30" s="15"/>
      <c r="C30" s="15"/>
      <c r="D30" s="15"/>
      <c r="E30" s="15"/>
      <c r="F30" s="15"/>
      <c r="G30" s="15"/>
    </row>
    <row r="31" spans="1:7" x14ac:dyDescent="0.2">
      <c r="A31" s="15"/>
      <c r="B31" s="15"/>
      <c r="C31" s="15"/>
      <c r="D31" s="15"/>
      <c r="E31" s="15"/>
      <c r="F31" s="15"/>
      <c r="G31" s="15"/>
    </row>
    <row r="32" spans="1:7" x14ac:dyDescent="0.2">
      <c r="A32" s="15"/>
      <c r="B32" s="15"/>
      <c r="C32" s="15"/>
      <c r="D32" s="15"/>
      <c r="E32" s="15"/>
      <c r="F32" s="15"/>
      <c r="G32" s="15"/>
    </row>
    <row r="33" spans="1:7" x14ac:dyDescent="0.2">
      <c r="A33" s="15"/>
      <c r="B33" s="15"/>
      <c r="C33" s="15"/>
      <c r="D33" s="15"/>
      <c r="E33" s="15"/>
      <c r="F33" s="15"/>
      <c r="G33" s="15"/>
    </row>
    <row r="34" spans="1:7" x14ac:dyDescent="0.2">
      <c r="A34" s="15"/>
      <c r="B34" s="15"/>
      <c r="C34" s="15"/>
      <c r="D34" s="15"/>
      <c r="E34" s="15"/>
      <c r="F34" s="15"/>
      <c r="G34" s="15"/>
    </row>
    <row r="35" spans="1:7" x14ac:dyDescent="0.2">
      <c r="A35" s="15"/>
      <c r="B35" s="15"/>
      <c r="C35" s="15"/>
      <c r="D35" s="15"/>
      <c r="E35" s="15"/>
      <c r="F35" s="15"/>
      <c r="G35" s="15"/>
    </row>
    <row r="36" spans="1:7" x14ac:dyDescent="0.2">
      <c r="A36" s="15"/>
      <c r="B36" s="15"/>
      <c r="C36" s="15"/>
      <c r="D36" s="15"/>
      <c r="E36" s="15"/>
      <c r="F36" s="15"/>
      <c r="G36" s="15"/>
    </row>
    <row r="37" spans="1:7" x14ac:dyDescent="0.2">
      <c r="A37" s="15"/>
      <c r="B37" s="15"/>
      <c r="C37" s="15"/>
      <c r="D37" s="15"/>
      <c r="E37" s="15"/>
      <c r="F37" s="15"/>
      <c r="G37" s="15"/>
    </row>
    <row r="38" spans="1:7" x14ac:dyDescent="0.2">
      <c r="A38" s="15"/>
      <c r="B38" s="15"/>
      <c r="C38" s="15"/>
      <c r="D38" s="15"/>
      <c r="E38" s="15"/>
      <c r="F38" s="15"/>
      <c r="G38" s="15"/>
    </row>
    <row r="39" spans="1:7" x14ac:dyDescent="0.2">
      <c r="A39" s="15"/>
      <c r="B39" s="15"/>
      <c r="C39" s="15"/>
      <c r="D39" s="15"/>
      <c r="E39" s="15"/>
      <c r="F39" s="15"/>
      <c r="G39" s="15"/>
    </row>
    <row r="40" spans="1:7" x14ac:dyDescent="0.2">
      <c r="A40" s="15"/>
      <c r="B40" s="15"/>
      <c r="C40" s="15"/>
      <c r="D40" s="15"/>
      <c r="E40" s="15"/>
      <c r="F40" s="15"/>
      <c r="G40" s="15"/>
    </row>
  </sheetData>
  <mergeCells count="2">
    <mergeCell ref="A1:H1"/>
    <mergeCell ref="A2:H2"/>
  </mergeCells>
  <dataValidations count="1">
    <dataValidation type="list" sqref="F5:F40" xr:uid="{00000000-0002-0000-0900-000000000000}">
      <formula1>"Low,Medium,High"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43"/>
  <sheetViews>
    <sheetView zoomScale="120" zoomScaleNormal="120" workbookViewId="0">
      <selection activeCell="A4" sqref="A4"/>
    </sheetView>
  </sheetViews>
  <sheetFormatPr baseColWidth="10" defaultColWidth="8.83203125" defaultRowHeight="15" x14ac:dyDescent="0.2"/>
  <cols>
    <col min="1" max="1" width="30" customWidth="1"/>
    <col min="2" max="2" width="60" customWidth="1"/>
    <col min="3" max="3" width="40" customWidth="1"/>
    <col min="4" max="4" width="16" customWidth="1"/>
  </cols>
  <sheetData>
    <row r="1" spans="1:26" ht="34.5" customHeight="1" x14ac:dyDescent="0.2">
      <c r="A1" s="3" t="s">
        <v>622</v>
      </c>
      <c r="B1" s="3"/>
      <c r="C1" s="3"/>
      <c r="D1" s="3"/>
      <c r="E1" s="3"/>
      <c r="F1" s="3"/>
      <c r="G1" s="3"/>
      <c r="H1" s="3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53.25" customHeight="1" x14ac:dyDescent="0.2">
      <c r="A2" s="11" t="s">
        <v>623</v>
      </c>
      <c r="B2" s="11"/>
      <c r="C2" s="11"/>
      <c r="D2" s="11"/>
      <c r="E2" s="11"/>
      <c r="F2" s="11"/>
      <c r="G2" s="11"/>
      <c r="H2" s="11"/>
    </row>
    <row r="4" spans="1:26" ht="42.75" customHeight="1" x14ac:dyDescent="0.2">
      <c r="A4" s="14" t="s">
        <v>624</v>
      </c>
      <c r="B4" s="14" t="s">
        <v>625</v>
      </c>
      <c r="C4" s="14" t="s">
        <v>626</v>
      </c>
      <c r="D4" s="14" t="s">
        <v>627</v>
      </c>
    </row>
    <row r="5" spans="1:26" ht="15.75" customHeight="1" x14ac:dyDescent="0.2">
      <c r="A5" s="15" t="s">
        <v>628</v>
      </c>
      <c r="B5" s="15"/>
      <c r="C5" s="15"/>
      <c r="D5" s="15" t="s">
        <v>70</v>
      </c>
    </row>
    <row r="6" spans="1:26" ht="15.75" customHeight="1" x14ac:dyDescent="0.2">
      <c r="A6" s="15" t="s">
        <v>143</v>
      </c>
      <c r="B6" s="15"/>
      <c r="C6" s="15"/>
      <c r="D6" s="15" t="s">
        <v>70</v>
      </c>
    </row>
    <row r="7" spans="1:26" ht="15.75" customHeight="1" x14ac:dyDescent="0.2">
      <c r="A7" s="15" t="s">
        <v>629</v>
      </c>
      <c r="B7" s="15"/>
      <c r="C7" s="15"/>
      <c r="D7" s="15" t="s">
        <v>70</v>
      </c>
    </row>
    <row r="8" spans="1:26" ht="15.75" customHeight="1" x14ac:dyDescent="0.2">
      <c r="A8" s="15" t="s">
        <v>630</v>
      </c>
      <c r="B8" s="15"/>
      <c r="C8" s="15"/>
      <c r="D8" s="15" t="s">
        <v>70</v>
      </c>
    </row>
    <row r="9" spans="1:26" ht="15.75" customHeight="1" x14ac:dyDescent="0.2">
      <c r="A9" s="15" t="s">
        <v>631</v>
      </c>
      <c r="B9" s="15"/>
      <c r="C9" s="15"/>
      <c r="D9" s="15" t="s">
        <v>70</v>
      </c>
    </row>
    <row r="10" spans="1:26" ht="15.75" customHeight="1" x14ac:dyDescent="0.2">
      <c r="A10" s="15" t="s">
        <v>632</v>
      </c>
      <c r="B10" s="15"/>
      <c r="C10" s="15"/>
      <c r="D10" s="15" t="s">
        <v>70</v>
      </c>
    </row>
    <row r="11" spans="1:26" ht="15.75" customHeight="1" x14ac:dyDescent="0.2">
      <c r="A11" s="15" t="s">
        <v>633</v>
      </c>
      <c r="B11" s="15"/>
      <c r="C11" s="15"/>
      <c r="D11" s="15" t="s">
        <v>70</v>
      </c>
    </row>
    <row r="12" spans="1:26" ht="15.75" customHeight="1" x14ac:dyDescent="0.2">
      <c r="A12" s="15" t="s">
        <v>634</v>
      </c>
      <c r="B12" s="15"/>
      <c r="C12" s="15"/>
      <c r="D12" s="15" t="s">
        <v>70</v>
      </c>
    </row>
    <row r="13" spans="1:26" ht="15.75" customHeight="1" x14ac:dyDescent="0.2">
      <c r="A13" s="15" t="s">
        <v>635</v>
      </c>
      <c r="B13" s="15"/>
      <c r="C13" s="15"/>
      <c r="D13" s="15" t="s">
        <v>70</v>
      </c>
    </row>
    <row r="14" spans="1:26" ht="15.75" customHeight="1" x14ac:dyDescent="0.2">
      <c r="A14" s="15" t="s">
        <v>636</v>
      </c>
      <c r="B14" s="15"/>
      <c r="C14" s="15"/>
      <c r="D14" s="15" t="s">
        <v>70</v>
      </c>
    </row>
    <row r="15" spans="1:26" x14ac:dyDescent="0.2">
      <c r="A15" s="15"/>
      <c r="B15" s="15"/>
      <c r="C15" s="15"/>
      <c r="D15" s="15"/>
    </row>
    <row r="16" spans="1:26" x14ac:dyDescent="0.2">
      <c r="A16" s="15"/>
      <c r="B16" s="15"/>
      <c r="C16" s="15"/>
      <c r="D16" s="15"/>
    </row>
    <row r="17" spans="1:4" x14ac:dyDescent="0.2">
      <c r="A17" s="15"/>
      <c r="B17" s="15"/>
      <c r="C17" s="15"/>
      <c r="D17" s="15"/>
    </row>
    <row r="18" spans="1:4" x14ac:dyDescent="0.2">
      <c r="A18" s="15"/>
      <c r="B18" s="15"/>
      <c r="C18" s="15"/>
      <c r="D18" s="15"/>
    </row>
    <row r="19" spans="1:4" x14ac:dyDescent="0.2">
      <c r="A19" s="15"/>
      <c r="B19" s="15"/>
      <c r="C19" s="15"/>
      <c r="D19" s="15"/>
    </row>
    <row r="20" spans="1:4" x14ac:dyDescent="0.2">
      <c r="A20" s="15"/>
      <c r="B20" s="15"/>
      <c r="C20" s="15"/>
      <c r="D20" s="15"/>
    </row>
    <row r="21" spans="1:4" x14ac:dyDescent="0.2">
      <c r="A21" s="15"/>
      <c r="B21" s="15"/>
      <c r="C21" s="15"/>
      <c r="D21" s="15"/>
    </row>
    <row r="22" spans="1:4" x14ac:dyDescent="0.2">
      <c r="A22" s="15"/>
      <c r="B22" s="15"/>
      <c r="C22" s="15"/>
      <c r="D22" s="15"/>
    </row>
    <row r="23" spans="1:4" x14ac:dyDescent="0.2">
      <c r="A23" s="15"/>
      <c r="B23" s="15"/>
      <c r="C23" s="15"/>
      <c r="D23" s="15"/>
    </row>
    <row r="24" spans="1:4" x14ac:dyDescent="0.2">
      <c r="A24" s="15"/>
      <c r="B24" s="15"/>
      <c r="C24" s="15"/>
      <c r="D24" s="15"/>
    </row>
    <row r="25" spans="1:4" x14ac:dyDescent="0.2">
      <c r="A25" s="15"/>
      <c r="B25" s="15"/>
      <c r="C25" s="15"/>
      <c r="D25" s="15"/>
    </row>
    <row r="26" spans="1:4" x14ac:dyDescent="0.2">
      <c r="A26" s="15"/>
      <c r="B26" s="15"/>
      <c r="C26" s="15"/>
      <c r="D26" s="15"/>
    </row>
    <row r="27" spans="1:4" x14ac:dyDescent="0.2">
      <c r="A27" s="15"/>
      <c r="B27" s="15"/>
      <c r="C27" s="15"/>
      <c r="D27" s="15"/>
    </row>
    <row r="28" spans="1:4" x14ac:dyDescent="0.2">
      <c r="A28" s="15"/>
      <c r="B28" s="15"/>
      <c r="C28" s="15"/>
      <c r="D28" s="15"/>
    </row>
    <row r="29" spans="1:4" x14ac:dyDescent="0.2">
      <c r="A29" s="15"/>
      <c r="B29" s="15"/>
      <c r="C29" s="15"/>
      <c r="D29" s="15"/>
    </row>
    <row r="30" spans="1:4" x14ac:dyDescent="0.2">
      <c r="A30" s="15"/>
      <c r="B30" s="15"/>
      <c r="C30" s="15"/>
      <c r="D30" s="15"/>
    </row>
    <row r="32" spans="1:4" ht="15" customHeight="1" x14ac:dyDescent="0.2">
      <c r="A32" s="9" t="s">
        <v>637</v>
      </c>
      <c r="B32" s="9"/>
      <c r="C32" s="9"/>
      <c r="D32" s="9"/>
    </row>
    <row r="33" spans="1:4" ht="15" customHeight="1" x14ac:dyDescent="0.2">
      <c r="A33" s="1" t="s">
        <v>638</v>
      </c>
      <c r="B33" s="1"/>
      <c r="C33" s="1"/>
      <c r="D33" s="24">
        <f>COUNTA('Workflow Blueprint'!B5:B40)</f>
        <v>22</v>
      </c>
    </row>
    <row r="34" spans="1:4" ht="15" customHeight="1" x14ac:dyDescent="0.2">
      <c r="A34" s="1" t="s">
        <v>639</v>
      </c>
      <c r="B34" s="1"/>
      <c r="C34" s="1"/>
      <c r="D34" s="24">
        <f>COUNTIF('Workflow Blueprint'!K5:K40,"Approved")</f>
        <v>0</v>
      </c>
    </row>
    <row r="35" spans="1:4" ht="15" customHeight="1" x14ac:dyDescent="0.2">
      <c r="A35" s="1" t="s">
        <v>640</v>
      </c>
      <c r="B35" s="1"/>
      <c r="C35" s="1"/>
      <c r="D35" s="24">
        <f>COUNTIF('Workflow Blueprint'!K5:K40,"Done")</f>
        <v>0</v>
      </c>
    </row>
    <row r="36" spans="1:4" ht="15" customHeight="1" x14ac:dyDescent="0.2">
      <c r="A36" s="1" t="s">
        <v>641</v>
      </c>
      <c r="B36" s="1"/>
      <c r="C36" s="1"/>
      <c r="D36" s="24">
        <f>COUNTA('Data Field Map'!A5:A50)</f>
        <v>10</v>
      </c>
    </row>
    <row r="37" spans="1:4" ht="15" customHeight="1" x14ac:dyDescent="0.2">
      <c r="A37" s="1" t="s">
        <v>642</v>
      </c>
      <c r="B37" s="1"/>
      <c r="C37" s="1"/>
      <c r="D37" s="24">
        <f>COUNTA('Routing Rules'!A5:A50)</f>
        <v>7</v>
      </c>
    </row>
    <row r="38" spans="1:4" ht="15" customHeight="1" x14ac:dyDescent="0.2">
      <c r="A38" s="1" t="s">
        <v>643</v>
      </c>
      <c r="B38" s="1"/>
      <c r="C38" s="1"/>
      <c r="D38" s="24">
        <f>COUNTIF('Tool Stack'!G5:G40,"Yes")</f>
        <v>6</v>
      </c>
    </row>
    <row r="39" spans="1:4" ht="15" customHeight="1" x14ac:dyDescent="0.2">
      <c r="A39" s="1" t="s">
        <v>644</v>
      </c>
      <c r="B39" s="1"/>
      <c r="C39" s="1"/>
      <c r="D39" s="24">
        <f>COUNTIF('Tool Stack'!G5:G40,"Later")+COUNTIF('Tool Stack'!G5:G40,"Maybe")</f>
        <v>0</v>
      </c>
    </row>
    <row r="40" spans="1:4" ht="15" customHeight="1" x14ac:dyDescent="0.2">
      <c r="A40" s="1" t="s">
        <v>645</v>
      </c>
      <c r="B40" s="1"/>
      <c r="C40" s="1"/>
      <c r="D40" s="24">
        <f>COUNTA('Approval &amp; Escalation'!A5:A40)</f>
        <v>6</v>
      </c>
    </row>
    <row r="41" spans="1:4" ht="15" customHeight="1" x14ac:dyDescent="0.2">
      <c r="A41" s="1" t="s">
        <v>646</v>
      </c>
      <c r="B41" s="1"/>
      <c r="C41" s="1"/>
      <c r="D41" s="24">
        <f>COUNTIF('Security &amp; Access'!F5:F40,"Yes")</f>
        <v>7</v>
      </c>
    </row>
    <row r="42" spans="1:4" ht="15" customHeight="1" x14ac:dyDescent="0.2">
      <c r="A42" s="1" t="s">
        <v>647</v>
      </c>
      <c r="B42" s="1"/>
      <c r="C42" s="1"/>
      <c r="D42" s="24">
        <f>COUNTA('Error &amp; Monitoring'!A5:A40)</f>
        <v>7</v>
      </c>
    </row>
    <row r="43" spans="1:4" ht="15" customHeight="1" x14ac:dyDescent="0.2">
      <c r="A43" s="1" t="s">
        <v>648</v>
      </c>
      <c r="B43" s="1"/>
      <c r="C43" s="1"/>
      <c r="D43" s="24">
        <f>COUNTIF('Final Blueprint Summary'!D5:D30,"Yes")</f>
        <v>0</v>
      </c>
    </row>
  </sheetData>
  <mergeCells count="14">
    <mergeCell ref="A40:C40"/>
    <mergeCell ref="A41:C41"/>
    <mergeCell ref="A42:C42"/>
    <mergeCell ref="A43:C43"/>
    <mergeCell ref="A35:C35"/>
    <mergeCell ref="A36:C36"/>
    <mergeCell ref="A37:C37"/>
    <mergeCell ref="A38:C38"/>
    <mergeCell ref="A39:C39"/>
    <mergeCell ref="A1:H1"/>
    <mergeCell ref="A2:H2"/>
    <mergeCell ref="A32:D32"/>
    <mergeCell ref="A33:C33"/>
    <mergeCell ref="A34:C34"/>
  </mergeCells>
  <dataValidations count="1">
    <dataValidation type="list" sqref="D5:D30" xr:uid="{00000000-0002-0000-0A00-000000000000}">
      <formula1>"Yes,No,Partial"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4"/>
  <sheetViews>
    <sheetView zoomScale="120" zoomScaleNormal="120" workbookViewId="0">
      <selection activeCell="A4" sqref="A4"/>
    </sheetView>
  </sheetViews>
  <sheetFormatPr baseColWidth="10" defaultColWidth="8.83203125" defaultRowHeight="15" x14ac:dyDescent="0.2"/>
  <cols>
    <col min="1" max="2" width="26" customWidth="1"/>
  </cols>
  <sheetData>
    <row r="1" spans="1:26" ht="34.5" customHeight="1" x14ac:dyDescent="0.2">
      <c r="A1" s="3" t="s">
        <v>649</v>
      </c>
      <c r="B1" s="3"/>
      <c r="C1" s="3"/>
      <c r="D1" s="3"/>
      <c r="E1" s="3"/>
      <c r="F1" s="3"/>
      <c r="G1" s="3"/>
      <c r="H1" s="3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53.25" customHeight="1" x14ac:dyDescent="0.2">
      <c r="A2" s="11" t="s">
        <v>650</v>
      </c>
      <c r="B2" s="11"/>
      <c r="C2" s="11"/>
      <c r="D2" s="11"/>
      <c r="E2" s="11"/>
      <c r="F2" s="11"/>
      <c r="G2" s="11"/>
      <c r="H2" s="11"/>
    </row>
    <row r="4" spans="1:26" ht="15" customHeight="1" x14ac:dyDescent="0.2">
      <c r="A4" s="33" t="s">
        <v>463</v>
      </c>
      <c r="B4" s="34" t="s">
        <v>68</v>
      </c>
    </row>
    <row r="5" spans="1:26" x14ac:dyDescent="0.2">
      <c r="B5" t="s">
        <v>70</v>
      </c>
    </row>
    <row r="6" spans="1:26" x14ac:dyDescent="0.2">
      <c r="B6" t="s">
        <v>54</v>
      </c>
    </row>
    <row r="7" spans="1:26" x14ac:dyDescent="0.2">
      <c r="B7" t="s">
        <v>651</v>
      </c>
    </row>
    <row r="8" spans="1:26" ht="15.75" customHeight="1" x14ac:dyDescent="0.2">
      <c r="A8" s="33" t="s">
        <v>47</v>
      </c>
      <c r="B8" t="s">
        <v>50</v>
      </c>
    </row>
    <row r="9" spans="1:26" x14ac:dyDescent="0.2">
      <c r="B9" t="s">
        <v>52</v>
      </c>
    </row>
    <row r="10" spans="1:26" x14ac:dyDescent="0.2">
      <c r="B10" t="s">
        <v>54</v>
      </c>
    </row>
    <row r="11" spans="1:26" x14ac:dyDescent="0.2">
      <c r="B11" t="s">
        <v>56</v>
      </c>
    </row>
    <row r="12" spans="1:26" x14ac:dyDescent="0.2">
      <c r="B12" t="s">
        <v>58</v>
      </c>
    </row>
    <row r="13" spans="1:26" ht="15.75" customHeight="1" x14ac:dyDescent="0.2">
      <c r="A13" s="33" t="s">
        <v>121</v>
      </c>
      <c r="B13" t="s">
        <v>652</v>
      </c>
    </row>
    <row r="14" spans="1:26" x14ac:dyDescent="0.2">
      <c r="B14" t="s">
        <v>95</v>
      </c>
    </row>
    <row r="15" spans="1:26" x14ac:dyDescent="0.2">
      <c r="B15" t="s">
        <v>561</v>
      </c>
    </row>
    <row r="16" spans="1:26" ht="15.75" customHeight="1" x14ac:dyDescent="0.2">
      <c r="A16" s="33" t="s">
        <v>653</v>
      </c>
      <c r="B16" t="s">
        <v>178</v>
      </c>
    </row>
    <row r="17" spans="1:2" x14ac:dyDescent="0.2">
      <c r="B17" t="s">
        <v>194</v>
      </c>
    </row>
    <row r="18" spans="1:2" x14ac:dyDescent="0.2">
      <c r="B18" t="s">
        <v>235</v>
      </c>
    </row>
    <row r="19" spans="1:2" x14ac:dyDescent="0.2">
      <c r="B19" t="s">
        <v>654</v>
      </c>
    </row>
    <row r="20" spans="1:2" ht="15.75" customHeight="1" x14ac:dyDescent="0.2">
      <c r="A20" s="33" t="s">
        <v>655</v>
      </c>
      <c r="B20" t="s">
        <v>656</v>
      </c>
    </row>
    <row r="21" spans="1:2" x14ac:dyDescent="0.2">
      <c r="B21" t="s">
        <v>657</v>
      </c>
    </row>
    <row r="22" spans="1:2" x14ac:dyDescent="0.2">
      <c r="B22" t="s">
        <v>235</v>
      </c>
    </row>
    <row r="23" spans="1:2" x14ac:dyDescent="0.2">
      <c r="B23" t="s">
        <v>654</v>
      </c>
    </row>
    <row r="24" spans="1:2" x14ac:dyDescent="0.2">
      <c r="B24" t="s">
        <v>658</v>
      </c>
    </row>
  </sheetData>
  <mergeCells count="2">
    <mergeCell ref="A1:H1"/>
    <mergeCell ref="A2:H2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START HERE</vt:lpstr>
      <vt:lpstr>Workflow Step Designer</vt:lpstr>
      <vt:lpstr>Phase2 to Phase3 Handoff</vt:lpstr>
      <vt:lpstr>Workflow Blueprint</vt:lpstr>
      <vt:lpstr>Data Field Map</vt:lpstr>
      <vt:lpstr>Routing Rules</vt:lpstr>
      <vt:lpstr>Tool Stack</vt:lpstr>
      <vt:lpstr>Approval &amp; Escalation</vt:lpstr>
      <vt:lpstr>Security &amp; Access</vt:lpstr>
      <vt:lpstr>Error &amp; Monitoring</vt:lpstr>
      <vt:lpstr>Final Blueprint Summary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maciek szczech</cp:lastModifiedBy>
  <cp:revision>0</cp:revision>
  <dcterms:created xsi:type="dcterms:W3CDTF">2026-06-28T14:13:42Z</dcterms:created>
  <dcterms:modified xsi:type="dcterms:W3CDTF">2026-07-05T12:44:48Z</dcterms:modified>
  <dc:language>en-US</dc:language>
</cp:coreProperties>
</file>