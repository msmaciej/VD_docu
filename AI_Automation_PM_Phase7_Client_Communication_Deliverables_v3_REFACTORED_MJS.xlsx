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ommunication Plan" sheetId="2" state="visible" r:id="rId4"/>
    <sheet name="Client Deliverables" sheetId="3" state="visible" r:id="rId5"/>
    <sheet name="Ownership Models" sheetId="4" state="visible" r:id="rId6"/>
    <sheet name="Approval Gates" sheetId="5" state="visible" r:id="rId7"/>
    <sheet name="Weekly Update Template" sheetId="6" state="visible" r:id="rId8"/>
    <sheet name="Monthly Report Template" sheetId="7" state="visible" r:id="rId9"/>
    <sheet name="Access IP Matrix"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<sst xmlns="http://schemas.openxmlformats.org/spreadsheetml/2006/main" count="360" uniqueCount="287">
  <si>
    <t xml:space="preserve">Client Communication &amp; Deliverables Control — Master Template</t>
  </si>
  <si>
    <t xml:space="preserve">Use this workbook to decide what the client receives, when reports are sent, who owns what, and which items remain internal know-how.</t>
  </si>
  <si>
    <t xml:space="preserve">Subject</t>
  </si>
  <si>
    <t xml:space="preserve">Description</t>
  </si>
  <si>
    <t xml:space="preserve">Purpose</t>
  </si>
  <si>
    <t xml:space="preserve">Keep client communication professional without giving away your full implementation IP.</t>
  </si>
  <si>
    <t xml:space="preserve">Core rule</t>
  </si>
  <si>
    <t xml:space="preserve">Client receives clarity, outcomes, reports, approvals, and access to their own data. Internal scenario logic/blueprints are shared only if contract/package says so.</t>
  </si>
  <si>
    <t xml:space="preserve">When to use</t>
  </si>
  <si>
    <t xml:space="preserve">After Phase 1 discovery and throughout Phases 2–6.</t>
  </si>
  <si>
    <t xml:space="preserve">Recommended rhythm</t>
  </si>
  <si>
    <t xml:space="preserve">Basic: milestone updates. Pro/Managed/Agentic: weekly short updates plus approval gates.</t>
  </si>
  <si>
    <t xml:space="preserve">Important</t>
  </si>
  <si>
    <t xml:space="preserve">Separate client deliverables from internal working files. Do not export Make blueprints containing credentials, prompts, or reusable framework logic unless explicitly sold/licensed.</t>
  </si>
  <si>
    <t xml:space="preserve">Client Communication Progress (auto-computed)</t>
  </si>
  <si>
    <t xml:space="preserve">Approval Gates — by Client Decision</t>
  </si>
  <si>
    <t xml:space="preserve">Status</t>
  </si>
  <si>
    <t xml:space="preserve">Meaning</t>
  </si>
  <si>
    <t xml:space="preserve">Count</t>
  </si>
  <si>
    <t xml:space="preserve">Approved</t>
  </si>
  <si>
    <t xml:space="preserve">Gate formally signed off.</t>
  </si>
  <si>
    <t xml:space="preserve">Approved with comments</t>
  </si>
  <si>
    <t xml:space="preserve">Signed off with conditions.</t>
  </si>
  <si>
    <t xml:space="preserve">Pending</t>
  </si>
  <si>
    <t xml:space="preserve">Awaiting client decision.</t>
  </si>
  <si>
    <t xml:space="preserve">Rejected</t>
  </si>
  <si>
    <t xml:space="preserve">Gate rejected.</t>
  </si>
  <si>
    <t xml:space="preserve">Not needed</t>
  </si>
  <si>
    <t xml:space="preserve">Skipped intentionally.</t>
  </si>
  <si>
    <t xml:space="preserve">Communication Plan — by Status</t>
  </si>
  <si>
    <t xml:space="preserve">Planned</t>
  </si>
  <si>
    <t xml:space="preserve">Communication scheduled.</t>
  </si>
  <si>
    <t xml:space="preserve">In Progress</t>
  </si>
  <si>
    <t xml:space="preserve">Being prepared.</t>
  </si>
  <si>
    <t xml:space="preserve">Sent</t>
  </si>
  <si>
    <t xml:space="preserve">Delivered to client.</t>
  </si>
  <si>
    <t xml:space="preserve">Client has approved.</t>
  </si>
  <si>
    <t xml:space="preserve">Blocked</t>
  </si>
  <si>
    <t xml:space="preserve">Blocked — needs resolution.</t>
  </si>
  <si>
    <t xml:space="preserve">Not Needed</t>
  </si>
  <si>
    <t xml:space="preserve">Not required for this project.</t>
  </si>
  <si>
    <t xml:space="preserve">Tip: client management is on track when (a) every Communication Plan item is 'Sent' or 'Approved' at the right time, and (b) every Approval Gate is 'Approved' (or 'Approved with comments') before its phase ends. 'Pending' gates approaching phase-end are the early warning signal.</t>
  </si>
  <si>
    <t xml:space="preserve">Client Communication Plan</t>
  </si>
  <si>
    <t xml:space="preserve">Define when and how the client receives updates/reports. Green columns are project-specific inputs.</t>
  </si>
  <si>
    <t xml:space="preserve">Phase</t>
  </si>
  <si>
    <t xml:space="preserve">Client Communication</t>
  </si>
  <si>
    <t xml:space="preserve">Recommended Format</t>
  </si>
  <si>
    <t xml:space="preserve">Frequency / Trigger</t>
  </si>
  <si>
    <t xml:space="preserve">Client Approval Needed?</t>
  </si>
  <si>
    <t xml:space="preserve">Owner</t>
  </si>
  <si>
    <t xml:space="preserve">Notes</t>
  </si>
  <si>
    <t xml:space="preserve">Phase 1 Discovery</t>
  </si>
  <si>
    <t xml:space="preserve">Discovery Summary / Initial Plan</t>
  </si>
  <si>
    <t xml:space="preserve">1–2 page summary or email</t>
  </si>
  <si>
    <t xml:space="preserve">After discovery interview</t>
  </si>
  <si>
    <t xml:space="preserve">Optional / recommended</t>
  </si>
  <si>
    <t xml:space="preserve">Phase 2 Scope</t>
  </si>
  <si>
    <t xml:space="preserve">MVP Scope Confirmation</t>
  </si>
  <si>
    <t xml:space="preserve">Short report + scope table</t>
  </si>
  <si>
    <t xml:space="preserve">Before blueprinting</t>
  </si>
  <si>
    <t xml:space="preserve">Yes</t>
  </si>
  <si>
    <t xml:space="preserve">Phase 3 Blueprint</t>
  </si>
  <si>
    <t xml:space="preserve">Solution Blueprint Confirmation</t>
  </si>
  <si>
    <t xml:space="preserve">Workflow diagram/summary + boundaries</t>
  </si>
  <si>
    <t xml:space="preserve">Before build</t>
  </si>
  <si>
    <t xml:space="preserve">Phase 4 Build</t>
  </si>
  <si>
    <t xml:space="preserve">Build Progress Update</t>
  </si>
  <si>
    <t xml:space="preserve">Short weekly or milestone update</t>
  </si>
  <si>
    <t xml:space="preserve">Weekly or when blocked</t>
  </si>
  <si>
    <t xml:space="preserve">Only if scope changes</t>
  </si>
  <si>
    <t xml:space="preserve">Phase 5 Testing</t>
  </si>
  <si>
    <t xml:space="preserve">Testing Summary + Go/No-Go</t>
  </si>
  <si>
    <t xml:space="preserve">Test summary + defect status</t>
  </si>
  <si>
    <t xml:space="preserve">Before launch</t>
  </si>
  <si>
    <t xml:space="preserve">Phase 6 Managed Service</t>
  </si>
  <si>
    <t xml:space="preserve">Monthly Service Report</t>
  </si>
  <si>
    <t xml:space="preserve">Monthly KPI/report</t>
  </si>
  <si>
    <t xml:space="preserve">Monthly</t>
  </si>
  <si>
    <t xml:space="preserve">No, unless change requested</t>
  </si>
  <si>
    <t xml:space="preserve">Client Deliverables Register</t>
  </si>
  <si>
    <t xml:space="preserve">Define what is delivered to the client versus what stays internal.</t>
  </si>
  <si>
    <t xml:space="preserve">Deliverable</t>
  </si>
  <si>
    <t xml:space="preserve">Client Receives?</t>
  </si>
  <si>
    <t xml:space="preserve">Format</t>
  </si>
  <si>
    <t xml:space="preserve">Internal / Client / Hybrid</t>
  </si>
  <si>
    <t xml:space="preserve">Share Level</t>
  </si>
  <si>
    <t xml:space="preserve">Notes / Boundary</t>
  </si>
  <si>
    <t xml:space="preserve">Discovery Summary</t>
  </si>
  <si>
    <t xml:space="preserve">Phase 1</t>
  </si>
  <si>
    <t xml:space="preserve">Confirm needs, pain points, first MVP direction</t>
  </si>
  <si>
    <t xml:space="preserve">PDF/email</t>
  </si>
  <si>
    <t xml:space="preserve">Client</t>
  </si>
  <si>
    <t xml:space="preserve">Summary only</t>
  </si>
  <si>
    <t xml:space="preserve">No internal scoring details required</t>
  </si>
  <si>
    <t xml:space="preserve">Phase 2</t>
  </si>
  <si>
    <t xml:space="preserve">Lock what is included/later/excluded</t>
  </si>
  <si>
    <t xml:space="preserve">PDF/Excel excerpt</t>
  </si>
  <si>
    <t xml:space="preserve">Client-facing</t>
  </si>
  <si>
    <t xml:space="preserve">Approval gate</t>
  </si>
  <si>
    <t xml:space="preserve">Solution Blueprint Summary</t>
  </si>
  <si>
    <t xml:space="preserve">Phase 3</t>
  </si>
  <si>
    <t xml:space="preserve">Confirm process, tools, approvals, security</t>
  </si>
  <si>
    <t xml:space="preserve">PDF/diagram</t>
  </si>
  <si>
    <t xml:space="preserve">Hybrid</t>
  </si>
  <si>
    <t xml:space="preserve">Controlled detail</t>
  </si>
  <si>
    <t xml:space="preserve">Avoid sharing reusable internal template logic</t>
  </si>
  <si>
    <t xml:space="preserve">Full Make Blueprint Export</t>
  </si>
  <si>
    <t xml:space="preserve">Phase 3/4</t>
  </si>
  <si>
    <t xml:space="preserve">Usually no</t>
  </si>
  <si>
    <t xml:space="preserve">Technical implementation file</t>
  </si>
  <si>
    <t xml:space="preserve">Make JSON</t>
  </si>
  <si>
    <t xml:space="preserve">Internal</t>
  </si>
  <si>
    <t xml:space="preserve">Do not share by default</t>
  </si>
  <si>
    <t xml:space="preserve">Only under special paid handover/licensing</t>
  </si>
  <si>
    <t xml:space="preserve">Phase 4</t>
  </si>
  <si>
    <t xml:space="preserve">Progress and blockers</t>
  </si>
  <si>
    <t xml:space="preserve">Email/update</t>
  </si>
  <si>
    <t xml:space="preserve">Test Results Summary</t>
  </si>
  <si>
    <t xml:space="preserve">Phase 5</t>
  </si>
  <si>
    <t xml:space="preserve">Go/No-Go decision</t>
  </si>
  <si>
    <t xml:space="preserve">PDF/table</t>
  </si>
  <si>
    <t xml:space="preserve">Include pass/fail and unresolved risks</t>
  </si>
  <si>
    <t xml:space="preserve">Operations Dashboard</t>
  </si>
  <si>
    <t xml:space="preserve">Phase 6</t>
  </si>
  <si>
    <t xml:space="preserve">Maybe</t>
  </si>
  <si>
    <t xml:space="preserve">Visibility into results</t>
  </si>
  <si>
    <t xml:space="preserve">CRM/Notion/Looker/Sheet</t>
  </si>
  <si>
    <t xml:space="preserve">Client/Hybrid</t>
  </si>
  <si>
    <t xml:space="preserve">Data/result access</t>
  </si>
  <si>
    <t xml:space="preserve">Give access to client data, not necessarily build logic</t>
  </si>
  <si>
    <t xml:space="preserve">Managed service value proof</t>
  </si>
  <si>
    <t xml:space="preserve">Runs, errors, improvements, next actions</t>
  </si>
  <si>
    <t xml:space="preserve">Automation Ownership &amp; Access Models</t>
  </si>
  <si>
    <t xml:space="preserve">Choose the commercial/operational model before build. This protects both client trust and your IP.</t>
  </si>
  <si>
    <t xml:space="preserve">Model</t>
  </si>
  <si>
    <t xml:space="preserve">Client Gets</t>
  </si>
  <si>
    <t xml:space="preserve">You Keep</t>
  </si>
  <si>
    <t xml:space="preserve">Best For</t>
  </si>
  <si>
    <t xml:space="preserve">Risk / Warning</t>
  </si>
  <si>
    <t xml:space="preserve">Recommended Position</t>
  </si>
  <si>
    <t xml:space="preserve">Managed Service / Internal Build</t>
  </si>
  <si>
    <t xml:space="preserve">Automation runs in your managed Make environment or agency workspace.</t>
  </si>
  <si>
    <t xml:space="preserve">Results, reports, dashboard, approvals, documented process.</t>
  </si>
  <si>
    <t xml:space="preserve">Scenario logic, prompts, reusable templates, vendor/API setup.</t>
  </si>
  <si>
    <t xml:space="preserve">Basic/Pro managed packages.</t>
  </si>
  <si>
    <t xml:space="preserve">Client dependency on you; must clarify continuity/exit terms.</t>
  </si>
  <si>
    <t xml:space="preserve">Good default for managed service.</t>
  </si>
  <si>
    <t xml:space="preserve">Client-Owned Workspace</t>
  </si>
  <si>
    <t xml:space="preserve">Client owns Make/CRM/tools; you build inside their accounts.</t>
  </si>
  <si>
    <t xml:space="preserve">Full operational access and ownership.</t>
  </si>
  <si>
    <t xml:space="preserve">Your methodology, templates, documentation, service know-how.</t>
  </si>
  <si>
    <t xml:space="preserve">Larger clients, compliance-heavy clients.</t>
  </si>
  <si>
    <t xml:space="preserve">They can copy/modify logic; charge higher setup and limit template reuse.</t>
  </si>
  <si>
    <t xml:space="preserve">Use for higher-priced implementation.</t>
  </si>
  <si>
    <t xml:space="preserve">Client owns data/accounts; you manage automation layer.</t>
  </si>
  <si>
    <t xml:space="preserve">Access to business data, CRM, reports; limited Make visibility.</t>
  </si>
  <si>
    <t xml:space="preserve">Implementation framework, reusable scenario logic, prompts.</t>
  </si>
  <si>
    <t xml:space="preserve">Most small businesses.</t>
  </si>
  <si>
    <t xml:space="preserve">Needs clear SLA and exit plan.</t>
  </si>
  <si>
    <t xml:space="preserve">Best balanced option.</t>
  </si>
  <si>
    <t xml:space="preserve">Handover / Build-and-Transfer</t>
  </si>
  <si>
    <t xml:space="preserve">You build then transfer everything.</t>
  </si>
  <si>
    <t xml:space="preserve">Full blueprint, documentation, training.</t>
  </si>
  <si>
    <t xml:space="preserve">Only general know-how unless licensed terms apply.</t>
  </si>
  <si>
    <t xml:space="preserve">One-off projects.</t>
  </si>
  <si>
    <t xml:space="preserve">Undermines recurring revenue; must price high.</t>
  </si>
  <si>
    <t xml:space="preserve">Offer only as premium package.</t>
  </si>
  <si>
    <t xml:space="preserve">Client Approval Gates</t>
  </si>
  <si>
    <t xml:space="preserve">Use this sheet to control what must be approved before moving forward.</t>
  </si>
  <si>
    <t xml:space="preserve">Gate</t>
  </si>
  <si>
    <t xml:space="preserve">Approval Item</t>
  </si>
  <si>
    <t xml:space="preserve">Why Approval Matters</t>
  </si>
  <si>
    <t xml:space="preserve">Client Decision</t>
  </si>
  <si>
    <t xml:space="preserve">Date</t>
  </si>
  <si>
    <t xml:space="preserve">Approved By</t>
  </si>
  <si>
    <t xml:space="preserve">Completeness Status (AUTO)</t>
  </si>
  <si>
    <t xml:space="preserve">G1</t>
  </si>
  <si>
    <t xml:space="preserve">After Phase 1</t>
  </si>
  <si>
    <t xml:space="preserve">Confirms problem and direction</t>
  </si>
  <si>
    <t xml:space="preserve">G2</t>
  </si>
  <si>
    <t xml:space="preserve">After Phase 2</t>
  </si>
  <si>
    <t xml:space="preserve">MVP Scope</t>
  </si>
  <si>
    <t xml:space="preserve">Prevents scope creep</t>
  </si>
  <si>
    <t xml:space="preserve">G3</t>
  </si>
  <si>
    <t xml:space="preserve">After Phase 3</t>
  </si>
  <si>
    <t xml:space="preserve">Solution Blueprint + boundaries</t>
  </si>
  <si>
    <t xml:space="preserve">Confirms how automation works and what AI may/may not do</t>
  </si>
  <si>
    <t xml:space="preserve">G4</t>
  </si>
  <si>
    <t xml:space="preserve">After Phase 5</t>
  </si>
  <si>
    <t xml:space="preserve">Go/No-Go</t>
  </si>
  <si>
    <t xml:space="preserve">Confirms readiness to launch</t>
  </si>
  <si>
    <t xml:space="preserve">G5</t>
  </si>
  <si>
    <t xml:space="preserve">Change request / improvement</t>
  </si>
  <si>
    <t xml:space="preserve">Controls managed-service changes</t>
  </si>
  <si>
    <t xml:space="preserve">Gate Status at a Glance (auto-computed)</t>
  </si>
  <si>
    <t xml:space="preserve">Approved with conditions or follow-ups.</t>
  </si>
  <si>
    <t xml:space="preserve">Gate rejected — requires rework.</t>
  </si>
  <si>
    <t xml:space="preserve">Total gates recorded</t>
  </si>
  <si>
    <t xml:space="preserve">All rows with a Gate ID.</t>
  </si>
  <si>
    <t xml:space="preserve">Weekly / Milestone Client Update Template</t>
  </si>
  <si>
    <t xml:space="preserve">Copy this structure into email or report. Keep it short.</t>
  </si>
  <si>
    <t xml:space="preserve">Project</t>
  </si>
  <si>
    <t xml:space="preserve">Reporting period</t>
  </si>
  <si>
    <t xml:space="preserve">Overall status</t>
  </si>
  <si>
    <t xml:space="preserve">Green / Yellow / Red</t>
  </si>
  <si>
    <t xml:space="preserve">Done this period</t>
  </si>
  <si>
    <t xml:space="preserve">In progress</t>
  </si>
  <si>
    <t xml:space="preserve">Blocked / waiting for client</t>
  </si>
  <si>
    <t xml:space="preserve">Risks / decisions needed</t>
  </si>
  <si>
    <t xml:space="preserve">Next step</t>
  </si>
  <si>
    <t xml:space="preserve">Target next milestone</t>
  </si>
  <si>
    <t xml:space="preserve">Monthly Managed Service Report Template</t>
  </si>
  <si>
    <t xml:space="preserve">Use after go-live for Managed/Agentic packages.</t>
  </si>
  <si>
    <t xml:space="preserve">Section</t>
  </si>
  <si>
    <t xml:space="preserve">Metric / Topic</t>
  </si>
  <si>
    <t xml:space="preserve">Value / Notes</t>
  </si>
  <si>
    <t xml:space="preserve">Client Meaning</t>
  </si>
  <si>
    <t xml:space="preserve">Usage</t>
  </si>
  <si>
    <t xml:space="preserve">Automation runs</t>
  </si>
  <si>
    <t xml:space="preserve">How often the system worked</t>
  </si>
  <si>
    <t xml:space="preserve">Items / inputs processed</t>
  </si>
  <si>
    <t xml:space="preserve">Volume handled by automation</t>
  </si>
  <si>
    <t xml:space="preserve">Quality</t>
  </si>
  <si>
    <t xml:space="preserve">Correct processing results</t>
  </si>
  <si>
    <t xml:space="preserve">Reliability of AI/rules</t>
  </si>
  <si>
    <t xml:space="preserve">Human review cases</t>
  </si>
  <si>
    <t xml:space="preserve">Where human judgment was needed</t>
  </si>
  <si>
    <t xml:space="preserve">Reliability</t>
  </si>
  <si>
    <t xml:space="preserve">Failed runs / errors</t>
  </si>
  <si>
    <t xml:space="preserve">Operational stability</t>
  </si>
  <si>
    <t xml:space="preserve">Critical incidents</t>
  </si>
  <si>
    <t xml:space="preserve">Any risk-impacting events</t>
  </si>
  <si>
    <t xml:space="preserve">Improvements</t>
  </si>
  <si>
    <t xml:space="preserve">Changes made</t>
  </si>
  <si>
    <t xml:space="preserve">Service improvement delivered</t>
  </si>
  <si>
    <t xml:space="preserve">Recommended next improvements</t>
  </si>
  <si>
    <t xml:space="preserve">Future value</t>
  </si>
  <si>
    <t xml:space="preserve">Open Items</t>
  </si>
  <si>
    <t xml:space="preserve">Client decisions needed</t>
  </si>
  <si>
    <t xml:space="preserve">What blocks progress</t>
  </si>
  <si>
    <t xml:space="preserve">Access, Ownership &amp; IP Boundary Matrix</t>
  </si>
  <si>
    <t xml:space="preserve">Define exactly what the client can access and what remains internal.</t>
  </si>
  <si>
    <t xml:space="preserve">Item</t>
  </si>
  <si>
    <t xml:space="preserve">Client Access?</t>
  </si>
  <si>
    <t xml:space="preserve">Ownership</t>
  </si>
  <si>
    <t xml:space="preserve">Reason</t>
  </si>
  <si>
    <t xml:space="preserve">Boundary / Condition</t>
  </si>
  <si>
    <t xml:space="preserve">Decision</t>
  </si>
  <si>
    <t xml:space="preserve">Client Gmail/Email account</t>
  </si>
  <si>
    <t xml:space="preserve">Client business communication</t>
  </si>
  <si>
    <t xml:space="preserve">Use OAuth/delegated access, not shared passwords</t>
  </si>
  <si>
    <t xml:space="preserve">Client Instagram/Meta account</t>
  </si>
  <si>
    <t xml:space="preserve">Client channel</t>
  </si>
  <si>
    <t xml:space="preserve">Client grants business/admin access</t>
  </si>
  <si>
    <t xml:space="preserve">CRM/Notion client data</t>
  </si>
  <si>
    <t xml:space="preserve">Client or shared</t>
  </si>
  <si>
    <t xml:space="preserve">Operational visibility</t>
  </si>
  <si>
    <t xml:space="preserve">Give data/results access</t>
  </si>
  <si>
    <t xml:space="preserve">Make scenario editor</t>
  </si>
  <si>
    <t xml:space="preserve">Depends on model</t>
  </si>
  <si>
    <t xml:space="preserve">Technical automation layer</t>
  </si>
  <si>
    <t xml:space="preserve">Usually no in managed service; yes in client-owned/handover</t>
  </si>
  <si>
    <t xml:space="preserve">Make blueprint export</t>
  </si>
  <si>
    <t xml:space="preserve">Your IP unless contracted otherwise</t>
  </si>
  <si>
    <t xml:space="preserve">Reusable implementation logic</t>
  </si>
  <si>
    <t xml:space="preserve">Only under paid handover/licensing; remove secrets first</t>
  </si>
  <si>
    <t xml:space="preserve">AI prompts/classification logic</t>
  </si>
  <si>
    <t xml:space="preserve">Hybrid/IP</t>
  </si>
  <si>
    <t xml:space="preserve">Core service know-how</t>
  </si>
  <si>
    <t xml:space="preserve">Share high-level behavior, not full reusable prompt library unless agreed</t>
  </si>
  <si>
    <t xml:space="preserve">API keys</t>
  </si>
  <si>
    <t xml:space="preserve">No</t>
  </si>
  <si>
    <t xml:space="preserve">You/client depending on account</t>
  </si>
  <si>
    <t xml:space="preserve">Security</t>
  </si>
  <si>
    <t xml:space="preserve">Never share keys; use connections/secrets</t>
  </si>
  <si>
    <t xml:space="preserve">Reports/results</t>
  </si>
  <si>
    <t xml:space="preserve">Client value and transparency</t>
  </si>
  <si>
    <t xml:space="preserve">Always share</t>
  </si>
  <si>
    <t xml:space="preserve">Client accounting tool or document storage</t>
  </si>
  <si>
    <t xml:space="preserve">Finance / document automation data source</t>
  </si>
  <si>
    <t xml:space="preserve">Connect via API or scheduled export; client retains full data ownership; no automated write-back without human confirmation.</t>
  </si>
  <si>
    <t xml:space="preserve">Client CMS / social scheduling tool</t>
  </si>
  <si>
    <t xml:space="preserve">Content automation publishing target</t>
  </si>
  <si>
    <t xml:space="preserve">API access for approved publishing actions only; client must approve each draft before publish — no direct auto-posting.</t>
  </si>
  <si>
    <t xml:space="preserve">Client approval channels (email, Slack, Teams)</t>
  </si>
  <si>
    <t xml:space="preserve">Internal ops automation — approval routing and notifications</t>
  </si>
  <si>
    <t xml:space="preserve">Outbound notification only; no access to other message threads or inboxes; approval routing per defined rules.</t>
  </si>
</sst>
</file>

<file path=xl/styles.xml><?xml version="1.0" encoding="utf-8"?>
<styleSheet xmlns="http://schemas.openxmlformats.org/spreadsheetml/2006/main">
  <numFmts count="2">
    <numFmt numFmtId="164" formatCode="General"/>
    <numFmt numFmtId="165" formatCode="General"/>
  </numFmts>
  <fonts count="12">
    <font>
      <sz val="11"/>
      <name val="Calibri"/>
      <family val="0"/>
      <charset val="1"/>
    </font>
    <font>
      <sz val="10"/>
      <name val="Arial"/>
      <family val="0"/>
    </font>
    <font>
      <sz val="10"/>
      <name val="Arial"/>
      <family val="0"/>
    </font>
    <font>
      <sz val="10"/>
      <name val="Arial"/>
      <family val="0"/>
    </font>
    <font>
      <b val="true"/>
      <sz val="14"/>
      <color rgb="FFFFFFFF"/>
      <name val="Calibri"/>
      <family val="0"/>
      <charset val="1"/>
    </font>
    <font>
      <i val="true"/>
      <sz val="11"/>
      <color rgb="FF111827"/>
      <name val="Calibri"/>
      <family val="0"/>
      <charset val="1"/>
    </font>
    <font>
      <b val="true"/>
      <sz val="11"/>
      <color rgb="FFFFFFFF"/>
      <name val="Calibri"/>
      <family val="0"/>
      <charset val="1"/>
    </font>
    <font>
      <b val="true"/>
      <sz val="11"/>
      <name val="Calibri"/>
      <family val="0"/>
      <charset val="1"/>
    </font>
    <font>
      <b val="true"/>
      <sz val="11"/>
      <color rgb="FF000000"/>
      <name val="Calibri"/>
      <family val="0"/>
      <charset val="1"/>
    </font>
    <font>
      <sz val="11"/>
      <color rgb="FF000000"/>
      <name val="Calibri"/>
      <family val="0"/>
      <charset val="1"/>
    </font>
    <font>
      <i val="true"/>
      <sz val="11"/>
      <color rgb="FF000000"/>
      <name val="Calibri"/>
      <family val="0"/>
      <charset val="1"/>
    </font>
    <font>
      <b val="true"/>
      <sz val="12"/>
      <color rgb="FF000000"/>
      <name val="Calibri"/>
      <family val="0"/>
      <charset val="1"/>
    </font>
  </fonts>
  <fills count="10">
    <fill>
      <patternFill patternType="none"/>
    </fill>
    <fill>
      <patternFill patternType="gray125"/>
    </fill>
    <fill>
      <patternFill patternType="solid">
        <fgColor rgb="FF0F766E"/>
        <bgColor rgb="FF008080"/>
      </patternFill>
    </fill>
    <fill>
      <patternFill patternType="solid">
        <fgColor rgb="FFCCFBF1"/>
        <bgColor rgb="FFDCFCE7"/>
      </patternFill>
    </fill>
    <fill>
      <patternFill patternType="solid">
        <fgColor rgb="FFE5E7EB"/>
        <bgColor rgb="FFE7E6E6"/>
      </patternFill>
    </fill>
    <fill>
      <patternFill patternType="solid">
        <fgColor rgb="FFFFF2CC"/>
        <bgColor rgb="FFE7E6E6"/>
      </patternFill>
    </fill>
    <fill>
      <patternFill patternType="solid">
        <fgColor rgb="FFE7E6E6"/>
        <bgColor rgb="FFE5E7EB"/>
      </patternFill>
    </fill>
    <fill>
      <patternFill patternType="solid">
        <fgColor rgb="FFD9EAF7"/>
        <bgColor rgb="FFDBEAFE"/>
      </patternFill>
    </fill>
    <fill>
      <patternFill patternType="solid">
        <fgColor rgb="FFDCFCE7"/>
        <bgColor rgb="FFCCFBF1"/>
      </patternFill>
    </fill>
    <fill>
      <patternFill patternType="solid">
        <fgColor rgb="FFDBEAFE"/>
        <bgColor rgb="FFD9EA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center" vertical="center" textRotation="0" wrapText="true" indent="0" shrinkToFit="false"/>
      <protection locked="true" hidden="false"/>
    </xf>
    <xf numFmtId="164" fontId="8" fillId="6" borderId="0"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0" fillId="8" borderId="0" xfId="0" applyFont="false" applyBorder="false" applyAlignment="true" applyProtection="false">
      <alignment horizontal="left" vertical="top" textRotation="0" wrapText="true" indent="0" shrinkToFit="false"/>
      <protection locked="true" hidden="false"/>
    </xf>
    <xf numFmtId="164" fontId="0" fillId="8"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true" applyAlignment="true" applyProtection="false">
      <alignment horizontal="center" vertical="center" textRotation="0" wrapText="true" indent="0" shrinkToFit="false"/>
      <protection locked="true" hidden="false"/>
    </xf>
    <xf numFmtId="165" fontId="8" fillId="7" borderId="1" xfId="0" applyFont="true" applyBorder="true" applyAlignment="true" applyProtection="false">
      <alignment horizontal="center" vertical="center" textRotation="0" wrapText="true" indent="0" shrinkToFit="false"/>
      <protection locked="true" hidden="false"/>
    </xf>
    <xf numFmtId="164" fontId="0" fillId="9"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BFBFBF"/>
      <rgbColor rgb="FF808080"/>
      <rgbColor rgb="FF9999FF"/>
      <rgbColor rgb="FF993366"/>
      <rgbColor rgb="FFFFF2CC"/>
      <rgbColor rgb="FFCCFBF1"/>
      <rgbColor rgb="FF660066"/>
      <rgbColor rgb="FFFF8080"/>
      <rgbColor rgb="FF0066CC"/>
      <rgbColor rgb="FFDBEAFE"/>
      <rgbColor rgb="FF000080"/>
      <rgbColor rgb="FFFF00FF"/>
      <rgbColor rgb="FFFFFF00"/>
      <rgbColor rgb="FF00FFFF"/>
      <rgbColor rgb="FF800080"/>
      <rgbColor rgb="FF800000"/>
      <rgbColor rgb="FF008080"/>
      <rgbColor rgb="FF0000FF"/>
      <rgbColor rgb="FF00CCFF"/>
      <rgbColor rgb="FFDCFCE7"/>
      <rgbColor rgb="FFD9EAF7"/>
      <rgbColor rgb="FFE7E6E6"/>
      <rgbColor rgb="FF99CCFF"/>
      <rgbColor rgb="FFFF99CC"/>
      <rgbColor rgb="FFCC99FF"/>
      <rgbColor rgb="FFE5E7EB"/>
      <rgbColor rgb="FF3366FF"/>
      <rgbColor rgb="FF33CCCC"/>
      <rgbColor rgb="FF99CC00"/>
      <rgbColor rgb="FFFFCC00"/>
      <rgbColor rgb="FFFF9900"/>
      <rgbColor rgb="FFFF6600"/>
      <rgbColor rgb="FF666699"/>
      <rgbColor rgb="FF969696"/>
      <rgbColor rgb="FF003366"/>
      <rgbColor rgb="FF339966"/>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30"/>
    <col collapsed="false" customWidth="true" hidden="false" outlineLevel="0" max="2" min="2" style="1" width="144.83"/>
    <col collapsed="false" customWidth="true" hidden="false" outlineLevel="0" max="3" min="3" style="1" width="13"/>
  </cols>
  <sheetData>
    <row r="1" customFormat="false" ht="34.5" hidden="false" customHeight="true" outlineLevel="0" collapsed="false">
      <c r="A1" s="2" t="s">
        <v>0</v>
      </c>
      <c r="B1" s="2"/>
      <c r="C1" s="2"/>
      <c r="D1" s="2"/>
      <c r="E1" s="2"/>
      <c r="F1" s="2"/>
      <c r="G1" s="2"/>
      <c r="H1" s="2"/>
    </row>
    <row r="2" customFormat="false" ht="21" hidden="false" customHeight="true" outlineLevel="0" collapsed="false">
      <c r="A2" s="3" t="s">
        <v>1</v>
      </c>
      <c r="B2" s="3"/>
      <c r="C2" s="3"/>
      <c r="D2" s="3"/>
      <c r="E2" s="3"/>
      <c r="F2" s="3"/>
      <c r="G2" s="3"/>
      <c r="H2" s="3"/>
    </row>
    <row r="3" customFormat="false" ht="21" hidden="false" customHeight="true" outlineLevel="0" collapsed="false"/>
    <row r="4" customFormat="false" ht="33.75" hidden="false" customHeight="true" outlineLevel="0" collapsed="false">
      <c r="A4" s="4" t="s">
        <v>2</v>
      </c>
      <c r="B4" s="4" t="s">
        <v>3</v>
      </c>
      <c r="C4" s="4"/>
      <c r="D4" s="4"/>
      <c r="E4" s="4"/>
      <c r="F4" s="4"/>
      <c r="G4" s="4"/>
      <c r="H4" s="4"/>
    </row>
    <row r="5" customFormat="false" ht="21" hidden="false" customHeight="true" outlineLevel="0" collapsed="false">
      <c r="A5" s="5" t="s">
        <v>4</v>
      </c>
      <c r="B5" s="6" t="s">
        <v>5</v>
      </c>
    </row>
    <row r="6" customFormat="false" ht="21" hidden="false" customHeight="true" outlineLevel="0" collapsed="false">
      <c r="A6" s="5" t="s">
        <v>6</v>
      </c>
      <c r="B6" s="6" t="s">
        <v>7</v>
      </c>
    </row>
    <row r="7" customFormat="false" ht="21" hidden="false" customHeight="true" outlineLevel="0" collapsed="false">
      <c r="A7" s="5" t="s">
        <v>8</v>
      </c>
      <c r="B7" s="6" t="s">
        <v>9</v>
      </c>
    </row>
    <row r="8" customFormat="false" ht="21" hidden="false" customHeight="true" outlineLevel="0" collapsed="false">
      <c r="A8" s="5" t="s">
        <v>10</v>
      </c>
      <c r="B8" s="6" t="s">
        <v>11</v>
      </c>
    </row>
    <row r="9" customFormat="false" ht="21" hidden="false" customHeight="true" outlineLevel="0" collapsed="false">
      <c r="A9" s="5" t="s">
        <v>12</v>
      </c>
      <c r="B9" s="6" t="s">
        <v>13</v>
      </c>
    </row>
    <row r="12" customFormat="false" ht="21.75" hidden="false" customHeight="true" outlineLevel="0" collapsed="false">
      <c r="A12" s="7" t="s">
        <v>14</v>
      </c>
      <c r="B12" s="7"/>
      <c r="C12" s="7"/>
    </row>
    <row r="14" customFormat="false" ht="14.25" hidden="false" customHeight="true" outlineLevel="0" collapsed="false">
      <c r="A14" s="8" t="s">
        <v>15</v>
      </c>
      <c r="B14" s="8"/>
      <c r="C14" s="8"/>
    </row>
    <row r="15" customFormat="false" ht="14.25" hidden="false" customHeight="true" outlineLevel="0" collapsed="false">
      <c r="A15" s="9" t="s">
        <v>16</v>
      </c>
      <c r="B15" s="9" t="s">
        <v>17</v>
      </c>
      <c r="C15" s="9" t="s">
        <v>18</v>
      </c>
    </row>
    <row r="16" customFormat="false" ht="14.25" hidden="false" customHeight="true" outlineLevel="0" collapsed="false">
      <c r="A16" s="10" t="s">
        <v>19</v>
      </c>
      <c r="B16" s="11" t="s">
        <v>20</v>
      </c>
      <c r="C16" s="12" t="n">
        <f aca="false">COUNTIF('Approval Gates'!E5:E100,"Approved")</f>
        <v>0</v>
      </c>
    </row>
    <row r="17" customFormat="false" ht="14.25" hidden="false" customHeight="true" outlineLevel="0" collapsed="false">
      <c r="A17" s="10" t="s">
        <v>21</v>
      </c>
      <c r="B17" s="11" t="s">
        <v>22</v>
      </c>
      <c r="C17" s="12" t="n">
        <f aca="false">COUNTIF('Approval Gates'!E5:E100,"Approved with comments")</f>
        <v>0</v>
      </c>
    </row>
    <row r="18" customFormat="false" ht="14.25" hidden="false" customHeight="true" outlineLevel="0" collapsed="false">
      <c r="A18" s="10" t="s">
        <v>23</v>
      </c>
      <c r="B18" s="11" t="s">
        <v>24</v>
      </c>
      <c r="C18" s="12" t="n">
        <f aca="false">COUNTIF('Approval Gates'!E5:E100,"Pending")</f>
        <v>0</v>
      </c>
    </row>
    <row r="19" customFormat="false" ht="14.25" hidden="false" customHeight="true" outlineLevel="0" collapsed="false">
      <c r="A19" s="10" t="s">
        <v>25</v>
      </c>
      <c r="B19" s="11" t="s">
        <v>26</v>
      </c>
      <c r="C19" s="12" t="n">
        <f aca="false">COUNTIF('Approval Gates'!E5:E100,"Rejected")</f>
        <v>0</v>
      </c>
    </row>
    <row r="20" customFormat="false" ht="14.25" hidden="false" customHeight="true" outlineLevel="0" collapsed="false">
      <c r="A20" s="10" t="s">
        <v>27</v>
      </c>
      <c r="B20" s="11" t="s">
        <v>28</v>
      </c>
      <c r="C20" s="12" t="n">
        <f aca="false">COUNTIF('Approval Gates'!E5:E100,"Not needed")</f>
        <v>0</v>
      </c>
    </row>
    <row r="22" customFormat="false" ht="14.25" hidden="false" customHeight="true" outlineLevel="0" collapsed="false">
      <c r="A22" s="8" t="s">
        <v>29</v>
      </c>
      <c r="B22" s="8"/>
      <c r="C22" s="8"/>
    </row>
    <row r="23" customFormat="false" ht="14.25" hidden="false" customHeight="true" outlineLevel="0" collapsed="false">
      <c r="A23" s="9" t="s">
        <v>16</v>
      </c>
      <c r="B23" s="9" t="s">
        <v>17</v>
      </c>
      <c r="C23" s="9" t="s">
        <v>18</v>
      </c>
    </row>
    <row r="24" customFormat="false" ht="14.25" hidden="false" customHeight="true" outlineLevel="0" collapsed="false">
      <c r="A24" s="10" t="s">
        <v>30</v>
      </c>
      <c r="B24" s="11" t="s">
        <v>31</v>
      </c>
      <c r="C24" s="12" t="n">
        <f aca="false">COUNTIF('Communication Plan'!G5:G100,"Planned")</f>
        <v>6</v>
      </c>
    </row>
    <row r="25" customFormat="false" ht="14.25" hidden="false" customHeight="true" outlineLevel="0" collapsed="false">
      <c r="A25" s="10" t="s">
        <v>32</v>
      </c>
      <c r="B25" s="11" t="s">
        <v>33</v>
      </c>
      <c r="C25" s="12" t="n">
        <f aca="false">COUNTIF('Communication Plan'!G5:G100,"In Progress")</f>
        <v>0</v>
      </c>
    </row>
    <row r="26" customFormat="false" ht="14.25" hidden="false" customHeight="true" outlineLevel="0" collapsed="false">
      <c r="A26" s="10" t="s">
        <v>34</v>
      </c>
      <c r="B26" s="11" t="s">
        <v>35</v>
      </c>
      <c r="C26" s="12" t="n">
        <f aca="false">COUNTIF('Communication Plan'!G5:G100,"Sent")</f>
        <v>0</v>
      </c>
    </row>
    <row r="27" customFormat="false" ht="14.25" hidden="false" customHeight="true" outlineLevel="0" collapsed="false">
      <c r="A27" s="10" t="s">
        <v>19</v>
      </c>
      <c r="B27" s="11" t="s">
        <v>36</v>
      </c>
      <c r="C27" s="12" t="n">
        <f aca="false">COUNTIF('Communication Plan'!G5:G100,"Approved")</f>
        <v>0</v>
      </c>
    </row>
    <row r="28" customFormat="false" ht="14.25" hidden="false" customHeight="true" outlineLevel="0" collapsed="false">
      <c r="A28" s="10" t="s">
        <v>37</v>
      </c>
      <c r="B28" s="11" t="s">
        <v>38</v>
      </c>
      <c r="C28" s="12" t="n">
        <f aca="false">COUNTIF('Communication Plan'!G5:G100,"Blocked")</f>
        <v>0</v>
      </c>
    </row>
    <row r="29" customFormat="false" ht="14.25" hidden="false" customHeight="true" outlineLevel="0" collapsed="false">
      <c r="A29" s="10" t="s">
        <v>39</v>
      </c>
      <c r="B29" s="11" t="s">
        <v>40</v>
      </c>
      <c r="C29" s="12" t="n">
        <f aca="false">COUNTIF('Communication Plan'!G5:G100,"Not Needed")</f>
        <v>0</v>
      </c>
    </row>
    <row r="32" customFormat="false" ht="27.75" hidden="false" customHeight="true" outlineLevel="0" collapsed="false">
      <c r="A32" s="13" t="s">
        <v>41</v>
      </c>
      <c r="B32" s="13"/>
      <c r="C32" s="13"/>
    </row>
  </sheetData>
  <mergeCells count="6">
    <mergeCell ref="A1:H1"/>
    <mergeCell ref="A2:H2"/>
    <mergeCell ref="A12:C12"/>
    <mergeCell ref="A14:C14"/>
    <mergeCell ref="A22:C22"/>
    <mergeCell ref="A32:C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32"/>
    <col collapsed="false" customWidth="true" hidden="false" outlineLevel="0" max="3" min="3" style="1" width="34"/>
    <col collapsed="false" customWidth="true" hidden="false" outlineLevel="0" max="4" min="4" style="1" width="24"/>
    <col collapsed="false" customWidth="true" hidden="false" outlineLevel="0" max="5" min="5" style="1" width="22"/>
    <col collapsed="false" customWidth="true" hidden="false" outlineLevel="0" max="6" min="6" style="1" width="18"/>
    <col collapsed="false" customWidth="true" hidden="false" outlineLevel="0" max="7" min="7" style="1" width="16"/>
    <col collapsed="false" customWidth="true" hidden="false" outlineLevel="0" max="8" min="8" style="1" width="40"/>
  </cols>
  <sheetData>
    <row r="1" customFormat="false" ht="34.5" hidden="false" customHeight="true" outlineLevel="0" collapsed="false">
      <c r="A1" s="2" t="s">
        <v>42</v>
      </c>
      <c r="B1" s="2"/>
      <c r="C1" s="2"/>
      <c r="D1" s="2"/>
      <c r="E1" s="2"/>
      <c r="F1" s="2"/>
      <c r="G1" s="2"/>
      <c r="H1" s="2"/>
    </row>
    <row r="2" customFormat="false" ht="21" hidden="false" customHeight="true" outlineLevel="0" collapsed="false">
      <c r="A2" s="3" t="s">
        <v>43</v>
      </c>
      <c r="B2" s="3"/>
      <c r="C2" s="3"/>
      <c r="D2" s="3"/>
      <c r="E2" s="3"/>
      <c r="F2" s="3"/>
      <c r="G2" s="3"/>
      <c r="H2" s="3"/>
    </row>
    <row r="3" customFormat="false" ht="21" hidden="false" customHeight="true" outlineLevel="0" collapsed="false"/>
    <row r="4" customFormat="false" ht="33.75" hidden="false" customHeight="true" outlineLevel="0" collapsed="false">
      <c r="A4" s="4" t="s">
        <v>44</v>
      </c>
      <c r="B4" s="4" t="s">
        <v>45</v>
      </c>
      <c r="C4" s="4" t="s">
        <v>46</v>
      </c>
      <c r="D4" s="4" t="s">
        <v>47</v>
      </c>
      <c r="E4" s="4" t="s">
        <v>48</v>
      </c>
      <c r="F4" s="4" t="s">
        <v>49</v>
      </c>
      <c r="G4" s="4" t="s">
        <v>16</v>
      </c>
      <c r="H4" s="4" t="s">
        <v>50</v>
      </c>
    </row>
    <row r="5" customFormat="false" ht="21" hidden="false" customHeight="true" outlineLevel="0" collapsed="false">
      <c r="A5" s="14" t="s">
        <v>51</v>
      </c>
      <c r="B5" s="14" t="s">
        <v>52</v>
      </c>
      <c r="C5" s="14" t="s">
        <v>53</v>
      </c>
      <c r="D5" s="14" t="s">
        <v>54</v>
      </c>
      <c r="E5" s="14" t="s">
        <v>55</v>
      </c>
      <c r="F5" s="15"/>
      <c r="G5" s="16" t="s">
        <v>30</v>
      </c>
      <c r="H5" s="15"/>
    </row>
    <row r="6" customFormat="false" ht="21" hidden="false" customHeight="true" outlineLevel="0" collapsed="false">
      <c r="A6" s="14" t="s">
        <v>56</v>
      </c>
      <c r="B6" s="14" t="s">
        <v>57</v>
      </c>
      <c r="C6" s="14" t="s">
        <v>58</v>
      </c>
      <c r="D6" s="14" t="s">
        <v>59</v>
      </c>
      <c r="E6" s="14" t="s">
        <v>60</v>
      </c>
      <c r="F6" s="15"/>
      <c r="G6" s="16" t="s">
        <v>30</v>
      </c>
      <c r="H6" s="15"/>
    </row>
    <row r="7" customFormat="false" ht="21" hidden="false" customHeight="true" outlineLevel="0" collapsed="false">
      <c r="A7" s="14" t="s">
        <v>61</v>
      </c>
      <c r="B7" s="14" t="s">
        <v>62</v>
      </c>
      <c r="C7" s="14" t="s">
        <v>63</v>
      </c>
      <c r="D7" s="14" t="s">
        <v>64</v>
      </c>
      <c r="E7" s="14" t="s">
        <v>60</v>
      </c>
      <c r="F7" s="15"/>
      <c r="G7" s="16" t="s">
        <v>30</v>
      </c>
      <c r="H7" s="15"/>
    </row>
    <row r="8" customFormat="false" ht="21" hidden="false" customHeight="true" outlineLevel="0" collapsed="false">
      <c r="A8" s="14" t="s">
        <v>65</v>
      </c>
      <c r="B8" s="14" t="s">
        <v>66</v>
      </c>
      <c r="C8" s="14" t="s">
        <v>67</v>
      </c>
      <c r="D8" s="14" t="s">
        <v>68</v>
      </c>
      <c r="E8" s="14" t="s">
        <v>69</v>
      </c>
      <c r="F8" s="15"/>
      <c r="G8" s="16" t="s">
        <v>30</v>
      </c>
      <c r="H8" s="15"/>
    </row>
    <row r="9" customFormat="false" ht="21" hidden="false" customHeight="true" outlineLevel="0" collapsed="false">
      <c r="A9" s="14" t="s">
        <v>70</v>
      </c>
      <c r="B9" s="14" t="s">
        <v>71</v>
      </c>
      <c r="C9" s="14" t="s">
        <v>72</v>
      </c>
      <c r="D9" s="14" t="s">
        <v>73</v>
      </c>
      <c r="E9" s="14" t="s">
        <v>60</v>
      </c>
      <c r="F9" s="15"/>
      <c r="G9" s="16" t="s">
        <v>30</v>
      </c>
      <c r="H9" s="15"/>
    </row>
    <row r="10" customFormat="false" ht="21" hidden="false" customHeight="true" outlineLevel="0" collapsed="false">
      <c r="A10" s="14" t="s">
        <v>74</v>
      </c>
      <c r="B10" s="14" t="s">
        <v>75</v>
      </c>
      <c r="C10" s="14" t="s">
        <v>76</v>
      </c>
      <c r="D10" s="14" t="s">
        <v>77</v>
      </c>
      <c r="E10" s="14" t="s">
        <v>78</v>
      </c>
      <c r="F10" s="15"/>
      <c r="G10" s="16" t="s">
        <v>30</v>
      </c>
      <c r="H10" s="15"/>
    </row>
    <row r="11" customFormat="false" ht="13.5" hidden="false" customHeight="true" outlineLevel="0" collapsed="false">
      <c r="A11" s="17"/>
      <c r="B11" s="17"/>
      <c r="C11" s="17"/>
      <c r="D11" s="17"/>
      <c r="E11" s="17"/>
      <c r="F11" s="17"/>
      <c r="G11" s="17"/>
      <c r="H11" s="17"/>
    </row>
    <row r="12" customFormat="false" ht="13.5" hidden="false" customHeight="true" outlineLevel="0" collapsed="false">
      <c r="A12" s="17"/>
      <c r="B12" s="17"/>
      <c r="C12" s="17"/>
      <c r="D12" s="17"/>
      <c r="E12" s="17"/>
      <c r="F12" s="17"/>
      <c r="G12" s="17"/>
      <c r="H12" s="17"/>
    </row>
    <row r="13" customFormat="false" ht="13.5" hidden="false" customHeight="true" outlineLevel="0" collapsed="false">
      <c r="A13" s="17"/>
      <c r="B13" s="17"/>
      <c r="C13" s="17"/>
      <c r="D13" s="17"/>
      <c r="E13" s="17"/>
      <c r="F13" s="17"/>
      <c r="G13" s="17"/>
      <c r="H13" s="17"/>
    </row>
    <row r="14" customFormat="false" ht="13.5" hidden="false" customHeight="true" outlineLevel="0" collapsed="false">
      <c r="A14" s="17"/>
      <c r="B14" s="17"/>
      <c r="C14" s="17"/>
      <c r="D14" s="17"/>
      <c r="E14" s="17"/>
      <c r="F14" s="17"/>
      <c r="G14" s="17"/>
      <c r="H14" s="17"/>
    </row>
    <row r="15" customFormat="false" ht="13.5" hidden="false" customHeight="true" outlineLevel="0" collapsed="false">
      <c r="A15" s="17"/>
      <c r="B15" s="17"/>
      <c r="C15" s="17"/>
      <c r="D15" s="17"/>
      <c r="E15" s="17"/>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dataValidations count="2">
    <dataValidation allowBlank="false" errorStyle="stop" operator="between" showDropDown="false" showErrorMessage="false" showInputMessage="false" sqref="G5:G100" type="list">
      <formula1>"Planned,In Progress,Sent,Approved,Blocked,Not Needed"</formula1>
      <formula2>0</formula2>
    </dataValidation>
    <dataValidation allowBlank="false" errorStyle="stop" operator="between" showDropDown="false" showErrorMessage="false" showInputMessage="false" sqref="E5:E100" type="list">
      <formula1>"Yes,No,Optional / recommended,Only if scope changes"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16"/>
    <col collapsed="false" customWidth="true" hidden="false" outlineLevel="0" max="3" min="3" style="1" width="18"/>
    <col collapsed="false" customWidth="true" hidden="false" outlineLevel="0" max="4" min="4" style="1" width="42"/>
    <col collapsed="false" customWidth="true" hidden="false" outlineLevel="0" max="5" min="5" style="1" width="18"/>
    <col collapsed="false" customWidth="true" hidden="false" outlineLevel="0" max="7" min="6" style="1" width="22"/>
    <col collapsed="false" customWidth="true" hidden="false" outlineLevel="0" max="8" min="8" style="1" width="46"/>
  </cols>
  <sheetData>
    <row r="1" customFormat="false" ht="34.5" hidden="false" customHeight="true" outlineLevel="0" collapsed="false">
      <c r="A1" s="2" t="s">
        <v>79</v>
      </c>
      <c r="B1" s="2"/>
      <c r="C1" s="2"/>
      <c r="D1" s="2"/>
      <c r="E1" s="2"/>
      <c r="F1" s="2"/>
      <c r="G1" s="2"/>
      <c r="H1" s="2"/>
    </row>
    <row r="2" customFormat="false" ht="21" hidden="false" customHeight="true" outlineLevel="0" collapsed="false">
      <c r="A2" s="3" t="s">
        <v>80</v>
      </c>
      <c r="B2" s="3"/>
      <c r="C2" s="3"/>
      <c r="D2" s="3"/>
      <c r="E2" s="3"/>
      <c r="F2" s="3"/>
      <c r="G2" s="3"/>
      <c r="H2" s="3"/>
    </row>
    <row r="3" customFormat="false" ht="21" hidden="false" customHeight="true" outlineLevel="0" collapsed="false"/>
    <row r="4" customFormat="false" ht="33.75" hidden="false" customHeight="true" outlineLevel="0" collapsed="false">
      <c r="A4" s="4" t="s">
        <v>81</v>
      </c>
      <c r="B4" s="4" t="s">
        <v>44</v>
      </c>
      <c r="C4" s="4" t="s">
        <v>82</v>
      </c>
      <c r="D4" s="4" t="s">
        <v>4</v>
      </c>
      <c r="E4" s="4" t="s">
        <v>83</v>
      </c>
      <c r="F4" s="4" t="s">
        <v>84</v>
      </c>
      <c r="G4" s="4" t="s">
        <v>85</v>
      </c>
      <c r="H4" s="4" t="s">
        <v>86</v>
      </c>
    </row>
    <row r="5" customFormat="false" ht="21" hidden="false" customHeight="true" outlineLevel="0" collapsed="false">
      <c r="A5" s="14" t="s">
        <v>87</v>
      </c>
      <c r="B5" s="14" t="s">
        <v>88</v>
      </c>
      <c r="C5" s="14" t="s">
        <v>60</v>
      </c>
      <c r="D5" s="14" t="s">
        <v>89</v>
      </c>
      <c r="E5" s="14" t="s">
        <v>90</v>
      </c>
      <c r="F5" s="16" t="s">
        <v>91</v>
      </c>
      <c r="G5" s="16" t="s">
        <v>92</v>
      </c>
      <c r="H5" s="15" t="s">
        <v>93</v>
      </c>
    </row>
    <row r="6" customFormat="false" ht="21" hidden="false" customHeight="true" outlineLevel="0" collapsed="false">
      <c r="A6" s="14" t="s">
        <v>57</v>
      </c>
      <c r="B6" s="14" t="s">
        <v>94</v>
      </c>
      <c r="C6" s="14" t="s">
        <v>60</v>
      </c>
      <c r="D6" s="14" t="s">
        <v>95</v>
      </c>
      <c r="E6" s="14" t="s">
        <v>96</v>
      </c>
      <c r="F6" s="16" t="s">
        <v>91</v>
      </c>
      <c r="G6" s="16" t="s">
        <v>97</v>
      </c>
      <c r="H6" s="15" t="s">
        <v>98</v>
      </c>
    </row>
    <row r="7" customFormat="false" ht="21" hidden="false" customHeight="true" outlineLevel="0" collapsed="false">
      <c r="A7" s="14" t="s">
        <v>99</v>
      </c>
      <c r="B7" s="14" t="s">
        <v>100</v>
      </c>
      <c r="C7" s="14" t="s">
        <v>60</v>
      </c>
      <c r="D7" s="14" t="s">
        <v>101</v>
      </c>
      <c r="E7" s="14" t="s">
        <v>102</v>
      </c>
      <c r="F7" s="16" t="s">
        <v>103</v>
      </c>
      <c r="G7" s="16" t="s">
        <v>104</v>
      </c>
      <c r="H7" s="15" t="s">
        <v>105</v>
      </c>
    </row>
    <row r="8" customFormat="false" ht="21" hidden="false" customHeight="true" outlineLevel="0" collapsed="false">
      <c r="A8" s="14" t="s">
        <v>106</v>
      </c>
      <c r="B8" s="14" t="s">
        <v>107</v>
      </c>
      <c r="C8" s="14" t="s">
        <v>108</v>
      </c>
      <c r="D8" s="14" t="s">
        <v>109</v>
      </c>
      <c r="E8" s="14" t="s">
        <v>110</v>
      </c>
      <c r="F8" s="16" t="s">
        <v>111</v>
      </c>
      <c r="G8" s="16" t="s">
        <v>112</v>
      </c>
      <c r="H8" s="15" t="s">
        <v>113</v>
      </c>
    </row>
    <row r="9" customFormat="false" ht="21" hidden="false" customHeight="true" outlineLevel="0" collapsed="false">
      <c r="A9" s="14" t="s">
        <v>66</v>
      </c>
      <c r="B9" s="14" t="s">
        <v>114</v>
      </c>
      <c r="C9" s="14" t="s">
        <v>60</v>
      </c>
      <c r="D9" s="14" t="s">
        <v>115</v>
      </c>
      <c r="E9" s="14" t="s">
        <v>116</v>
      </c>
      <c r="F9" s="16" t="s">
        <v>91</v>
      </c>
      <c r="G9" s="16" t="s">
        <v>92</v>
      </c>
      <c r="H9" s="15"/>
    </row>
    <row r="10" customFormat="false" ht="21" hidden="false" customHeight="true" outlineLevel="0" collapsed="false">
      <c r="A10" s="14" t="s">
        <v>117</v>
      </c>
      <c r="B10" s="14" t="s">
        <v>118</v>
      </c>
      <c r="C10" s="14" t="s">
        <v>60</v>
      </c>
      <c r="D10" s="14" t="s">
        <v>119</v>
      </c>
      <c r="E10" s="14" t="s">
        <v>120</v>
      </c>
      <c r="F10" s="16" t="s">
        <v>91</v>
      </c>
      <c r="G10" s="16" t="s">
        <v>97</v>
      </c>
      <c r="H10" s="15" t="s">
        <v>121</v>
      </c>
    </row>
    <row r="11" customFormat="false" ht="21" hidden="false" customHeight="true" outlineLevel="0" collapsed="false">
      <c r="A11" s="14" t="s">
        <v>122</v>
      </c>
      <c r="B11" s="14" t="s">
        <v>123</v>
      </c>
      <c r="C11" s="14" t="s">
        <v>124</v>
      </c>
      <c r="D11" s="14" t="s">
        <v>125</v>
      </c>
      <c r="E11" s="14" t="s">
        <v>126</v>
      </c>
      <c r="F11" s="16" t="s">
        <v>127</v>
      </c>
      <c r="G11" s="16" t="s">
        <v>128</v>
      </c>
      <c r="H11" s="15" t="s">
        <v>129</v>
      </c>
    </row>
    <row r="12" customFormat="false" ht="21" hidden="false" customHeight="true" outlineLevel="0" collapsed="false">
      <c r="A12" s="14" t="s">
        <v>75</v>
      </c>
      <c r="B12" s="14" t="s">
        <v>123</v>
      </c>
      <c r="C12" s="14" t="s">
        <v>60</v>
      </c>
      <c r="D12" s="14" t="s">
        <v>130</v>
      </c>
      <c r="E12" s="14" t="s">
        <v>90</v>
      </c>
      <c r="F12" s="16" t="s">
        <v>91</v>
      </c>
      <c r="G12" s="16" t="s">
        <v>97</v>
      </c>
      <c r="H12" s="15" t="s">
        <v>131</v>
      </c>
    </row>
    <row r="13" customFormat="false" ht="13.5" hidden="false" customHeight="true" outlineLevel="0" collapsed="false">
      <c r="A13" s="17"/>
      <c r="B13" s="17"/>
      <c r="C13" s="17"/>
      <c r="D13" s="17"/>
      <c r="E13" s="17"/>
      <c r="F13" s="17"/>
      <c r="G13" s="17"/>
      <c r="H13" s="17"/>
    </row>
    <row r="14" customFormat="false" ht="13.5" hidden="false" customHeight="true" outlineLevel="0" collapsed="false">
      <c r="A14" s="17"/>
      <c r="B14" s="17"/>
      <c r="C14" s="17"/>
      <c r="D14" s="17"/>
      <c r="E14" s="17"/>
      <c r="F14" s="17"/>
      <c r="G14" s="17"/>
      <c r="H14" s="17"/>
    </row>
    <row r="15" customFormat="false" ht="13.5" hidden="false" customHeight="true" outlineLevel="0" collapsed="false">
      <c r="A15" s="17"/>
      <c r="B15" s="17"/>
      <c r="C15" s="17"/>
      <c r="D15" s="17"/>
      <c r="E15" s="17"/>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dataValidations count="3">
    <dataValidation allowBlank="false" errorStyle="stop" operator="between" showDropDown="false" showErrorMessage="false" showInputMessage="false" sqref="C5:C100" type="list">
      <formula1>"Yes,No,Maybe,Usually no"</formula1>
      <formula2>0</formula2>
    </dataValidation>
    <dataValidation allowBlank="false" errorStyle="stop" operator="between" showDropDown="false" showErrorMessage="false" showInputMessage="false" sqref="F5:F100" type="list">
      <formula1>"Client,Internal,Hybrid"</formula1>
      <formula2>0</formula2>
    </dataValidation>
    <dataValidation allowBlank="false" errorStyle="stop" operator="between" showDropDown="false" showErrorMessage="false" showInputMessage="false" sqref="G5:G100" type="list">
      <formula1>"Summary only,Client-facing,Controlled detail,Data/result access,Do not share by default"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7" min="2" style="1" width="34.83"/>
  </cols>
  <sheetData>
    <row r="1" customFormat="false" ht="33.75" hidden="false" customHeight="true" outlineLevel="0" collapsed="false">
      <c r="A1" s="2" t="s">
        <v>132</v>
      </c>
      <c r="B1" s="2"/>
      <c r="C1" s="2"/>
      <c r="D1" s="2"/>
      <c r="E1" s="2"/>
      <c r="F1" s="2"/>
      <c r="G1" s="2"/>
      <c r="H1" s="2"/>
    </row>
    <row r="2" customFormat="false" ht="21" hidden="false" customHeight="true" outlineLevel="0" collapsed="false">
      <c r="A2" s="3" t="s">
        <v>133</v>
      </c>
      <c r="B2" s="3"/>
      <c r="C2" s="3"/>
      <c r="D2" s="3"/>
      <c r="E2" s="3"/>
      <c r="F2" s="3"/>
      <c r="G2" s="3"/>
      <c r="H2" s="3"/>
    </row>
    <row r="3" customFormat="false" ht="21" hidden="false" customHeight="true" outlineLevel="0" collapsed="false"/>
    <row r="4" s="19" customFormat="true" ht="33.75" hidden="false" customHeight="true" outlineLevel="0" collapsed="false">
      <c r="A4" s="4" t="s">
        <v>134</v>
      </c>
      <c r="B4" s="4" t="s">
        <v>3</v>
      </c>
      <c r="C4" s="4" t="s">
        <v>135</v>
      </c>
      <c r="D4" s="4" t="s">
        <v>136</v>
      </c>
      <c r="E4" s="4" t="s">
        <v>137</v>
      </c>
      <c r="F4" s="4" t="s">
        <v>138</v>
      </c>
      <c r="G4" s="4" t="s">
        <v>139</v>
      </c>
      <c r="H4" s="18"/>
    </row>
    <row r="5" customFormat="false" ht="33.75" hidden="false" customHeight="true" outlineLevel="0" collapsed="false">
      <c r="A5" s="14" t="s">
        <v>140</v>
      </c>
      <c r="B5" s="15" t="s">
        <v>141</v>
      </c>
      <c r="C5" s="15" t="s">
        <v>142</v>
      </c>
      <c r="D5" s="15" t="s">
        <v>143</v>
      </c>
      <c r="E5" s="15" t="s">
        <v>144</v>
      </c>
      <c r="F5" s="15" t="s">
        <v>145</v>
      </c>
      <c r="G5" s="15" t="s">
        <v>146</v>
      </c>
      <c r="H5" s="17"/>
    </row>
    <row r="6" customFormat="false" ht="33.75" hidden="false" customHeight="true" outlineLevel="0" collapsed="false">
      <c r="A6" s="14" t="s">
        <v>147</v>
      </c>
      <c r="B6" s="15" t="s">
        <v>148</v>
      </c>
      <c r="C6" s="15" t="s">
        <v>149</v>
      </c>
      <c r="D6" s="15" t="s">
        <v>150</v>
      </c>
      <c r="E6" s="15" t="s">
        <v>151</v>
      </c>
      <c r="F6" s="15" t="s">
        <v>152</v>
      </c>
      <c r="G6" s="15" t="s">
        <v>153</v>
      </c>
      <c r="H6" s="17"/>
    </row>
    <row r="7" customFormat="false" ht="33.75" hidden="false" customHeight="true" outlineLevel="0" collapsed="false">
      <c r="A7" s="14" t="s">
        <v>103</v>
      </c>
      <c r="B7" s="15" t="s">
        <v>154</v>
      </c>
      <c r="C7" s="15" t="s">
        <v>155</v>
      </c>
      <c r="D7" s="15" t="s">
        <v>156</v>
      </c>
      <c r="E7" s="15" t="s">
        <v>157</v>
      </c>
      <c r="F7" s="15" t="s">
        <v>158</v>
      </c>
      <c r="G7" s="15" t="s">
        <v>159</v>
      </c>
      <c r="H7" s="17"/>
    </row>
    <row r="8" customFormat="false" ht="33.75" hidden="false" customHeight="true" outlineLevel="0" collapsed="false">
      <c r="A8" s="14" t="s">
        <v>160</v>
      </c>
      <c r="B8" s="15" t="s">
        <v>161</v>
      </c>
      <c r="C8" s="15" t="s">
        <v>162</v>
      </c>
      <c r="D8" s="15" t="s">
        <v>163</v>
      </c>
      <c r="E8" s="15" t="s">
        <v>164</v>
      </c>
      <c r="F8" s="15" t="s">
        <v>165</v>
      </c>
      <c r="G8" s="15" t="s">
        <v>166</v>
      </c>
      <c r="H8" s="17"/>
    </row>
    <row r="9" customFormat="false" ht="13.5" hidden="false" customHeight="true" outlineLevel="0" collapsed="false">
      <c r="A9" s="17"/>
      <c r="B9" s="17"/>
      <c r="C9" s="17"/>
      <c r="D9" s="17"/>
      <c r="E9" s="17"/>
      <c r="F9" s="17"/>
      <c r="G9" s="17"/>
      <c r="H9" s="17"/>
    </row>
    <row r="10" customFormat="false" ht="13.5" hidden="false" customHeight="true" outlineLevel="0" collapsed="false">
      <c r="A10" s="17"/>
      <c r="B10" s="17"/>
      <c r="C10" s="17"/>
      <c r="D10" s="17"/>
      <c r="E10" s="17"/>
      <c r="F10" s="17"/>
      <c r="G10" s="17"/>
      <c r="H10" s="17"/>
    </row>
    <row r="11" customFormat="false" ht="13.5" hidden="false" customHeight="true" outlineLevel="0" collapsed="false">
      <c r="A11" s="17"/>
      <c r="B11" s="17"/>
      <c r="C11" s="17"/>
      <c r="D11" s="17"/>
      <c r="E11" s="17"/>
      <c r="F11" s="17"/>
      <c r="G11" s="17"/>
      <c r="H11" s="17"/>
    </row>
    <row r="12" customFormat="false" ht="13.5" hidden="false" customHeight="true" outlineLevel="0" collapsed="false">
      <c r="A12" s="17"/>
      <c r="B12" s="17"/>
      <c r="C12" s="17"/>
      <c r="D12" s="17"/>
      <c r="E12" s="17"/>
      <c r="F12" s="17"/>
      <c r="G12" s="17"/>
      <c r="H12" s="17"/>
    </row>
    <row r="13" customFormat="false" ht="13.5" hidden="false" customHeight="true" outlineLevel="0" collapsed="false">
      <c r="A13" s="17"/>
      <c r="B13" s="17"/>
      <c r="C13" s="17"/>
      <c r="D13" s="17"/>
      <c r="E13" s="17"/>
      <c r="F13" s="17"/>
      <c r="G13" s="17"/>
      <c r="H13" s="17"/>
    </row>
    <row r="14" customFormat="false" ht="13.5" hidden="false" customHeight="true" outlineLevel="0" collapsed="false">
      <c r="A14" s="17"/>
      <c r="B14" s="17"/>
      <c r="C14" s="17"/>
      <c r="D14" s="17"/>
      <c r="E14" s="17"/>
      <c r="F14" s="17"/>
      <c r="G14" s="17"/>
      <c r="H14" s="17"/>
    </row>
    <row r="15" customFormat="false" ht="13.5" hidden="false" customHeight="true" outlineLevel="0" collapsed="false">
      <c r="A15" s="17"/>
      <c r="B15" s="17"/>
      <c r="C15" s="17"/>
      <c r="D15" s="17"/>
      <c r="E15" s="17"/>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18"/>
    <col collapsed="false" customWidth="true" hidden="false" outlineLevel="0" max="3" min="3" style="1" width="34"/>
    <col collapsed="false" customWidth="true" hidden="false" outlineLevel="0" max="4" min="4" style="1" width="50"/>
    <col collapsed="false" customWidth="true" hidden="false" outlineLevel="0" max="5" min="5" style="1" width="20"/>
    <col collapsed="false" customWidth="true" hidden="false" outlineLevel="0" max="6" min="6" style="1" width="14"/>
    <col collapsed="false" customWidth="true" hidden="false" outlineLevel="0" max="7" min="7" style="1" width="24"/>
    <col collapsed="false" customWidth="true" hidden="false" outlineLevel="0" max="8" min="8" style="1" width="40"/>
    <col collapsed="false" customWidth="true" hidden="false" outlineLevel="0" max="9" min="9" style="1" width="22"/>
  </cols>
  <sheetData>
    <row r="1" customFormat="false" ht="34.5" hidden="false" customHeight="true" outlineLevel="0" collapsed="false">
      <c r="A1" s="2" t="s">
        <v>167</v>
      </c>
      <c r="B1" s="2"/>
      <c r="C1" s="2"/>
      <c r="D1" s="2"/>
      <c r="E1" s="2"/>
      <c r="F1" s="2"/>
      <c r="G1" s="2"/>
      <c r="H1" s="2"/>
    </row>
    <row r="2" customFormat="false" ht="21" hidden="false" customHeight="true" outlineLevel="0" collapsed="false">
      <c r="A2" s="3" t="s">
        <v>168</v>
      </c>
      <c r="B2" s="3"/>
      <c r="C2" s="3"/>
      <c r="D2" s="3"/>
      <c r="E2" s="3"/>
      <c r="F2" s="3"/>
      <c r="G2" s="3"/>
      <c r="H2" s="3"/>
    </row>
    <row r="3" customFormat="false" ht="21" hidden="false" customHeight="true" outlineLevel="0" collapsed="false"/>
    <row r="4" customFormat="false" ht="33.75" hidden="false" customHeight="true" outlineLevel="0" collapsed="false">
      <c r="A4" s="4" t="s">
        <v>169</v>
      </c>
      <c r="B4" s="4" t="s">
        <v>44</v>
      </c>
      <c r="C4" s="4" t="s">
        <v>170</v>
      </c>
      <c r="D4" s="4" t="s">
        <v>171</v>
      </c>
      <c r="E4" s="4" t="s">
        <v>172</v>
      </c>
      <c r="F4" s="4" t="s">
        <v>173</v>
      </c>
      <c r="G4" s="4" t="s">
        <v>174</v>
      </c>
      <c r="H4" s="4" t="s">
        <v>50</v>
      </c>
      <c r="I4" s="9" t="s">
        <v>175</v>
      </c>
    </row>
    <row r="5" customFormat="false" ht="21" hidden="false" customHeight="true" outlineLevel="0" collapsed="false">
      <c r="A5" s="14" t="s">
        <v>176</v>
      </c>
      <c r="B5" s="14" t="s">
        <v>177</v>
      </c>
      <c r="C5" s="14" t="s">
        <v>87</v>
      </c>
      <c r="D5" s="14" t="s">
        <v>178</v>
      </c>
      <c r="E5" s="15"/>
      <c r="F5" s="15"/>
      <c r="G5" s="15"/>
      <c r="H5" s="15"/>
      <c r="I5" s="20" t="str">
        <f aca="false">IF(COUNTA(A5,B5,C5,E5,F5,G5)=0,"Empty",IF(COUNTA(A5,B5,C5,E5,F5,G5)&lt;6,"Partial","Complete"))</f>
        <v>Partial</v>
      </c>
    </row>
    <row r="6" customFormat="false" ht="21" hidden="false" customHeight="true" outlineLevel="0" collapsed="false">
      <c r="A6" s="14" t="s">
        <v>179</v>
      </c>
      <c r="B6" s="14" t="s">
        <v>180</v>
      </c>
      <c r="C6" s="14" t="s">
        <v>181</v>
      </c>
      <c r="D6" s="14" t="s">
        <v>182</v>
      </c>
      <c r="E6" s="15"/>
      <c r="F6" s="15"/>
      <c r="G6" s="15"/>
      <c r="H6" s="15"/>
      <c r="I6" s="20" t="str">
        <f aca="false">IF(COUNTA(A6,B6,C6,E6,F6,G6)=0,"Empty",IF(COUNTA(A6,B6,C6,E6,F6,G6)&lt;6,"Partial","Complete"))</f>
        <v>Partial</v>
      </c>
    </row>
    <row r="7" customFormat="false" ht="21" hidden="false" customHeight="true" outlineLevel="0" collapsed="false">
      <c r="A7" s="14" t="s">
        <v>183</v>
      </c>
      <c r="B7" s="14" t="s">
        <v>184</v>
      </c>
      <c r="C7" s="14" t="s">
        <v>185</v>
      </c>
      <c r="D7" s="14" t="s">
        <v>186</v>
      </c>
      <c r="E7" s="15"/>
      <c r="F7" s="15"/>
      <c r="G7" s="15"/>
      <c r="H7" s="15"/>
      <c r="I7" s="20" t="str">
        <f aca="false">IF(COUNTA(A7,B7,C7,E7,F7,G7)=0,"Empty",IF(COUNTA(A7,B7,C7,E7,F7,G7)&lt;6,"Partial","Complete"))</f>
        <v>Partial</v>
      </c>
    </row>
    <row r="8" customFormat="false" ht="21" hidden="false" customHeight="true" outlineLevel="0" collapsed="false">
      <c r="A8" s="14" t="s">
        <v>187</v>
      </c>
      <c r="B8" s="14" t="s">
        <v>188</v>
      </c>
      <c r="C8" s="14" t="s">
        <v>189</v>
      </c>
      <c r="D8" s="14" t="s">
        <v>190</v>
      </c>
      <c r="E8" s="15"/>
      <c r="F8" s="15"/>
      <c r="G8" s="15"/>
      <c r="H8" s="15"/>
      <c r="I8" s="20" t="str">
        <f aca="false">IF(COUNTA(A8,B8,C8,E8,F8,G8)=0,"Empty",IF(COUNTA(A8,B8,C8,E8,F8,G8)&lt;6,"Partial","Complete"))</f>
        <v>Partial</v>
      </c>
    </row>
    <row r="9" customFormat="false" ht="21" hidden="false" customHeight="true" outlineLevel="0" collapsed="false">
      <c r="A9" s="14" t="s">
        <v>191</v>
      </c>
      <c r="B9" s="14" t="s">
        <v>123</v>
      </c>
      <c r="C9" s="14" t="s">
        <v>192</v>
      </c>
      <c r="D9" s="14" t="s">
        <v>193</v>
      </c>
      <c r="E9" s="15"/>
      <c r="F9" s="15"/>
      <c r="G9" s="15"/>
      <c r="H9" s="15"/>
      <c r="I9" s="20" t="str">
        <f aca="false">IF(COUNTA(A9,B9,C9,E9,F9,G9)=0,"Empty",IF(COUNTA(A9,B9,C9,E9,F9,G9)&lt;6,"Partial","Complete"))</f>
        <v>Partial</v>
      </c>
    </row>
    <row r="10" customFormat="false" ht="14.25" hidden="false" customHeight="true" outlineLevel="0" collapsed="false">
      <c r="A10" s="17"/>
      <c r="B10" s="17"/>
      <c r="C10" s="17"/>
      <c r="D10" s="17"/>
      <c r="E10" s="17"/>
      <c r="F10" s="17"/>
      <c r="G10" s="17"/>
      <c r="H10" s="17"/>
      <c r="I10" s="20" t="str">
        <f aca="false">IF(COUNTA(A10,B10,C10,E10,F10,G10)=0,"Empty",IF(COUNTA(A10,B10,C10,E10,F10,G10)&lt;6,"Partial","Complete"))</f>
        <v>Empty</v>
      </c>
    </row>
    <row r="11" customFormat="false" ht="14.25" hidden="false" customHeight="true" outlineLevel="0" collapsed="false">
      <c r="A11" s="17"/>
      <c r="B11" s="17"/>
      <c r="C11" s="17"/>
      <c r="D11" s="17"/>
      <c r="E11" s="17"/>
      <c r="F11" s="17"/>
      <c r="G11" s="17"/>
      <c r="H11" s="17"/>
      <c r="I11" s="20" t="str">
        <f aca="false">IF(COUNTA(A11,B11,C11,E11,F11,G11)=0,"Empty",IF(COUNTA(A11,B11,C11,E11,F11,G11)&lt;6,"Partial","Complete"))</f>
        <v>Empty</v>
      </c>
    </row>
    <row r="12" customFormat="false" ht="14.25" hidden="false" customHeight="true" outlineLevel="0" collapsed="false">
      <c r="A12" s="17"/>
      <c r="B12" s="17"/>
      <c r="C12" s="17"/>
      <c r="D12" s="17"/>
      <c r="E12" s="17"/>
      <c r="F12" s="17"/>
      <c r="G12" s="17"/>
      <c r="H12" s="17"/>
      <c r="I12" s="20" t="str">
        <f aca="false">IF(COUNTA(A12,B12,C12,E12,F12,G12)=0,"Empty",IF(COUNTA(A12,B12,C12,E12,F12,G12)&lt;6,"Partial","Complete"))</f>
        <v>Empty</v>
      </c>
    </row>
    <row r="13" customFormat="false" ht="14.25" hidden="false" customHeight="true" outlineLevel="0" collapsed="false">
      <c r="A13" s="17"/>
      <c r="B13" s="17"/>
      <c r="C13" s="17"/>
      <c r="D13" s="17"/>
      <c r="E13" s="17"/>
      <c r="F13" s="17"/>
      <c r="G13" s="17"/>
      <c r="H13" s="17"/>
      <c r="I13" s="20" t="str">
        <f aca="false">IF(COUNTA(A13,B13,C13,E13,F13,G13)=0,"Empty",IF(COUNTA(A13,B13,C13,E13,F13,G13)&lt;6,"Partial","Complete"))</f>
        <v>Empty</v>
      </c>
    </row>
    <row r="14" customFormat="false" ht="14.25" hidden="false" customHeight="true" outlineLevel="0" collapsed="false">
      <c r="A14" s="17"/>
      <c r="B14" s="17"/>
      <c r="C14" s="17"/>
      <c r="D14" s="17"/>
      <c r="E14" s="17"/>
      <c r="F14" s="17"/>
      <c r="G14" s="17"/>
      <c r="H14" s="17"/>
      <c r="I14" s="20" t="str">
        <f aca="false">IF(COUNTA(A14,B14,C14,E14,F14,G14)=0,"Empty",IF(COUNTA(A14,B14,C14,E14,F14,G14)&lt;6,"Partial","Complete"))</f>
        <v>Empty</v>
      </c>
    </row>
    <row r="15" customFormat="false" ht="14.25" hidden="false" customHeight="true" outlineLevel="0" collapsed="false">
      <c r="A15" s="17"/>
      <c r="B15" s="17"/>
      <c r="C15" s="17"/>
      <c r="D15" s="17"/>
      <c r="E15" s="17"/>
      <c r="F15" s="17"/>
      <c r="G15" s="17"/>
      <c r="H15" s="17"/>
      <c r="I15" s="20" t="str">
        <f aca="false">IF(COUNTA(A15,B15,C15,E15,F15,G15)=0,"Empty",IF(COUNTA(A15,B15,C15,E15,F15,G15)&lt;6,"Partial","Complete"))</f>
        <v>Empty</v>
      </c>
    </row>
    <row r="16" customFormat="false" ht="14.25" hidden="false" customHeight="true" outlineLevel="0" collapsed="false">
      <c r="A16" s="17"/>
      <c r="B16" s="17"/>
      <c r="C16" s="17"/>
      <c r="D16" s="17"/>
      <c r="E16" s="17"/>
      <c r="F16" s="17"/>
      <c r="G16" s="17"/>
      <c r="H16" s="17"/>
      <c r="I16" s="20" t="str">
        <f aca="false">IF(COUNTA(A16,B16,C16,E16,F16,G16)=0,"Empty",IF(COUNTA(A16,B16,C16,E16,F16,G16)&lt;6,"Partial","Complete"))</f>
        <v>Empty</v>
      </c>
    </row>
    <row r="17" customFormat="false" ht="14.25" hidden="false" customHeight="true" outlineLevel="0" collapsed="false">
      <c r="A17" s="17"/>
      <c r="B17" s="17"/>
      <c r="C17" s="17"/>
      <c r="D17" s="17"/>
      <c r="E17" s="17"/>
      <c r="F17" s="17"/>
      <c r="G17" s="17"/>
      <c r="H17" s="17"/>
      <c r="I17" s="20" t="str">
        <f aca="false">IF(COUNTA(A17,B17,C17,E17,F17,G17)=0,"Empty",IF(COUNTA(A17,B17,C17,E17,F17,G17)&lt;6,"Partial","Complete"))</f>
        <v>Empty</v>
      </c>
    </row>
    <row r="18" customFormat="false" ht="14.25" hidden="false" customHeight="true" outlineLevel="0" collapsed="false">
      <c r="A18" s="17"/>
      <c r="B18" s="17"/>
      <c r="C18" s="17"/>
      <c r="D18" s="17"/>
      <c r="E18" s="17"/>
      <c r="F18" s="17"/>
      <c r="G18" s="17"/>
      <c r="H18" s="17"/>
      <c r="I18" s="20" t="str">
        <f aca="false">IF(COUNTA(A18,B18,C18,E18,F18,G18)=0,"Empty",IF(COUNTA(A18,B18,C18,E18,F18,G18)&lt;6,"Partial","Complete"))</f>
        <v>Empty</v>
      </c>
    </row>
    <row r="19" customFormat="false" ht="14.25" hidden="false" customHeight="true" outlineLevel="0" collapsed="false">
      <c r="A19" s="17"/>
      <c r="B19" s="17"/>
      <c r="C19" s="17"/>
      <c r="D19" s="17"/>
      <c r="E19" s="17"/>
      <c r="F19" s="17"/>
      <c r="G19" s="17"/>
      <c r="H19" s="17"/>
      <c r="I19" s="20" t="str">
        <f aca="false">IF(COUNTA(A19,B19,C19,E19,F19,G19)=0,"Empty",IF(COUNTA(A19,B19,C19,E19,F19,G19)&lt;6,"Partial","Complete"))</f>
        <v>Empty</v>
      </c>
    </row>
    <row r="20" customFormat="false" ht="14.25" hidden="false" customHeight="true" outlineLevel="0" collapsed="false">
      <c r="A20" s="17"/>
      <c r="B20" s="17"/>
      <c r="C20" s="17"/>
      <c r="D20" s="17"/>
      <c r="E20" s="17"/>
      <c r="F20" s="17"/>
      <c r="G20" s="17"/>
      <c r="H20" s="17"/>
      <c r="I20" s="20" t="str">
        <f aca="false">IF(COUNTA(A20,B20,C20,E20,F20,G20)=0,"Empty",IF(COUNTA(A20,B20,C20,E20,F20,G20)&lt;6,"Partial","Complete"))</f>
        <v>Empty</v>
      </c>
    </row>
    <row r="21" customFormat="false" ht="14.25" hidden="false" customHeight="true" outlineLevel="0" collapsed="false">
      <c r="A21" s="17"/>
      <c r="B21" s="17"/>
      <c r="C21" s="17"/>
      <c r="D21" s="17"/>
      <c r="E21" s="17"/>
      <c r="F21" s="17"/>
      <c r="G21" s="17"/>
      <c r="H21" s="17"/>
      <c r="I21" s="20" t="str">
        <f aca="false">IF(COUNTA(A21,B21,C21,E21,F21,G21)=0,"Empty",IF(COUNTA(A21,B21,C21,E21,F21,G21)&lt;6,"Partial","Complete"))</f>
        <v>Empty</v>
      </c>
    </row>
    <row r="22" customFormat="false" ht="14.25" hidden="false" customHeight="true" outlineLevel="0" collapsed="false">
      <c r="A22" s="17"/>
      <c r="B22" s="17"/>
      <c r="C22" s="17"/>
      <c r="D22" s="17"/>
      <c r="E22" s="17"/>
      <c r="F22" s="17"/>
      <c r="G22" s="17"/>
      <c r="H22" s="17"/>
      <c r="I22" s="20" t="str">
        <f aca="false">IF(COUNTA(A22,B22,C22,E22,F22,G22)=0,"Empty",IF(COUNTA(A22,B22,C22,E22,F22,G22)&lt;6,"Partial","Complete"))</f>
        <v>Empty</v>
      </c>
    </row>
    <row r="23" customFormat="false" ht="14.25" hidden="false" customHeight="true" outlineLevel="0" collapsed="false">
      <c r="A23" s="17"/>
      <c r="B23" s="17"/>
      <c r="C23" s="17"/>
      <c r="D23" s="17"/>
      <c r="E23" s="17"/>
      <c r="F23" s="17"/>
      <c r="G23" s="17"/>
      <c r="H23" s="17"/>
      <c r="I23" s="20" t="str">
        <f aca="false">IF(COUNTA(A23,B23,C23,E23,F23,G23)=0,"Empty",IF(COUNTA(A23,B23,C23,E23,F23,G23)&lt;6,"Partial","Complete"))</f>
        <v>Empty</v>
      </c>
    </row>
    <row r="24" customFormat="false" ht="14.25" hidden="false" customHeight="true" outlineLevel="0" collapsed="false">
      <c r="A24" s="17"/>
      <c r="B24" s="17"/>
      <c r="C24" s="17"/>
      <c r="D24" s="17"/>
      <c r="E24" s="17"/>
      <c r="F24" s="17"/>
      <c r="G24" s="17"/>
      <c r="H24" s="17"/>
      <c r="I24" s="20" t="str">
        <f aca="false">IF(COUNTA(A24,B24,C24,E24,F24,G24)=0,"Empty",IF(COUNTA(A24,B24,C24,E24,F24,G24)&lt;6,"Partial","Complete"))</f>
        <v>Empty</v>
      </c>
    </row>
    <row r="25" customFormat="false" ht="14.25" hidden="false" customHeight="true" outlineLevel="0" collapsed="false">
      <c r="A25" s="17"/>
      <c r="B25" s="17"/>
      <c r="C25" s="17"/>
      <c r="D25" s="17"/>
      <c r="E25" s="17"/>
      <c r="F25" s="17"/>
      <c r="G25" s="17"/>
      <c r="H25" s="17"/>
      <c r="I25" s="20" t="str">
        <f aca="false">IF(COUNTA(A25,B25,C25,E25,F25,G25)=0,"Empty",IF(COUNTA(A25,B25,C25,E25,F25,G25)&lt;6,"Partial","Complete"))</f>
        <v>Empty</v>
      </c>
    </row>
    <row r="26" customFormat="false" ht="14.25" hidden="false" customHeight="true" outlineLevel="0" collapsed="false">
      <c r="A26" s="17"/>
      <c r="B26" s="17"/>
      <c r="C26" s="17"/>
      <c r="D26" s="17"/>
      <c r="E26" s="17"/>
      <c r="F26" s="17"/>
      <c r="G26" s="17"/>
      <c r="H26" s="17"/>
      <c r="I26" s="20" t="str">
        <f aca="false">IF(COUNTA(A26,B26,C26,E26,F26,G26)=0,"Empty",IF(COUNTA(A26,B26,C26,E26,F26,G26)&lt;6,"Partial","Complete"))</f>
        <v>Empty</v>
      </c>
    </row>
    <row r="27" customFormat="false" ht="14.25" hidden="false" customHeight="true" outlineLevel="0" collapsed="false">
      <c r="A27" s="17"/>
      <c r="B27" s="17"/>
      <c r="C27" s="17"/>
      <c r="D27" s="17"/>
      <c r="E27" s="17"/>
      <c r="F27" s="17"/>
      <c r="G27" s="17"/>
      <c r="H27" s="17"/>
      <c r="I27" s="20" t="str">
        <f aca="false">IF(COUNTA(A27,B27,C27,E27,F27,G27)=0,"Empty",IF(COUNTA(A27,B27,C27,E27,F27,G27)&lt;6,"Partial","Complete"))</f>
        <v>Empty</v>
      </c>
    </row>
    <row r="28" customFormat="false" ht="14.25" hidden="false" customHeight="true" outlineLevel="0" collapsed="false">
      <c r="A28" s="17"/>
      <c r="B28" s="17"/>
      <c r="C28" s="17"/>
      <c r="D28" s="17"/>
      <c r="E28" s="17"/>
      <c r="F28" s="17"/>
      <c r="G28" s="17"/>
      <c r="H28" s="17"/>
      <c r="I28" s="20" t="str">
        <f aca="false">IF(COUNTA(A28,B28,C28,E28,F28,G28)=0,"Empty",IF(COUNTA(A28,B28,C28,E28,F28,G28)&lt;6,"Partial","Complete"))</f>
        <v>Empty</v>
      </c>
    </row>
    <row r="29" customFormat="false" ht="14.25" hidden="false" customHeight="true" outlineLevel="0" collapsed="false">
      <c r="A29" s="17"/>
      <c r="B29" s="17"/>
      <c r="C29" s="17"/>
      <c r="D29" s="17"/>
      <c r="E29" s="17"/>
      <c r="F29" s="17"/>
      <c r="G29" s="17"/>
      <c r="H29" s="17"/>
      <c r="I29" s="20" t="str">
        <f aca="false">IF(COUNTA(A29,B29,C29,E29,F29,G29)=0,"Empty",IF(COUNTA(A29,B29,C29,E29,F29,G29)&lt;6,"Partial","Complete"))</f>
        <v>Empty</v>
      </c>
    </row>
    <row r="30" customFormat="false" ht="14.25" hidden="false" customHeight="true" outlineLevel="0" collapsed="false">
      <c r="A30" s="17"/>
      <c r="B30" s="17"/>
      <c r="C30" s="17"/>
      <c r="D30" s="17"/>
      <c r="E30" s="17"/>
      <c r="F30" s="17"/>
      <c r="G30" s="17"/>
      <c r="H30" s="17"/>
      <c r="I30" s="20" t="str">
        <f aca="false">IF(COUNTA(A30,B30,C30,E30,F30,G30)=0,"Empty",IF(COUNTA(A30,B30,C30,E30,F30,G30)&lt;6,"Partial","Complete"))</f>
        <v>Empty</v>
      </c>
    </row>
    <row r="31" customFormat="false" ht="14.25" hidden="false" customHeight="true" outlineLevel="0" collapsed="false">
      <c r="A31" s="17"/>
      <c r="B31" s="17"/>
      <c r="C31" s="17"/>
      <c r="D31" s="17"/>
      <c r="E31" s="17"/>
      <c r="F31" s="17"/>
      <c r="G31" s="17"/>
      <c r="H31" s="17"/>
      <c r="I31" s="20" t="str">
        <f aca="false">IF(COUNTA(A31,B31,C31,E31,F31,G31)=0,"Empty",IF(COUNTA(A31,B31,C31,E31,F31,G31)&lt;6,"Partial","Complete"))</f>
        <v>Empty</v>
      </c>
    </row>
    <row r="32" customFormat="false" ht="14.25" hidden="false" customHeight="true" outlineLevel="0" collapsed="false">
      <c r="A32" s="17"/>
      <c r="B32" s="17"/>
      <c r="C32" s="17"/>
      <c r="D32" s="17"/>
      <c r="E32" s="17"/>
      <c r="F32" s="17"/>
      <c r="G32" s="17"/>
      <c r="H32" s="17"/>
      <c r="I32" s="20" t="str">
        <f aca="false">IF(COUNTA(A32,B32,C32,E32,F32,G32)=0,"Empty",IF(COUNTA(A32,B32,C32,E32,F32,G32)&lt;6,"Partial","Complete"))</f>
        <v>Empty</v>
      </c>
    </row>
    <row r="33" customFormat="false" ht="14.25" hidden="false" customHeight="true" outlineLevel="0" collapsed="false">
      <c r="A33" s="17"/>
      <c r="B33" s="17"/>
      <c r="C33" s="17"/>
      <c r="D33" s="17"/>
      <c r="E33" s="17"/>
      <c r="F33" s="17"/>
      <c r="G33" s="17"/>
      <c r="H33" s="17"/>
      <c r="I33" s="20" t="str">
        <f aca="false">IF(COUNTA(A33,B33,C33,E33,F33,G33)=0,"Empty",IF(COUNTA(A33,B33,C33,E33,F33,G33)&lt;6,"Partial","Complete"))</f>
        <v>Empty</v>
      </c>
    </row>
    <row r="34" customFormat="false" ht="14.25" hidden="false" customHeight="true" outlineLevel="0" collapsed="false">
      <c r="A34" s="17"/>
      <c r="B34" s="17"/>
      <c r="C34" s="17"/>
      <c r="D34" s="17"/>
      <c r="E34" s="17"/>
      <c r="F34" s="17"/>
      <c r="G34" s="17"/>
      <c r="H34" s="17"/>
      <c r="I34" s="20" t="str">
        <f aca="false">IF(COUNTA(A34,B34,C34,E34,F34,G34)=0,"Empty",IF(COUNTA(A34,B34,C34,E34,F34,G34)&lt;6,"Partial","Complete"))</f>
        <v>Empty</v>
      </c>
    </row>
    <row r="35" customFormat="false" ht="14.25" hidden="false" customHeight="true" outlineLevel="0" collapsed="false">
      <c r="A35" s="17"/>
      <c r="B35" s="17"/>
      <c r="C35" s="17"/>
      <c r="D35" s="17"/>
      <c r="E35" s="17"/>
      <c r="F35" s="17"/>
      <c r="G35" s="17"/>
      <c r="H35" s="17"/>
      <c r="I35" s="20" t="str">
        <f aca="false">IF(COUNTA(A35,B35,C35,E35,F35,G35)=0,"Empty",IF(COUNTA(A35,B35,C35,E35,F35,G35)&lt;6,"Partial","Complete"))</f>
        <v>Empty</v>
      </c>
    </row>
    <row r="36" customFormat="false" ht="14.25" hidden="false" customHeight="true" outlineLevel="0" collapsed="false">
      <c r="A36" s="17"/>
      <c r="B36" s="17"/>
      <c r="C36" s="17"/>
      <c r="D36" s="17"/>
      <c r="E36" s="17"/>
      <c r="F36" s="17"/>
      <c r="G36" s="17"/>
      <c r="H36" s="17"/>
      <c r="I36" s="20" t="str">
        <f aca="false">IF(COUNTA(A36,B36,C36,E36,F36,G36)=0,"Empty",IF(COUNTA(A36,B36,C36,E36,F36,G36)&lt;6,"Partial","Complete"))</f>
        <v>Empty</v>
      </c>
    </row>
    <row r="37" customFormat="false" ht="14.25" hidden="false" customHeight="true" outlineLevel="0" collapsed="false">
      <c r="A37" s="17"/>
      <c r="B37" s="17"/>
      <c r="C37" s="17"/>
      <c r="D37" s="17"/>
      <c r="E37" s="17"/>
      <c r="F37" s="17"/>
      <c r="G37" s="17"/>
      <c r="H37" s="17"/>
      <c r="I37" s="20" t="str">
        <f aca="false">IF(COUNTA(A37,B37,C37,E37,F37,G37)=0,"Empty",IF(COUNTA(A37,B37,C37,E37,F37,G37)&lt;6,"Partial","Complete"))</f>
        <v>Empty</v>
      </c>
    </row>
    <row r="38" customFormat="false" ht="14.25" hidden="false" customHeight="true" outlineLevel="0" collapsed="false">
      <c r="A38" s="17"/>
      <c r="B38" s="17"/>
      <c r="C38" s="17"/>
      <c r="D38" s="17"/>
      <c r="E38" s="17"/>
      <c r="F38" s="17"/>
      <c r="G38" s="17"/>
      <c r="H38" s="17"/>
      <c r="I38" s="20" t="str">
        <f aca="false">IF(COUNTA(A38,B38,C38,E38,F38,G38)=0,"Empty",IF(COUNTA(A38,B38,C38,E38,F38,G38)&lt;6,"Partial","Complete"))</f>
        <v>Empty</v>
      </c>
    </row>
    <row r="39" customFormat="false" ht="14.25" hidden="false" customHeight="true" outlineLevel="0" collapsed="false">
      <c r="A39" s="17"/>
      <c r="B39" s="17"/>
      <c r="C39" s="17"/>
      <c r="D39" s="17"/>
      <c r="E39" s="17"/>
      <c r="F39" s="17"/>
      <c r="G39" s="17"/>
      <c r="H39" s="17"/>
      <c r="I39" s="20" t="str">
        <f aca="false">IF(COUNTA(A39,B39,C39,E39,F39,G39)=0,"Empty",IF(COUNTA(A39,B39,C39,E39,F39,G39)&lt;6,"Partial","Complete"))</f>
        <v>Empty</v>
      </c>
    </row>
    <row r="40" customFormat="false" ht="14.25" hidden="false" customHeight="true" outlineLevel="0" collapsed="false">
      <c r="A40" s="17"/>
      <c r="B40" s="17"/>
      <c r="C40" s="17"/>
      <c r="D40" s="17"/>
      <c r="E40" s="17"/>
      <c r="F40" s="17"/>
      <c r="G40" s="17"/>
      <c r="H40" s="17"/>
      <c r="I40" s="20" t="str">
        <f aca="false">IF(COUNTA(A40,B40,C40,E40,F40,G40)=0,"Empty",IF(COUNTA(A40,B40,C40,E40,F40,G40)&lt;6,"Partial","Complete"))</f>
        <v>Empty</v>
      </c>
    </row>
    <row r="41" customFormat="false" ht="14.25" hidden="false" customHeight="true" outlineLevel="0" collapsed="false">
      <c r="A41" s="17"/>
      <c r="B41" s="17"/>
      <c r="C41" s="17"/>
      <c r="D41" s="17"/>
      <c r="E41" s="17"/>
      <c r="F41" s="17"/>
      <c r="G41" s="17"/>
      <c r="H41" s="17"/>
      <c r="I41" s="20" t="str">
        <f aca="false">IF(COUNTA(A41,B41,C41,E41,F41,G41)=0,"Empty",IF(COUNTA(A41,B41,C41,E41,F41,G41)&lt;6,"Partial","Complete"))</f>
        <v>Empty</v>
      </c>
    </row>
    <row r="42" customFormat="false" ht="14.25" hidden="false" customHeight="true" outlineLevel="0" collapsed="false">
      <c r="A42" s="17"/>
      <c r="B42" s="17"/>
      <c r="C42" s="17"/>
      <c r="D42" s="17"/>
      <c r="E42" s="17"/>
      <c r="F42" s="17"/>
      <c r="G42" s="17"/>
      <c r="H42" s="17"/>
      <c r="I42" s="20" t="str">
        <f aca="false">IF(COUNTA(A42,B42,C42,E42,F42,G42)=0,"Empty",IF(COUNTA(A42,B42,C42,E42,F42,G42)&lt;6,"Partial","Complete"))</f>
        <v>Empty</v>
      </c>
    </row>
    <row r="43" customFormat="false" ht="14.25" hidden="false" customHeight="true" outlineLevel="0" collapsed="false">
      <c r="A43" s="17"/>
      <c r="B43" s="17"/>
      <c r="C43" s="17"/>
      <c r="D43" s="17"/>
      <c r="E43" s="17"/>
      <c r="F43" s="17"/>
      <c r="G43" s="17"/>
      <c r="H43" s="17"/>
      <c r="I43" s="20" t="str">
        <f aca="false">IF(COUNTA(A43,B43,C43,E43,F43,G43)=0,"Empty",IF(COUNTA(A43,B43,C43,E43,F43,G43)&lt;6,"Partial","Complete"))</f>
        <v>Empty</v>
      </c>
    </row>
    <row r="44" customFormat="false" ht="14.25" hidden="false" customHeight="true" outlineLevel="0" collapsed="false">
      <c r="A44" s="17"/>
      <c r="B44" s="17"/>
      <c r="C44" s="17"/>
      <c r="D44" s="17"/>
      <c r="E44" s="17"/>
      <c r="F44" s="17"/>
      <c r="G44" s="17"/>
      <c r="H44" s="17"/>
      <c r="I44" s="20" t="str">
        <f aca="false">IF(COUNTA(A44,B44,C44,E44,F44,G44)=0,"Empty",IF(COUNTA(A44,B44,C44,E44,F44,G44)&lt;6,"Partial","Complete"))</f>
        <v>Empty</v>
      </c>
    </row>
    <row r="45" customFormat="false" ht="14.25" hidden="false" customHeight="true" outlineLevel="0" collapsed="false">
      <c r="A45" s="17"/>
      <c r="B45" s="17"/>
      <c r="C45" s="17"/>
      <c r="D45" s="17"/>
      <c r="E45" s="17"/>
      <c r="F45" s="17"/>
      <c r="G45" s="17"/>
      <c r="H45" s="17"/>
      <c r="I45" s="20" t="str">
        <f aca="false">IF(COUNTA(A45,B45,C45,E45,F45,G45)=0,"Empty",IF(COUNTA(A45,B45,C45,E45,F45,G45)&lt;6,"Partial","Complete"))</f>
        <v>Empty</v>
      </c>
    </row>
    <row r="46" customFormat="false" ht="14.25" hidden="false" customHeight="true" outlineLevel="0" collapsed="false">
      <c r="A46" s="17"/>
      <c r="B46" s="17"/>
      <c r="C46" s="17"/>
      <c r="D46" s="17"/>
      <c r="E46" s="17"/>
      <c r="F46" s="17"/>
      <c r="G46" s="17"/>
      <c r="H46" s="17"/>
      <c r="I46" s="20" t="str">
        <f aca="false">IF(COUNTA(A46,B46,C46,E46,F46,G46)=0,"Empty",IF(COUNTA(A46,B46,C46,E46,F46,G46)&lt;6,"Partial","Complete"))</f>
        <v>Empty</v>
      </c>
    </row>
    <row r="47" customFormat="false" ht="14.25" hidden="false" customHeight="true" outlineLevel="0" collapsed="false">
      <c r="A47" s="17"/>
      <c r="B47" s="17"/>
      <c r="C47" s="17"/>
      <c r="D47" s="17"/>
      <c r="E47" s="17"/>
      <c r="F47" s="17"/>
      <c r="G47" s="17"/>
      <c r="H47" s="17"/>
      <c r="I47" s="20" t="str">
        <f aca="false">IF(COUNTA(A47,B47,C47,E47,F47,G47)=0,"Empty",IF(COUNTA(A47,B47,C47,E47,F47,G47)&lt;6,"Partial","Complete"))</f>
        <v>Empty</v>
      </c>
    </row>
    <row r="48" customFormat="false" ht="14.25" hidden="false" customHeight="true" outlineLevel="0" collapsed="false">
      <c r="A48" s="17"/>
      <c r="B48" s="17"/>
      <c r="C48" s="17"/>
      <c r="D48" s="17"/>
      <c r="E48" s="17"/>
      <c r="F48" s="17"/>
      <c r="G48" s="17"/>
      <c r="H48" s="17"/>
      <c r="I48" s="20" t="str">
        <f aca="false">IF(COUNTA(A48,B48,C48,E48,F48,G48)=0,"Empty",IF(COUNTA(A48,B48,C48,E48,F48,G48)&lt;6,"Partial","Complete"))</f>
        <v>Empty</v>
      </c>
    </row>
    <row r="49" customFormat="false" ht="14.25" hidden="false" customHeight="true" outlineLevel="0" collapsed="false">
      <c r="A49" s="17"/>
      <c r="B49" s="17"/>
      <c r="C49" s="17"/>
      <c r="D49" s="17"/>
      <c r="E49" s="17"/>
      <c r="F49" s="17"/>
      <c r="G49" s="17"/>
      <c r="H49" s="17"/>
      <c r="I49" s="20" t="str">
        <f aca="false">IF(COUNTA(A49,B49,C49,E49,F49,G49)=0,"Empty",IF(COUNTA(A49,B49,C49,E49,F49,G49)&lt;6,"Partial","Complete"))</f>
        <v>Empty</v>
      </c>
    </row>
    <row r="50" customFormat="false" ht="14.25" hidden="false" customHeight="true" outlineLevel="0" collapsed="false">
      <c r="A50" s="17"/>
      <c r="B50" s="17"/>
      <c r="C50" s="17"/>
      <c r="D50" s="17"/>
      <c r="E50" s="17"/>
      <c r="F50" s="17"/>
      <c r="G50" s="17"/>
      <c r="H50" s="17"/>
      <c r="I50" s="20" t="str">
        <f aca="false">IF(COUNTA(A50,B50,C50,E50,F50,G50)=0,"Empty",IF(COUNTA(A50,B50,C50,E50,F50,G50)&lt;6,"Partial","Complete"))</f>
        <v>Empty</v>
      </c>
    </row>
    <row r="51" customFormat="false" ht="14.25" hidden="false" customHeight="true" outlineLevel="0" collapsed="false">
      <c r="A51" s="17"/>
      <c r="B51" s="17"/>
      <c r="C51" s="17"/>
      <c r="D51" s="17"/>
      <c r="E51" s="17"/>
      <c r="F51" s="17"/>
      <c r="G51" s="17"/>
      <c r="H51" s="17"/>
      <c r="I51" s="20" t="str">
        <f aca="false">IF(COUNTA(A51,B51,C51,E51,F51,G51)=0,"Empty",IF(COUNTA(A51,B51,C51,E51,F51,G51)&lt;6,"Partial","Complete"))</f>
        <v>Empty</v>
      </c>
    </row>
    <row r="52" customFormat="false" ht="14.25" hidden="false" customHeight="true" outlineLevel="0" collapsed="false">
      <c r="A52" s="17"/>
      <c r="B52" s="17"/>
      <c r="C52" s="17"/>
      <c r="D52" s="17"/>
      <c r="E52" s="17"/>
      <c r="F52" s="17"/>
      <c r="G52" s="17"/>
      <c r="H52" s="17"/>
      <c r="I52" s="20" t="str">
        <f aca="false">IF(COUNTA(A52,B52,C52,E52,F52,G52)=0,"Empty",IF(COUNTA(A52,B52,C52,E52,F52,G52)&lt;6,"Partial","Complete"))</f>
        <v>Empty</v>
      </c>
    </row>
    <row r="53" customFormat="false" ht="14.25" hidden="false" customHeight="true" outlineLevel="0" collapsed="false">
      <c r="A53" s="17"/>
      <c r="B53" s="17"/>
      <c r="C53" s="17"/>
      <c r="D53" s="17"/>
      <c r="E53" s="17"/>
      <c r="F53" s="17"/>
      <c r="G53" s="17"/>
      <c r="H53" s="17"/>
      <c r="I53" s="20" t="str">
        <f aca="false">IF(COUNTA(A53,B53,C53,E53,F53,G53)=0,"Empty",IF(COUNTA(A53,B53,C53,E53,F53,G53)&lt;6,"Partial","Complete"))</f>
        <v>Empty</v>
      </c>
    </row>
    <row r="54" customFormat="false" ht="14.25" hidden="false" customHeight="true" outlineLevel="0" collapsed="false">
      <c r="A54" s="17"/>
      <c r="B54" s="17"/>
      <c r="C54" s="17"/>
      <c r="D54" s="17"/>
      <c r="E54" s="17"/>
      <c r="F54" s="17"/>
      <c r="G54" s="17"/>
      <c r="H54" s="17"/>
      <c r="I54" s="20" t="str">
        <f aca="false">IF(COUNTA(A54,B54,C54,E54,F54,G54)=0,"Empty",IF(COUNTA(A54,B54,C54,E54,F54,G54)&lt;6,"Partial","Complete"))</f>
        <v>Empty</v>
      </c>
    </row>
    <row r="55" customFormat="false" ht="14.25" hidden="false" customHeight="true" outlineLevel="0" collapsed="false">
      <c r="A55" s="17"/>
      <c r="B55" s="17"/>
      <c r="C55" s="17"/>
      <c r="D55" s="17"/>
      <c r="E55" s="17"/>
      <c r="F55" s="17"/>
      <c r="G55" s="17"/>
      <c r="H55" s="17"/>
      <c r="I55" s="20" t="str">
        <f aca="false">IF(COUNTA(A55,B55,C55,E55,F55,G55)=0,"Empty",IF(COUNTA(A55,B55,C55,E55,F55,G55)&lt;6,"Partial","Complete"))</f>
        <v>Empty</v>
      </c>
    </row>
    <row r="56" customFormat="false" ht="14.25" hidden="false" customHeight="true" outlineLevel="0" collapsed="false">
      <c r="A56" s="17"/>
      <c r="B56" s="17"/>
      <c r="C56" s="17"/>
      <c r="D56" s="17"/>
      <c r="E56" s="17"/>
      <c r="F56" s="17"/>
      <c r="G56" s="17"/>
      <c r="H56" s="17"/>
      <c r="I56" s="20" t="str">
        <f aca="false">IF(COUNTA(A56,B56,C56,E56,F56,G56)=0,"Empty",IF(COUNTA(A56,B56,C56,E56,F56,G56)&lt;6,"Partial","Complete"))</f>
        <v>Empty</v>
      </c>
    </row>
    <row r="57" customFormat="false" ht="14.25" hidden="false" customHeight="true" outlineLevel="0" collapsed="false">
      <c r="A57" s="17"/>
      <c r="B57" s="17"/>
      <c r="C57" s="17"/>
      <c r="D57" s="17"/>
      <c r="E57" s="17"/>
      <c r="F57" s="17"/>
      <c r="G57" s="17"/>
      <c r="H57" s="17"/>
      <c r="I57" s="20" t="str">
        <f aca="false">IF(COUNTA(A57,B57,C57,E57,F57,G57)=0,"Empty",IF(COUNTA(A57,B57,C57,E57,F57,G57)&lt;6,"Partial","Complete"))</f>
        <v>Empty</v>
      </c>
    </row>
    <row r="58" customFormat="false" ht="14.25" hidden="false" customHeight="true" outlineLevel="0" collapsed="false">
      <c r="A58" s="17"/>
      <c r="B58" s="17"/>
      <c r="C58" s="17"/>
      <c r="D58" s="17"/>
      <c r="E58" s="17"/>
      <c r="F58" s="17"/>
      <c r="G58" s="17"/>
      <c r="H58" s="17"/>
      <c r="I58" s="20" t="str">
        <f aca="false">IF(COUNTA(A58,B58,C58,E58,F58,G58)=0,"Empty",IF(COUNTA(A58,B58,C58,E58,F58,G58)&lt;6,"Partial","Complete"))</f>
        <v>Empty</v>
      </c>
    </row>
    <row r="59" customFormat="false" ht="14.25" hidden="false" customHeight="true" outlineLevel="0" collapsed="false">
      <c r="A59" s="17"/>
      <c r="B59" s="17"/>
      <c r="C59" s="17"/>
      <c r="D59" s="17"/>
      <c r="E59" s="17"/>
      <c r="F59" s="17"/>
      <c r="G59" s="17"/>
      <c r="H59" s="17"/>
      <c r="I59" s="20" t="str">
        <f aca="false">IF(COUNTA(A59,B59,C59,E59,F59,G59)=0,"Empty",IF(COUNTA(A59,B59,C59,E59,F59,G59)&lt;6,"Partial","Complete"))</f>
        <v>Empty</v>
      </c>
    </row>
    <row r="60" customFormat="false" ht="14.25" hidden="false" customHeight="true" outlineLevel="0" collapsed="false">
      <c r="A60" s="17"/>
      <c r="B60" s="17"/>
      <c r="C60" s="17"/>
      <c r="D60" s="17"/>
      <c r="E60" s="17"/>
      <c r="F60" s="17"/>
      <c r="G60" s="17"/>
      <c r="H60" s="17"/>
      <c r="I60" s="20" t="str">
        <f aca="false">IF(COUNTA(A60,B60,C60,E60,F60,G60)=0,"Empty",IF(COUNTA(A60,B60,C60,E60,F60,G60)&lt;6,"Partial","Complete"))</f>
        <v>Empty</v>
      </c>
    </row>
    <row r="61" customFormat="false" ht="14.25" hidden="false" customHeight="true" outlineLevel="0" collapsed="false">
      <c r="A61" s="17"/>
      <c r="B61" s="17"/>
      <c r="C61" s="17"/>
      <c r="D61" s="17"/>
      <c r="E61" s="17"/>
      <c r="F61" s="17"/>
      <c r="G61" s="17"/>
      <c r="H61" s="17"/>
      <c r="I61" s="20" t="str">
        <f aca="false">IF(COUNTA(A61,B61,C61,E61,F61,G61)=0,"Empty",IF(COUNTA(A61,B61,C61,E61,F61,G61)&lt;6,"Partial","Complete"))</f>
        <v>Empty</v>
      </c>
    </row>
    <row r="62" customFormat="false" ht="14.25" hidden="false" customHeight="true" outlineLevel="0" collapsed="false">
      <c r="A62" s="17"/>
      <c r="B62" s="17"/>
      <c r="C62" s="17"/>
      <c r="D62" s="17"/>
      <c r="E62" s="17"/>
      <c r="F62" s="17"/>
      <c r="G62" s="17"/>
      <c r="H62" s="17"/>
      <c r="I62" s="20" t="str">
        <f aca="false">IF(COUNTA(A62,B62,C62,E62,F62,G62)=0,"Empty",IF(COUNTA(A62,B62,C62,E62,F62,G62)&lt;6,"Partial","Complete"))</f>
        <v>Empty</v>
      </c>
    </row>
    <row r="63" customFormat="false" ht="14.25" hidden="false" customHeight="true" outlineLevel="0" collapsed="false">
      <c r="A63" s="17"/>
      <c r="B63" s="17"/>
      <c r="C63" s="17"/>
      <c r="D63" s="17"/>
      <c r="E63" s="17"/>
      <c r="F63" s="17"/>
      <c r="G63" s="17"/>
      <c r="H63" s="17"/>
      <c r="I63" s="20" t="str">
        <f aca="false">IF(COUNTA(A63,B63,C63,E63,F63,G63)=0,"Empty",IF(COUNTA(A63,B63,C63,E63,F63,G63)&lt;6,"Partial","Complete"))</f>
        <v>Empty</v>
      </c>
    </row>
    <row r="64" customFormat="false" ht="14.25" hidden="false" customHeight="true" outlineLevel="0" collapsed="false">
      <c r="A64" s="17"/>
      <c r="B64" s="17"/>
      <c r="C64" s="17"/>
      <c r="D64" s="17"/>
      <c r="E64" s="17"/>
      <c r="F64" s="17"/>
      <c r="G64" s="17"/>
      <c r="H64" s="17"/>
      <c r="I64" s="20" t="str">
        <f aca="false">IF(COUNTA(A64,B64,C64,E64,F64,G64)=0,"Empty",IF(COUNTA(A64,B64,C64,E64,F64,G64)&lt;6,"Partial","Complete"))</f>
        <v>Empty</v>
      </c>
    </row>
    <row r="65" customFormat="false" ht="14.25" hidden="false" customHeight="true" outlineLevel="0" collapsed="false">
      <c r="A65" s="17"/>
      <c r="B65" s="17"/>
      <c r="C65" s="17"/>
      <c r="D65" s="17"/>
      <c r="E65" s="17"/>
      <c r="F65" s="17"/>
      <c r="G65" s="17"/>
      <c r="H65" s="17"/>
      <c r="I65" s="20" t="str">
        <f aca="false">IF(COUNTA(A65,B65,C65,E65,F65,G65)=0,"Empty",IF(COUNTA(A65,B65,C65,E65,F65,G65)&lt;6,"Partial","Complete"))</f>
        <v>Empty</v>
      </c>
    </row>
    <row r="66" customFormat="false" ht="14.25" hidden="false" customHeight="true" outlineLevel="0" collapsed="false">
      <c r="A66" s="17"/>
      <c r="B66" s="17"/>
      <c r="C66" s="17"/>
      <c r="D66" s="17"/>
      <c r="E66" s="17"/>
      <c r="F66" s="17"/>
      <c r="G66" s="17"/>
      <c r="H66" s="17"/>
      <c r="I66" s="20" t="str">
        <f aca="false">IF(COUNTA(A66,B66,C66,E66,F66,G66)=0,"Empty",IF(COUNTA(A66,B66,C66,E66,F66,G66)&lt;6,"Partial","Complete"))</f>
        <v>Empty</v>
      </c>
    </row>
    <row r="67" customFormat="false" ht="14.25" hidden="false" customHeight="true" outlineLevel="0" collapsed="false">
      <c r="A67" s="17"/>
      <c r="B67" s="17"/>
      <c r="C67" s="17"/>
      <c r="D67" s="17"/>
      <c r="E67" s="17"/>
      <c r="F67" s="17"/>
      <c r="G67" s="17"/>
      <c r="H67" s="17"/>
      <c r="I67" s="20" t="str">
        <f aca="false">IF(COUNTA(A67,B67,C67,E67,F67,G67)=0,"Empty",IF(COUNTA(A67,B67,C67,E67,F67,G67)&lt;6,"Partial","Complete"))</f>
        <v>Empty</v>
      </c>
    </row>
    <row r="68" customFormat="false" ht="14.25" hidden="false" customHeight="true" outlineLevel="0" collapsed="false">
      <c r="A68" s="17"/>
      <c r="B68" s="17"/>
      <c r="C68" s="17"/>
      <c r="D68" s="17"/>
      <c r="E68" s="17"/>
      <c r="F68" s="17"/>
      <c r="G68" s="17"/>
      <c r="H68" s="17"/>
      <c r="I68" s="20" t="str">
        <f aca="false">IF(COUNTA(A68,B68,C68,E68,F68,G68)=0,"Empty",IF(COUNTA(A68,B68,C68,E68,F68,G68)&lt;6,"Partial","Complete"))</f>
        <v>Empty</v>
      </c>
    </row>
    <row r="69" customFormat="false" ht="14.25" hidden="false" customHeight="true" outlineLevel="0" collapsed="false">
      <c r="A69" s="17"/>
      <c r="B69" s="17"/>
      <c r="C69" s="17"/>
      <c r="D69" s="17"/>
      <c r="E69" s="17"/>
      <c r="F69" s="17"/>
      <c r="G69" s="17"/>
      <c r="H69" s="17"/>
      <c r="I69" s="20" t="str">
        <f aca="false">IF(COUNTA(A69,B69,C69,E69,F69,G69)=0,"Empty",IF(COUNTA(A69,B69,C69,E69,F69,G69)&lt;6,"Partial","Complete"))</f>
        <v>Empty</v>
      </c>
    </row>
    <row r="70" customFormat="false" ht="14.25" hidden="false" customHeight="true" outlineLevel="0" collapsed="false">
      <c r="A70" s="17"/>
      <c r="B70" s="17"/>
      <c r="C70" s="17"/>
      <c r="D70" s="17"/>
      <c r="E70" s="17"/>
      <c r="F70" s="17"/>
      <c r="G70" s="17"/>
      <c r="H70" s="17"/>
      <c r="I70" s="20" t="str">
        <f aca="false">IF(COUNTA(A70,B70,C70,E70,F70,G70)=0,"Empty",IF(COUNTA(A70,B70,C70,E70,F70,G70)&lt;6,"Partial","Complete"))</f>
        <v>Empty</v>
      </c>
    </row>
    <row r="71" customFormat="false" ht="14.25" hidden="false" customHeight="true" outlineLevel="0" collapsed="false">
      <c r="A71" s="17"/>
      <c r="B71" s="17"/>
      <c r="C71" s="17"/>
      <c r="D71" s="17"/>
      <c r="E71" s="17"/>
      <c r="F71" s="17"/>
      <c r="G71" s="17"/>
      <c r="H71" s="17"/>
      <c r="I71" s="20" t="str">
        <f aca="false">IF(COUNTA(A71,B71,C71,E71,F71,G71)=0,"Empty",IF(COUNTA(A71,B71,C71,E71,F71,G71)&lt;6,"Partial","Complete"))</f>
        <v>Empty</v>
      </c>
    </row>
    <row r="72" customFormat="false" ht="14.25" hidden="false" customHeight="true" outlineLevel="0" collapsed="false">
      <c r="A72" s="17"/>
      <c r="B72" s="17"/>
      <c r="C72" s="17"/>
      <c r="D72" s="17"/>
      <c r="E72" s="17"/>
      <c r="F72" s="17"/>
      <c r="G72" s="17"/>
      <c r="H72" s="17"/>
      <c r="I72" s="20" t="str">
        <f aca="false">IF(COUNTA(A72,B72,C72,E72,F72,G72)=0,"Empty",IF(COUNTA(A72,B72,C72,E72,F72,G72)&lt;6,"Partial","Complete"))</f>
        <v>Empty</v>
      </c>
    </row>
    <row r="73" customFormat="false" ht="14.25" hidden="false" customHeight="true" outlineLevel="0" collapsed="false">
      <c r="A73" s="17"/>
      <c r="B73" s="17"/>
      <c r="C73" s="17"/>
      <c r="D73" s="17"/>
      <c r="E73" s="17"/>
      <c r="F73" s="17"/>
      <c r="G73" s="17"/>
      <c r="H73" s="17"/>
      <c r="I73" s="20" t="str">
        <f aca="false">IF(COUNTA(A73,B73,C73,E73,F73,G73)=0,"Empty",IF(COUNTA(A73,B73,C73,E73,F73,G73)&lt;6,"Partial","Complete"))</f>
        <v>Empty</v>
      </c>
    </row>
    <row r="74" customFormat="false" ht="14.25" hidden="false" customHeight="true" outlineLevel="0" collapsed="false">
      <c r="A74" s="17"/>
      <c r="B74" s="17"/>
      <c r="C74" s="17"/>
      <c r="D74" s="17"/>
      <c r="E74" s="17"/>
      <c r="F74" s="17"/>
      <c r="G74" s="17"/>
      <c r="H74" s="17"/>
      <c r="I74" s="20" t="str">
        <f aca="false">IF(COUNTA(A74,B74,C74,E74,F74,G74)=0,"Empty",IF(COUNTA(A74,B74,C74,E74,F74,G74)&lt;6,"Partial","Complete"))</f>
        <v>Empty</v>
      </c>
    </row>
    <row r="75" customFormat="false" ht="14.25" hidden="false" customHeight="true" outlineLevel="0" collapsed="false">
      <c r="A75" s="17"/>
      <c r="B75" s="17"/>
      <c r="C75" s="17"/>
      <c r="D75" s="17"/>
      <c r="E75" s="17"/>
      <c r="F75" s="17"/>
      <c r="G75" s="17"/>
      <c r="H75" s="17"/>
      <c r="I75" s="20" t="str">
        <f aca="false">IF(COUNTA(A75,B75,C75,E75,F75,G75)=0,"Empty",IF(COUNTA(A75,B75,C75,E75,F75,G75)&lt;6,"Partial","Complete"))</f>
        <v>Empty</v>
      </c>
    </row>
    <row r="76" customFormat="false" ht="14.25" hidden="false" customHeight="true" outlineLevel="0" collapsed="false">
      <c r="A76" s="17"/>
      <c r="B76" s="17"/>
      <c r="C76" s="17"/>
      <c r="D76" s="17"/>
      <c r="E76" s="17"/>
      <c r="F76" s="17"/>
      <c r="G76" s="17"/>
      <c r="H76" s="17"/>
      <c r="I76" s="20" t="str">
        <f aca="false">IF(COUNTA(A76,B76,C76,E76,F76,G76)=0,"Empty",IF(COUNTA(A76,B76,C76,E76,F76,G76)&lt;6,"Partial","Complete"))</f>
        <v>Empty</v>
      </c>
    </row>
    <row r="77" customFormat="false" ht="14.25" hidden="false" customHeight="true" outlineLevel="0" collapsed="false">
      <c r="A77" s="17"/>
      <c r="B77" s="17"/>
      <c r="C77" s="17"/>
      <c r="D77" s="17"/>
      <c r="E77" s="17"/>
      <c r="F77" s="17"/>
      <c r="G77" s="17"/>
      <c r="H77" s="17"/>
      <c r="I77" s="20" t="str">
        <f aca="false">IF(COUNTA(A77,B77,C77,E77,F77,G77)=0,"Empty",IF(COUNTA(A77,B77,C77,E77,F77,G77)&lt;6,"Partial","Complete"))</f>
        <v>Empty</v>
      </c>
    </row>
    <row r="78" customFormat="false" ht="14.25" hidden="false" customHeight="true" outlineLevel="0" collapsed="false">
      <c r="A78" s="17"/>
      <c r="B78" s="17"/>
      <c r="C78" s="17"/>
      <c r="D78" s="17"/>
      <c r="E78" s="17"/>
      <c r="F78" s="17"/>
      <c r="G78" s="17"/>
      <c r="H78" s="17"/>
      <c r="I78" s="20" t="str">
        <f aca="false">IF(COUNTA(A78,B78,C78,E78,F78,G78)=0,"Empty",IF(COUNTA(A78,B78,C78,E78,F78,G78)&lt;6,"Partial","Complete"))</f>
        <v>Empty</v>
      </c>
    </row>
    <row r="79" customFormat="false" ht="14.25" hidden="false" customHeight="true" outlineLevel="0" collapsed="false">
      <c r="A79" s="17"/>
      <c r="B79" s="17"/>
      <c r="C79" s="17"/>
      <c r="D79" s="17"/>
      <c r="E79" s="17"/>
      <c r="F79" s="17"/>
      <c r="G79" s="17"/>
      <c r="H79" s="17"/>
      <c r="I79" s="20" t="str">
        <f aca="false">IF(COUNTA(A79,B79,C79,E79,F79,G79)=0,"Empty",IF(COUNTA(A79,B79,C79,E79,F79,G79)&lt;6,"Partial","Complete"))</f>
        <v>Empty</v>
      </c>
    </row>
    <row r="80" customFormat="false" ht="14.25" hidden="false" customHeight="true" outlineLevel="0" collapsed="false">
      <c r="A80" s="17"/>
      <c r="B80" s="17"/>
      <c r="C80" s="17"/>
      <c r="D80" s="17"/>
      <c r="E80" s="17"/>
      <c r="F80" s="17"/>
      <c r="G80" s="17"/>
      <c r="H80" s="17"/>
      <c r="I80" s="20" t="str">
        <f aca="false">IF(COUNTA(A80,B80,C80,E80,F80,G80)=0,"Empty",IF(COUNTA(A80,B80,C80,E80,F80,G80)&lt;6,"Partial","Complete"))</f>
        <v>Empty</v>
      </c>
    </row>
    <row r="81" customFormat="false" ht="14.25" hidden="false" customHeight="true" outlineLevel="0" collapsed="false">
      <c r="A81" s="17"/>
      <c r="B81" s="17"/>
      <c r="C81" s="17"/>
      <c r="D81" s="17"/>
      <c r="E81" s="17"/>
      <c r="F81" s="17"/>
      <c r="G81" s="17"/>
      <c r="H81" s="17"/>
      <c r="I81" s="20" t="str">
        <f aca="false">IF(COUNTA(A81,B81,C81,E81,F81,G81)=0,"Empty",IF(COUNTA(A81,B81,C81,E81,F81,G81)&lt;6,"Partial","Complete"))</f>
        <v>Empty</v>
      </c>
    </row>
    <row r="82" customFormat="false" ht="14.25" hidden="false" customHeight="true" outlineLevel="0" collapsed="false">
      <c r="A82" s="17"/>
      <c r="B82" s="17"/>
      <c r="C82" s="17"/>
      <c r="D82" s="17"/>
      <c r="E82" s="17"/>
      <c r="F82" s="17"/>
      <c r="G82" s="17"/>
      <c r="H82" s="17"/>
      <c r="I82" s="20" t="str">
        <f aca="false">IF(COUNTA(A82,B82,C82,E82,F82,G82)=0,"Empty",IF(COUNTA(A82,B82,C82,E82,F82,G82)&lt;6,"Partial","Complete"))</f>
        <v>Empty</v>
      </c>
    </row>
    <row r="83" customFormat="false" ht="14.25" hidden="false" customHeight="true" outlineLevel="0" collapsed="false">
      <c r="A83" s="17"/>
      <c r="B83" s="17"/>
      <c r="C83" s="17"/>
      <c r="D83" s="17"/>
      <c r="E83" s="17"/>
      <c r="F83" s="17"/>
      <c r="G83" s="17"/>
      <c r="H83" s="17"/>
      <c r="I83" s="20" t="str">
        <f aca="false">IF(COUNTA(A83,B83,C83,E83,F83,G83)=0,"Empty",IF(COUNTA(A83,B83,C83,E83,F83,G83)&lt;6,"Partial","Complete"))</f>
        <v>Empty</v>
      </c>
    </row>
    <row r="84" customFormat="false" ht="14.25" hidden="false" customHeight="true" outlineLevel="0" collapsed="false">
      <c r="A84" s="17"/>
      <c r="B84" s="17"/>
      <c r="C84" s="17"/>
      <c r="D84" s="17"/>
      <c r="E84" s="17"/>
      <c r="F84" s="17"/>
      <c r="G84" s="17"/>
      <c r="H84" s="17"/>
      <c r="I84" s="20" t="str">
        <f aca="false">IF(COUNTA(A84,B84,C84,E84,F84,G84)=0,"Empty",IF(COUNTA(A84,B84,C84,E84,F84,G84)&lt;6,"Partial","Complete"))</f>
        <v>Empty</v>
      </c>
    </row>
    <row r="85" customFormat="false" ht="14.25" hidden="false" customHeight="true" outlineLevel="0" collapsed="false">
      <c r="A85" s="17"/>
      <c r="B85" s="17"/>
      <c r="C85" s="17"/>
      <c r="D85" s="17"/>
      <c r="E85" s="17"/>
      <c r="F85" s="17"/>
      <c r="G85" s="17"/>
      <c r="H85" s="17"/>
      <c r="I85" s="20" t="str">
        <f aca="false">IF(COUNTA(A85,B85,C85,E85,F85,G85)=0,"Empty",IF(COUNTA(A85,B85,C85,E85,F85,G85)&lt;6,"Partial","Complete"))</f>
        <v>Empty</v>
      </c>
    </row>
    <row r="86" customFormat="false" ht="14.25" hidden="false" customHeight="true" outlineLevel="0" collapsed="false">
      <c r="A86" s="17"/>
      <c r="B86" s="17"/>
      <c r="C86" s="17"/>
      <c r="D86" s="17"/>
      <c r="E86" s="17"/>
      <c r="F86" s="17"/>
      <c r="G86" s="17"/>
      <c r="H86" s="17"/>
      <c r="I86" s="20" t="str">
        <f aca="false">IF(COUNTA(A86,B86,C86,E86,F86,G86)=0,"Empty",IF(COUNTA(A86,B86,C86,E86,F86,G86)&lt;6,"Partial","Complete"))</f>
        <v>Empty</v>
      </c>
    </row>
    <row r="87" customFormat="false" ht="14.25" hidden="false" customHeight="true" outlineLevel="0" collapsed="false">
      <c r="A87" s="17"/>
      <c r="B87" s="17"/>
      <c r="C87" s="17"/>
      <c r="D87" s="17"/>
      <c r="E87" s="17"/>
      <c r="F87" s="17"/>
      <c r="G87" s="17"/>
      <c r="H87" s="17"/>
      <c r="I87" s="20" t="str">
        <f aca="false">IF(COUNTA(A87,B87,C87,E87,F87,G87)=0,"Empty",IF(COUNTA(A87,B87,C87,E87,F87,G87)&lt;6,"Partial","Complete"))</f>
        <v>Empty</v>
      </c>
    </row>
    <row r="88" customFormat="false" ht="14.25" hidden="false" customHeight="true" outlineLevel="0" collapsed="false">
      <c r="A88" s="17"/>
      <c r="B88" s="17"/>
      <c r="C88" s="17"/>
      <c r="D88" s="17"/>
      <c r="E88" s="17"/>
      <c r="F88" s="17"/>
      <c r="G88" s="17"/>
      <c r="H88" s="17"/>
      <c r="I88" s="20" t="str">
        <f aca="false">IF(COUNTA(A88,B88,C88,E88,F88,G88)=0,"Empty",IF(COUNTA(A88,B88,C88,E88,F88,G88)&lt;6,"Partial","Complete"))</f>
        <v>Empty</v>
      </c>
    </row>
    <row r="89" customFormat="false" ht="14.25" hidden="false" customHeight="true" outlineLevel="0" collapsed="false">
      <c r="A89" s="17"/>
      <c r="B89" s="17"/>
      <c r="C89" s="17"/>
      <c r="D89" s="17"/>
      <c r="E89" s="17"/>
      <c r="F89" s="17"/>
      <c r="G89" s="17"/>
      <c r="H89" s="17"/>
      <c r="I89" s="20" t="str">
        <f aca="false">IF(COUNTA(A89,B89,C89,E89,F89,G89)=0,"Empty",IF(COUNTA(A89,B89,C89,E89,F89,G89)&lt;6,"Partial","Complete"))</f>
        <v>Empty</v>
      </c>
    </row>
    <row r="90" customFormat="false" ht="14.25" hidden="false" customHeight="true" outlineLevel="0" collapsed="false">
      <c r="A90" s="17"/>
      <c r="B90" s="17"/>
      <c r="C90" s="17"/>
      <c r="D90" s="17"/>
      <c r="E90" s="17"/>
      <c r="F90" s="17"/>
      <c r="G90" s="17"/>
      <c r="H90" s="17"/>
      <c r="I90" s="20" t="str">
        <f aca="false">IF(COUNTA(A90,B90,C90,E90,F90,G90)=0,"Empty",IF(COUNTA(A90,B90,C90,E90,F90,G90)&lt;6,"Partial","Complete"))</f>
        <v>Empty</v>
      </c>
    </row>
    <row r="91" customFormat="false" ht="14.25" hidden="false" customHeight="true" outlineLevel="0" collapsed="false">
      <c r="A91" s="17"/>
      <c r="B91" s="17"/>
      <c r="C91" s="17"/>
      <c r="D91" s="17"/>
      <c r="E91" s="17"/>
      <c r="F91" s="17"/>
      <c r="G91" s="17"/>
      <c r="H91" s="17"/>
      <c r="I91" s="20" t="str">
        <f aca="false">IF(COUNTA(A91,B91,C91,E91,F91,G91)=0,"Empty",IF(COUNTA(A91,B91,C91,E91,F91,G91)&lt;6,"Partial","Complete"))</f>
        <v>Empty</v>
      </c>
    </row>
    <row r="92" customFormat="false" ht="14.25" hidden="false" customHeight="true" outlineLevel="0" collapsed="false">
      <c r="A92" s="17"/>
      <c r="B92" s="17"/>
      <c r="C92" s="17"/>
      <c r="D92" s="17"/>
      <c r="E92" s="17"/>
      <c r="F92" s="17"/>
      <c r="G92" s="17"/>
      <c r="H92" s="17"/>
      <c r="I92" s="20" t="str">
        <f aca="false">IF(COUNTA(A92,B92,C92,E92,F92,G92)=0,"Empty",IF(COUNTA(A92,B92,C92,E92,F92,G92)&lt;6,"Partial","Complete"))</f>
        <v>Empty</v>
      </c>
    </row>
    <row r="93" customFormat="false" ht="14.25" hidden="false" customHeight="true" outlineLevel="0" collapsed="false">
      <c r="A93" s="17"/>
      <c r="B93" s="17"/>
      <c r="C93" s="17"/>
      <c r="D93" s="17"/>
      <c r="E93" s="17"/>
      <c r="F93" s="17"/>
      <c r="G93" s="17"/>
      <c r="H93" s="17"/>
      <c r="I93" s="20" t="str">
        <f aca="false">IF(COUNTA(A93,B93,C93,E93,F93,G93)=0,"Empty",IF(COUNTA(A93,B93,C93,E93,F93,G93)&lt;6,"Partial","Complete"))</f>
        <v>Empty</v>
      </c>
    </row>
    <row r="94" customFormat="false" ht="14.25" hidden="false" customHeight="true" outlineLevel="0" collapsed="false">
      <c r="A94" s="17"/>
      <c r="B94" s="17"/>
      <c r="C94" s="17"/>
      <c r="D94" s="17"/>
      <c r="E94" s="17"/>
      <c r="F94" s="17"/>
      <c r="G94" s="17"/>
      <c r="H94" s="17"/>
      <c r="I94" s="20" t="str">
        <f aca="false">IF(COUNTA(A94,B94,C94,E94,F94,G94)=0,"Empty",IF(COUNTA(A94,B94,C94,E94,F94,G94)&lt;6,"Partial","Complete"))</f>
        <v>Empty</v>
      </c>
    </row>
    <row r="95" customFormat="false" ht="14.25" hidden="false" customHeight="true" outlineLevel="0" collapsed="false">
      <c r="A95" s="17"/>
      <c r="B95" s="17"/>
      <c r="C95" s="17"/>
      <c r="D95" s="17"/>
      <c r="E95" s="17"/>
      <c r="F95" s="17"/>
      <c r="G95" s="17"/>
      <c r="H95" s="17"/>
      <c r="I95" s="20" t="str">
        <f aca="false">IF(COUNTA(A95,B95,C95,E95,F95,G95)=0,"Empty",IF(COUNTA(A95,B95,C95,E95,F95,G95)&lt;6,"Partial","Complete"))</f>
        <v>Empty</v>
      </c>
    </row>
    <row r="96" customFormat="false" ht="14.25" hidden="false" customHeight="true" outlineLevel="0" collapsed="false">
      <c r="A96" s="17"/>
      <c r="B96" s="17"/>
      <c r="C96" s="17"/>
      <c r="D96" s="17"/>
      <c r="E96" s="17"/>
      <c r="F96" s="17"/>
      <c r="G96" s="17"/>
      <c r="H96" s="17"/>
      <c r="I96" s="20" t="str">
        <f aca="false">IF(COUNTA(A96,B96,C96,E96,F96,G96)=0,"Empty",IF(COUNTA(A96,B96,C96,E96,F96,G96)&lt;6,"Partial","Complete"))</f>
        <v>Empty</v>
      </c>
    </row>
    <row r="97" customFormat="false" ht="14.25" hidden="false" customHeight="true" outlineLevel="0" collapsed="false">
      <c r="A97" s="17"/>
      <c r="B97" s="17"/>
      <c r="C97" s="17"/>
      <c r="D97" s="17"/>
      <c r="E97" s="17"/>
      <c r="F97" s="17"/>
      <c r="G97" s="17"/>
      <c r="H97" s="17"/>
      <c r="I97" s="20" t="str">
        <f aca="false">IF(COUNTA(A97,B97,C97,E97,F97,G97)=0,"Empty",IF(COUNTA(A97,B97,C97,E97,F97,G97)&lt;6,"Partial","Complete"))</f>
        <v>Empty</v>
      </c>
    </row>
    <row r="98" customFormat="false" ht="14.25" hidden="false" customHeight="true" outlineLevel="0" collapsed="false">
      <c r="A98" s="17"/>
      <c r="B98" s="17"/>
      <c r="C98" s="17"/>
      <c r="D98" s="17"/>
      <c r="E98" s="17"/>
      <c r="F98" s="17"/>
      <c r="G98" s="17"/>
      <c r="H98" s="17"/>
      <c r="I98" s="20" t="str">
        <f aca="false">IF(COUNTA(A98,B98,C98,E98,F98,G98)=0,"Empty",IF(COUNTA(A98,B98,C98,E98,F98,G98)&lt;6,"Partial","Complete"))</f>
        <v>Empty</v>
      </c>
    </row>
    <row r="99" customFormat="false" ht="14.25" hidden="false" customHeight="true" outlineLevel="0" collapsed="false">
      <c r="A99" s="17"/>
      <c r="B99" s="17"/>
      <c r="C99" s="17"/>
      <c r="D99" s="17"/>
      <c r="E99" s="17"/>
      <c r="F99" s="17"/>
      <c r="G99" s="17"/>
      <c r="H99" s="17"/>
      <c r="I99" s="20" t="str">
        <f aca="false">IF(COUNTA(A99,B99,C99,E99,F99,G99)=0,"Empty",IF(COUNTA(A99,B99,C99,E99,F99,G99)&lt;6,"Partial","Complete"))</f>
        <v>Empty</v>
      </c>
    </row>
    <row r="100" customFormat="false" ht="14.25" hidden="false" customHeight="true" outlineLevel="0" collapsed="false">
      <c r="A100" s="17"/>
      <c r="B100" s="17"/>
      <c r="C100" s="17"/>
      <c r="D100" s="17"/>
      <c r="E100" s="17"/>
      <c r="F100" s="17"/>
      <c r="G100" s="17"/>
      <c r="H100" s="17"/>
      <c r="I100" s="20" t="str">
        <f aca="false">IF(COUNTA(A100,B100,C100,E100,F100,G100)=0,"Empty",IF(COUNTA(A100,B100,C100,E100,F100,G100)&lt;6,"Partial","Complete"))</f>
        <v>Empty</v>
      </c>
    </row>
    <row r="105" customFormat="false" ht="21.75" hidden="false" customHeight="true" outlineLevel="0" collapsed="false">
      <c r="A105" s="21" t="s">
        <v>194</v>
      </c>
      <c r="B105" s="21"/>
      <c r="C105" s="21"/>
      <c r="D105" s="21"/>
    </row>
    <row r="106" customFormat="false" ht="14.25" hidden="false" customHeight="true" outlineLevel="0" collapsed="false">
      <c r="A106" s="9" t="s">
        <v>16</v>
      </c>
      <c r="B106" s="9" t="s">
        <v>18</v>
      </c>
      <c r="C106" s="9" t="s">
        <v>17</v>
      </c>
      <c r="D106" s="9"/>
    </row>
    <row r="107" customFormat="false" ht="21.75" hidden="false" customHeight="true" outlineLevel="0" collapsed="false">
      <c r="A107" s="10" t="s">
        <v>19</v>
      </c>
      <c r="B107" s="22" t="n">
        <f aca="false">COUNTIF(E5:E100,"Approved")</f>
        <v>0</v>
      </c>
      <c r="C107" s="11" t="s">
        <v>20</v>
      </c>
      <c r="D107" s="11"/>
    </row>
    <row r="108" customFormat="false" ht="21.75" hidden="false" customHeight="true" outlineLevel="0" collapsed="false">
      <c r="A108" s="10" t="s">
        <v>21</v>
      </c>
      <c r="B108" s="22" t="n">
        <f aca="false">COUNTIF(E5:E100,"Approved with comments")</f>
        <v>0</v>
      </c>
      <c r="C108" s="11" t="s">
        <v>195</v>
      </c>
      <c r="D108" s="11"/>
    </row>
    <row r="109" customFormat="false" ht="21.75" hidden="false" customHeight="true" outlineLevel="0" collapsed="false">
      <c r="A109" s="10" t="s">
        <v>23</v>
      </c>
      <c r="B109" s="22" t="n">
        <f aca="false">COUNTIF(E5:E100,"Pending")</f>
        <v>0</v>
      </c>
      <c r="C109" s="11" t="s">
        <v>24</v>
      </c>
      <c r="D109" s="11"/>
    </row>
    <row r="110" customFormat="false" ht="21.75" hidden="false" customHeight="true" outlineLevel="0" collapsed="false">
      <c r="A110" s="10" t="s">
        <v>25</v>
      </c>
      <c r="B110" s="22" t="n">
        <f aca="false">COUNTIF(E5:E100,"Rejected")</f>
        <v>0</v>
      </c>
      <c r="C110" s="11" t="s">
        <v>196</v>
      </c>
      <c r="D110" s="11"/>
    </row>
    <row r="111" customFormat="false" ht="21.75" hidden="false" customHeight="true" outlineLevel="0" collapsed="false">
      <c r="A111" s="10" t="s">
        <v>27</v>
      </c>
      <c r="B111" s="22" t="n">
        <f aca="false">COUNTIF(E5:E100,"Not needed")</f>
        <v>0</v>
      </c>
      <c r="C111" s="11" t="s">
        <v>28</v>
      </c>
      <c r="D111" s="11"/>
    </row>
    <row r="112" customFormat="false" ht="21.75" hidden="false" customHeight="true" outlineLevel="0" collapsed="false">
      <c r="A112" s="10" t="s">
        <v>197</v>
      </c>
      <c r="B112" s="22" t="n">
        <f aca="false">COUNTA(A5:A100)</f>
        <v>5</v>
      </c>
      <c r="C112" s="11" t="s">
        <v>198</v>
      </c>
      <c r="D112" s="11"/>
    </row>
  </sheetData>
  <mergeCells count="10">
    <mergeCell ref="A1:H1"/>
    <mergeCell ref="A2:H2"/>
    <mergeCell ref="A105:D105"/>
    <mergeCell ref="C106:D106"/>
    <mergeCell ref="C107:D107"/>
    <mergeCell ref="C108:D108"/>
    <mergeCell ref="C109:D109"/>
    <mergeCell ref="C110:D110"/>
    <mergeCell ref="C111:D111"/>
    <mergeCell ref="C112:D112"/>
  </mergeCells>
  <dataValidations count="1">
    <dataValidation allowBlank="false" errorStyle="stop" operator="between" showDropDown="false" showErrorMessage="false" showInputMessage="false" sqref="E5:E100" type="list">
      <formula1>"Approved,Approved with comments,Rejected,Pending,Not needed"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90"/>
  </cols>
  <sheetData>
    <row r="1" customFormat="false" ht="34.5" hidden="false" customHeight="true" outlineLevel="0" collapsed="false">
      <c r="A1" s="2" t="s">
        <v>199</v>
      </c>
      <c r="B1" s="2"/>
      <c r="C1" s="2"/>
      <c r="D1" s="2"/>
      <c r="E1" s="2"/>
      <c r="F1" s="2"/>
      <c r="G1" s="2"/>
      <c r="H1" s="2"/>
    </row>
    <row r="2" customFormat="false" ht="21" hidden="false" customHeight="true" outlineLevel="0" collapsed="false">
      <c r="A2" s="3" t="s">
        <v>200</v>
      </c>
      <c r="B2" s="3"/>
      <c r="C2" s="3"/>
      <c r="D2" s="3"/>
      <c r="E2" s="3"/>
      <c r="F2" s="3"/>
      <c r="G2" s="3"/>
      <c r="H2" s="3"/>
    </row>
    <row r="3" customFormat="false" ht="21" hidden="false" customHeight="true" outlineLevel="0" collapsed="false"/>
    <row r="4" customFormat="false" ht="33.75" hidden="false" customHeight="true" outlineLevel="0" collapsed="false">
      <c r="A4" s="4" t="s">
        <v>2</v>
      </c>
      <c r="B4" s="4" t="s">
        <v>3</v>
      </c>
      <c r="C4" s="4"/>
      <c r="D4" s="4"/>
      <c r="E4" s="4"/>
      <c r="F4" s="4"/>
      <c r="G4" s="4"/>
      <c r="H4" s="4"/>
    </row>
    <row r="5" customFormat="false" ht="21" hidden="false" customHeight="true" outlineLevel="0" collapsed="false">
      <c r="A5" s="5" t="s">
        <v>201</v>
      </c>
      <c r="B5" s="15"/>
    </row>
    <row r="6" customFormat="false" ht="21" hidden="false" customHeight="true" outlineLevel="0" collapsed="false">
      <c r="A6" s="5" t="s">
        <v>202</v>
      </c>
      <c r="B6" s="15"/>
    </row>
    <row r="7" customFormat="false" ht="21" hidden="false" customHeight="true" outlineLevel="0" collapsed="false">
      <c r="A7" s="5" t="s">
        <v>203</v>
      </c>
      <c r="B7" s="16" t="s">
        <v>204</v>
      </c>
    </row>
    <row r="8" customFormat="false" ht="21" hidden="false" customHeight="true" outlineLevel="0" collapsed="false">
      <c r="A8" s="5" t="s">
        <v>205</v>
      </c>
      <c r="B8" s="15"/>
    </row>
    <row r="9" customFormat="false" ht="21" hidden="false" customHeight="true" outlineLevel="0" collapsed="false">
      <c r="A9" s="5" t="s">
        <v>206</v>
      </c>
      <c r="B9" s="15"/>
    </row>
    <row r="10" customFormat="false" ht="21" hidden="false" customHeight="true" outlineLevel="0" collapsed="false">
      <c r="A10" s="5" t="s">
        <v>207</v>
      </c>
      <c r="B10" s="15"/>
    </row>
    <row r="11" customFormat="false" ht="21" hidden="false" customHeight="true" outlineLevel="0" collapsed="false">
      <c r="A11" s="5" t="s">
        <v>208</v>
      </c>
      <c r="B11" s="15"/>
    </row>
    <row r="12" customFormat="false" ht="21" hidden="false" customHeight="true" outlineLevel="0" collapsed="false">
      <c r="A12" s="5" t="s">
        <v>209</v>
      </c>
      <c r="B12" s="15"/>
    </row>
    <row r="13" customFormat="false" ht="21" hidden="false" customHeight="true" outlineLevel="0" collapsed="false">
      <c r="A13" s="5" t="s">
        <v>210</v>
      </c>
      <c r="B13" s="15"/>
    </row>
  </sheetData>
  <mergeCells count="2">
    <mergeCell ref="A1:H1"/>
    <mergeCell ref="A2:H2"/>
  </mergeCells>
  <dataValidations count="1">
    <dataValidation allowBlank="false" errorStyle="stop" operator="between" showDropDown="false" showErrorMessage="false" showInputMessage="false" sqref="B7" type="list">
      <formula1>"Green,Yellow,Red"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32"/>
    <col collapsed="false" customWidth="true" hidden="false" outlineLevel="0" max="3" min="3" style="1" width="42"/>
    <col collapsed="false" customWidth="true" hidden="false" outlineLevel="0" max="4" min="4" style="1" width="48"/>
  </cols>
  <sheetData>
    <row r="1" customFormat="false" ht="34.5" hidden="false" customHeight="true" outlineLevel="0" collapsed="false">
      <c r="A1" s="2" t="s">
        <v>211</v>
      </c>
      <c r="B1" s="2"/>
      <c r="C1" s="2"/>
      <c r="D1" s="2"/>
      <c r="E1" s="2"/>
      <c r="F1" s="2"/>
      <c r="G1" s="2"/>
      <c r="H1" s="2"/>
    </row>
    <row r="2" customFormat="false" ht="21" hidden="false" customHeight="true" outlineLevel="0" collapsed="false">
      <c r="A2" s="3" t="s">
        <v>212</v>
      </c>
      <c r="B2" s="3"/>
      <c r="C2" s="3"/>
      <c r="D2" s="3"/>
      <c r="E2" s="3"/>
      <c r="F2" s="3"/>
      <c r="G2" s="3"/>
      <c r="H2" s="3"/>
    </row>
    <row r="3" customFormat="false" ht="21" hidden="false" customHeight="true" outlineLevel="0" collapsed="false"/>
    <row r="4" customFormat="false" ht="33.75" hidden="false" customHeight="true" outlineLevel="0" collapsed="false">
      <c r="A4" s="4" t="s">
        <v>213</v>
      </c>
      <c r="B4" s="4" t="s">
        <v>214</v>
      </c>
      <c r="C4" s="4" t="s">
        <v>215</v>
      </c>
      <c r="D4" s="4" t="s">
        <v>216</v>
      </c>
      <c r="E4" s="17"/>
      <c r="F4" s="17"/>
      <c r="G4" s="17"/>
      <c r="H4" s="17"/>
    </row>
    <row r="5" customFormat="false" ht="21" hidden="false" customHeight="true" outlineLevel="0" collapsed="false">
      <c r="A5" s="14" t="s">
        <v>217</v>
      </c>
      <c r="B5" s="14" t="s">
        <v>218</v>
      </c>
      <c r="C5" s="15"/>
      <c r="D5" s="23" t="s">
        <v>219</v>
      </c>
      <c r="E5" s="17"/>
      <c r="F5" s="17"/>
      <c r="G5" s="17"/>
      <c r="H5" s="17"/>
    </row>
    <row r="6" customFormat="false" ht="21" hidden="false" customHeight="true" outlineLevel="0" collapsed="false">
      <c r="A6" s="14" t="s">
        <v>217</v>
      </c>
      <c r="B6" s="14" t="s">
        <v>220</v>
      </c>
      <c r="C6" s="15"/>
      <c r="D6" s="23" t="s">
        <v>221</v>
      </c>
      <c r="E6" s="17"/>
      <c r="F6" s="17"/>
      <c r="G6" s="17"/>
      <c r="H6" s="17"/>
    </row>
    <row r="7" customFormat="false" ht="21" hidden="false" customHeight="true" outlineLevel="0" collapsed="false">
      <c r="A7" s="14" t="s">
        <v>222</v>
      </c>
      <c r="B7" s="14" t="s">
        <v>223</v>
      </c>
      <c r="C7" s="15"/>
      <c r="D7" s="23" t="s">
        <v>224</v>
      </c>
      <c r="E7" s="17"/>
      <c r="F7" s="17"/>
      <c r="G7" s="17"/>
      <c r="H7" s="17"/>
    </row>
    <row r="8" customFormat="false" ht="21" hidden="false" customHeight="true" outlineLevel="0" collapsed="false">
      <c r="A8" s="14" t="s">
        <v>222</v>
      </c>
      <c r="B8" s="14" t="s">
        <v>225</v>
      </c>
      <c r="C8" s="15"/>
      <c r="D8" s="23" t="s">
        <v>226</v>
      </c>
      <c r="E8" s="17"/>
      <c r="F8" s="17"/>
      <c r="G8" s="17"/>
      <c r="H8" s="17"/>
    </row>
    <row r="9" customFormat="false" ht="21" hidden="false" customHeight="true" outlineLevel="0" collapsed="false">
      <c r="A9" s="14" t="s">
        <v>227</v>
      </c>
      <c r="B9" s="14" t="s">
        <v>228</v>
      </c>
      <c r="C9" s="15"/>
      <c r="D9" s="23" t="s">
        <v>229</v>
      </c>
      <c r="E9" s="17"/>
      <c r="F9" s="17"/>
      <c r="G9" s="17"/>
      <c r="H9" s="17"/>
    </row>
    <row r="10" customFormat="false" ht="21" hidden="false" customHeight="true" outlineLevel="0" collapsed="false">
      <c r="A10" s="14" t="s">
        <v>227</v>
      </c>
      <c r="B10" s="14" t="s">
        <v>230</v>
      </c>
      <c r="C10" s="15"/>
      <c r="D10" s="23" t="s">
        <v>231</v>
      </c>
      <c r="E10" s="17"/>
      <c r="F10" s="17"/>
      <c r="G10" s="17"/>
      <c r="H10" s="17"/>
    </row>
    <row r="11" customFormat="false" ht="21" hidden="false" customHeight="true" outlineLevel="0" collapsed="false">
      <c r="A11" s="14" t="s">
        <v>232</v>
      </c>
      <c r="B11" s="14" t="s">
        <v>233</v>
      </c>
      <c r="C11" s="15"/>
      <c r="D11" s="23" t="s">
        <v>234</v>
      </c>
      <c r="E11" s="17"/>
      <c r="F11" s="17"/>
      <c r="G11" s="17"/>
      <c r="H11" s="17"/>
    </row>
    <row r="12" customFormat="false" ht="21" hidden="false" customHeight="true" outlineLevel="0" collapsed="false">
      <c r="A12" s="14" t="s">
        <v>232</v>
      </c>
      <c r="B12" s="14" t="s">
        <v>235</v>
      </c>
      <c r="C12" s="15"/>
      <c r="D12" s="23" t="s">
        <v>236</v>
      </c>
      <c r="E12" s="17"/>
      <c r="F12" s="17"/>
      <c r="G12" s="17"/>
      <c r="H12" s="17"/>
    </row>
    <row r="13" customFormat="false" ht="21" hidden="false" customHeight="true" outlineLevel="0" collapsed="false">
      <c r="A13" s="14" t="s">
        <v>237</v>
      </c>
      <c r="B13" s="14" t="s">
        <v>238</v>
      </c>
      <c r="C13" s="15"/>
      <c r="D13" s="23" t="s">
        <v>239</v>
      </c>
      <c r="E13" s="17"/>
      <c r="F13" s="17"/>
      <c r="G13" s="17"/>
      <c r="H13" s="17"/>
    </row>
    <row r="14" customFormat="false" ht="13.5" hidden="false" customHeight="true" outlineLevel="0" collapsed="false">
      <c r="A14" s="17"/>
      <c r="B14" s="17"/>
      <c r="C14" s="17"/>
      <c r="D14" s="17"/>
      <c r="E14" s="17"/>
      <c r="F14" s="17"/>
      <c r="G14" s="17"/>
      <c r="H14" s="17"/>
    </row>
    <row r="15" customFormat="false" ht="13.5" hidden="false" customHeight="true" outlineLevel="0" collapsed="false">
      <c r="A15" s="17"/>
      <c r="B15" s="17"/>
      <c r="C15" s="17"/>
      <c r="D15" s="17"/>
      <c r="E15" s="17"/>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3.5" zeroHeight="false" outlineLevelRow="0" outlineLevelCol="0"/>
  <cols>
    <col collapsed="false" customWidth="true" hidden="false" outlineLevel="0" max="1" min="1" style="1" width="21.83"/>
    <col collapsed="false" customWidth="true" hidden="false" outlineLevel="0" max="2" min="2" style="1" width="18"/>
    <col collapsed="false" customWidth="true" hidden="false" outlineLevel="0" max="3" min="3" style="1" width="24"/>
    <col collapsed="false" customWidth="true" hidden="false" outlineLevel="0" max="4" min="4" style="1" width="36"/>
    <col collapsed="false" customWidth="true" hidden="false" outlineLevel="0" max="5" min="5" style="1" width="54"/>
    <col collapsed="false" customWidth="true" hidden="false" outlineLevel="0" max="6" min="6" style="1" width="20"/>
    <col collapsed="false" customWidth="true" hidden="false" outlineLevel="0" max="7" min="7" style="1" width="36"/>
  </cols>
  <sheetData>
    <row r="1" customFormat="false" ht="34.5" hidden="false" customHeight="true" outlineLevel="0" collapsed="false">
      <c r="A1" s="2" t="s">
        <v>240</v>
      </c>
      <c r="B1" s="2"/>
      <c r="C1" s="2"/>
      <c r="D1" s="2"/>
      <c r="E1" s="2"/>
      <c r="F1" s="2"/>
      <c r="G1" s="2"/>
      <c r="H1" s="2"/>
    </row>
    <row r="2" customFormat="false" ht="21" hidden="false" customHeight="true" outlineLevel="0" collapsed="false">
      <c r="A2" s="3" t="s">
        <v>241</v>
      </c>
      <c r="B2" s="3"/>
      <c r="C2" s="3"/>
      <c r="D2" s="3"/>
      <c r="E2" s="3"/>
      <c r="F2" s="3"/>
      <c r="G2" s="3"/>
      <c r="H2" s="3"/>
    </row>
    <row r="3" customFormat="false" ht="21" hidden="false" customHeight="true" outlineLevel="0" collapsed="false"/>
    <row r="4" s="19" customFormat="true" ht="33.75" hidden="false" customHeight="true" outlineLevel="0" collapsed="false">
      <c r="A4" s="4" t="s">
        <v>242</v>
      </c>
      <c r="B4" s="4" t="s">
        <v>243</v>
      </c>
      <c r="C4" s="4" t="s">
        <v>244</v>
      </c>
      <c r="D4" s="4" t="s">
        <v>245</v>
      </c>
      <c r="E4" s="4" t="s">
        <v>246</v>
      </c>
      <c r="F4" s="4" t="s">
        <v>247</v>
      </c>
      <c r="G4" s="4" t="s">
        <v>50</v>
      </c>
      <c r="H4" s="18"/>
    </row>
    <row r="5" customFormat="false" ht="33.75" hidden="false" customHeight="true" outlineLevel="0" collapsed="false">
      <c r="A5" s="14" t="s">
        <v>248</v>
      </c>
      <c r="B5" s="14" t="s">
        <v>60</v>
      </c>
      <c r="C5" s="14" t="s">
        <v>91</v>
      </c>
      <c r="D5" s="14" t="s">
        <v>249</v>
      </c>
      <c r="E5" s="14" t="s">
        <v>250</v>
      </c>
      <c r="F5" s="15"/>
      <c r="G5" s="15"/>
      <c r="H5" s="17"/>
    </row>
    <row r="6" customFormat="false" ht="33.75" hidden="false" customHeight="true" outlineLevel="0" collapsed="false">
      <c r="A6" s="14" t="s">
        <v>251</v>
      </c>
      <c r="B6" s="14" t="s">
        <v>60</v>
      </c>
      <c r="C6" s="14" t="s">
        <v>91</v>
      </c>
      <c r="D6" s="14" t="s">
        <v>252</v>
      </c>
      <c r="E6" s="14" t="s">
        <v>253</v>
      </c>
      <c r="F6" s="15"/>
      <c r="G6" s="15"/>
      <c r="H6" s="17"/>
    </row>
    <row r="7" customFormat="false" ht="33.75" hidden="false" customHeight="true" outlineLevel="0" collapsed="false">
      <c r="A7" s="14" t="s">
        <v>254</v>
      </c>
      <c r="B7" s="14" t="s">
        <v>60</v>
      </c>
      <c r="C7" s="14" t="s">
        <v>255</v>
      </c>
      <c r="D7" s="14" t="s">
        <v>256</v>
      </c>
      <c r="E7" s="14" t="s">
        <v>257</v>
      </c>
      <c r="F7" s="15"/>
      <c r="G7" s="15"/>
      <c r="H7" s="17"/>
    </row>
    <row r="8" customFormat="false" ht="33.75" hidden="false" customHeight="true" outlineLevel="0" collapsed="false">
      <c r="A8" s="14" t="s">
        <v>258</v>
      </c>
      <c r="B8" s="14" t="s">
        <v>124</v>
      </c>
      <c r="C8" s="14" t="s">
        <v>259</v>
      </c>
      <c r="D8" s="14" t="s">
        <v>260</v>
      </c>
      <c r="E8" s="14" t="s">
        <v>261</v>
      </c>
      <c r="F8" s="15"/>
      <c r="G8" s="15"/>
      <c r="H8" s="17"/>
    </row>
    <row r="9" customFormat="false" ht="33.75" hidden="false" customHeight="true" outlineLevel="0" collapsed="false">
      <c r="A9" s="14" t="s">
        <v>262</v>
      </c>
      <c r="B9" s="14" t="s">
        <v>108</v>
      </c>
      <c r="C9" s="14" t="s">
        <v>263</v>
      </c>
      <c r="D9" s="14" t="s">
        <v>264</v>
      </c>
      <c r="E9" s="14" t="s">
        <v>265</v>
      </c>
      <c r="F9" s="15"/>
      <c r="G9" s="15"/>
      <c r="H9" s="17"/>
    </row>
    <row r="10" customFormat="false" ht="33.75" hidden="false" customHeight="true" outlineLevel="0" collapsed="false">
      <c r="A10" s="14" t="s">
        <v>266</v>
      </c>
      <c r="B10" s="14" t="s">
        <v>124</v>
      </c>
      <c r="C10" s="14" t="s">
        <v>267</v>
      </c>
      <c r="D10" s="14" t="s">
        <v>268</v>
      </c>
      <c r="E10" s="14" t="s">
        <v>269</v>
      </c>
      <c r="F10" s="15"/>
      <c r="G10" s="15"/>
      <c r="H10" s="17"/>
    </row>
    <row r="11" customFormat="false" ht="33.75" hidden="false" customHeight="true" outlineLevel="0" collapsed="false">
      <c r="A11" s="14" t="s">
        <v>270</v>
      </c>
      <c r="B11" s="14" t="s">
        <v>271</v>
      </c>
      <c r="C11" s="14" t="s">
        <v>272</v>
      </c>
      <c r="D11" s="14" t="s">
        <v>273</v>
      </c>
      <c r="E11" s="14" t="s">
        <v>274</v>
      </c>
      <c r="F11" s="15"/>
      <c r="G11" s="15"/>
      <c r="H11" s="17"/>
    </row>
    <row r="12" customFormat="false" ht="33.75" hidden="false" customHeight="true" outlineLevel="0" collapsed="false">
      <c r="A12" s="14" t="s">
        <v>275</v>
      </c>
      <c r="B12" s="14" t="s">
        <v>60</v>
      </c>
      <c r="C12" s="14" t="s">
        <v>91</v>
      </c>
      <c r="D12" s="14" t="s">
        <v>276</v>
      </c>
      <c r="E12" s="14" t="s">
        <v>277</v>
      </c>
      <c r="F12" s="15"/>
      <c r="G12" s="15"/>
      <c r="H12" s="17"/>
    </row>
    <row r="13" customFormat="false" ht="33.75" hidden="false" customHeight="true" outlineLevel="0" collapsed="false">
      <c r="A13" s="14" t="s">
        <v>278</v>
      </c>
      <c r="B13" s="14" t="s">
        <v>60</v>
      </c>
      <c r="C13" s="14" t="s">
        <v>91</v>
      </c>
      <c r="D13" s="14" t="s">
        <v>279</v>
      </c>
      <c r="E13" s="14" t="s">
        <v>280</v>
      </c>
      <c r="F13" s="17"/>
      <c r="G13" s="17"/>
      <c r="H13" s="17"/>
    </row>
    <row r="14" customFormat="false" ht="33.75" hidden="false" customHeight="true" outlineLevel="0" collapsed="false">
      <c r="A14" s="14" t="s">
        <v>281</v>
      </c>
      <c r="B14" s="14" t="s">
        <v>60</v>
      </c>
      <c r="C14" s="14" t="s">
        <v>91</v>
      </c>
      <c r="D14" s="14" t="s">
        <v>282</v>
      </c>
      <c r="E14" s="14" t="s">
        <v>283</v>
      </c>
      <c r="F14" s="17"/>
      <c r="G14" s="17"/>
      <c r="H14" s="17"/>
    </row>
    <row r="15" customFormat="false" ht="33.75" hidden="false" customHeight="true" outlineLevel="0" collapsed="false">
      <c r="A15" s="14" t="s">
        <v>284</v>
      </c>
      <c r="B15" s="14" t="s">
        <v>60</v>
      </c>
      <c r="C15" s="14" t="s">
        <v>91</v>
      </c>
      <c r="D15" s="14" t="s">
        <v>285</v>
      </c>
      <c r="E15" s="14" t="s">
        <v>286</v>
      </c>
      <c r="F15" s="17"/>
      <c r="G15" s="17"/>
      <c r="H15" s="17"/>
    </row>
    <row r="16" customFormat="false" ht="13.5" hidden="false" customHeight="true" outlineLevel="0" collapsed="false">
      <c r="A16" s="17"/>
      <c r="B16" s="17"/>
      <c r="C16" s="17"/>
      <c r="D16" s="17"/>
      <c r="E16" s="17"/>
      <c r="F16" s="17"/>
      <c r="G16" s="17"/>
      <c r="H16" s="17"/>
    </row>
    <row r="17" customFormat="false" ht="13.5" hidden="false" customHeight="true" outlineLevel="0" collapsed="false">
      <c r="A17" s="17"/>
      <c r="B17" s="17"/>
      <c r="C17" s="17"/>
      <c r="D17" s="17"/>
      <c r="E17" s="17"/>
      <c r="F17" s="17"/>
      <c r="G17" s="17"/>
      <c r="H17" s="17"/>
    </row>
    <row r="18" customFormat="false" ht="13.5" hidden="false" customHeight="true" outlineLevel="0" collapsed="false">
      <c r="A18" s="17"/>
      <c r="B18" s="17"/>
      <c r="C18" s="17"/>
      <c r="D18" s="17"/>
      <c r="E18" s="17"/>
      <c r="F18" s="17"/>
      <c r="G18" s="17"/>
      <c r="H18" s="17"/>
    </row>
    <row r="19" customFormat="false" ht="13.5" hidden="false" customHeight="true" outlineLevel="0" collapsed="false">
      <c r="A19" s="17"/>
      <c r="B19" s="17"/>
      <c r="C19" s="17"/>
      <c r="D19" s="17"/>
      <c r="E19" s="17"/>
      <c r="F19" s="17"/>
      <c r="G19" s="17"/>
      <c r="H19" s="17"/>
    </row>
    <row r="20" customFormat="false" ht="13.5" hidden="false" customHeight="true" outlineLevel="0" collapsed="false">
      <c r="A20" s="17"/>
      <c r="B20" s="17"/>
      <c r="C20" s="17"/>
      <c r="D20" s="17"/>
      <c r="E20" s="17"/>
      <c r="F20" s="17"/>
      <c r="G20" s="17"/>
      <c r="H20" s="17"/>
    </row>
    <row r="21" customFormat="false" ht="13.5" hidden="false" customHeight="true" outlineLevel="0" collapsed="false">
      <c r="A21" s="17"/>
      <c r="B21" s="17"/>
      <c r="C21" s="17"/>
      <c r="D21" s="17"/>
      <c r="E21" s="17"/>
      <c r="F21" s="17"/>
      <c r="G21" s="17"/>
      <c r="H21" s="17"/>
    </row>
    <row r="22" customFormat="false" ht="13.5" hidden="false" customHeight="true" outlineLevel="0" collapsed="false">
      <c r="A22" s="17"/>
      <c r="B22" s="17"/>
      <c r="C22" s="17"/>
      <c r="D22" s="17"/>
      <c r="E22" s="17"/>
      <c r="F22" s="17"/>
      <c r="G22" s="17"/>
      <c r="H22" s="17"/>
    </row>
    <row r="23" customFormat="false" ht="13.5" hidden="false" customHeight="true" outlineLevel="0" collapsed="false">
      <c r="A23" s="17"/>
      <c r="B23" s="17"/>
      <c r="C23" s="17"/>
      <c r="D23" s="17"/>
      <c r="E23" s="17"/>
      <c r="F23" s="17"/>
      <c r="G23" s="17"/>
      <c r="H23" s="17"/>
    </row>
    <row r="24" customFormat="false" ht="13.5" hidden="false" customHeight="true" outlineLevel="0" collapsed="false">
      <c r="A24" s="17"/>
      <c r="B24" s="17"/>
      <c r="C24" s="17"/>
      <c r="D24" s="17"/>
      <c r="E24" s="17"/>
      <c r="F24" s="17"/>
      <c r="G24" s="17"/>
      <c r="H24" s="17"/>
    </row>
    <row r="25" customFormat="false" ht="13.5" hidden="false" customHeight="true" outlineLevel="0" collapsed="false">
      <c r="A25" s="17"/>
      <c r="B25" s="17"/>
      <c r="C25" s="17"/>
      <c r="D25" s="17"/>
      <c r="E25" s="17"/>
      <c r="F25" s="17"/>
      <c r="G25" s="17"/>
      <c r="H25" s="17"/>
    </row>
    <row r="26" customFormat="false" ht="13.5" hidden="false" customHeight="true" outlineLevel="0" collapsed="false">
      <c r="A26" s="17"/>
      <c r="B26" s="17"/>
      <c r="C26" s="17"/>
      <c r="D26" s="17"/>
      <c r="E26" s="17"/>
      <c r="F26" s="17"/>
      <c r="G26" s="17"/>
      <c r="H26" s="17"/>
    </row>
    <row r="27" customFormat="false" ht="13.5" hidden="false" customHeight="true" outlineLevel="0" collapsed="false">
      <c r="A27" s="17"/>
      <c r="B27" s="17"/>
      <c r="C27" s="17"/>
      <c r="D27" s="17"/>
      <c r="E27" s="17"/>
      <c r="F27" s="17"/>
      <c r="G27" s="17"/>
      <c r="H27" s="17"/>
    </row>
    <row r="28" customFormat="false" ht="13.5" hidden="false" customHeight="true" outlineLevel="0" collapsed="false">
      <c r="A28" s="17"/>
      <c r="B28" s="17"/>
      <c r="C28" s="17"/>
      <c r="D28" s="17"/>
      <c r="E28" s="17"/>
      <c r="F28" s="17"/>
      <c r="G28" s="17"/>
      <c r="H28" s="17"/>
    </row>
    <row r="29" customFormat="false" ht="13.5" hidden="false" customHeight="true" outlineLevel="0" collapsed="false">
      <c r="A29" s="17"/>
      <c r="B29" s="17"/>
      <c r="C29" s="17"/>
      <c r="D29" s="17"/>
      <c r="E29" s="17"/>
      <c r="F29" s="17"/>
      <c r="G29" s="17"/>
      <c r="H29" s="17"/>
    </row>
    <row r="30" customFormat="false" ht="13.5" hidden="false" customHeight="true" outlineLevel="0" collapsed="false">
      <c r="A30" s="17"/>
      <c r="B30" s="17"/>
      <c r="C30" s="17"/>
      <c r="D30" s="17"/>
      <c r="E30" s="17"/>
      <c r="F30" s="17"/>
      <c r="G30" s="17"/>
      <c r="H30" s="17"/>
    </row>
    <row r="31" customFormat="false" ht="13.5" hidden="false" customHeight="true" outlineLevel="0" collapsed="false">
      <c r="A31" s="17"/>
      <c r="B31" s="17"/>
      <c r="C31" s="17"/>
      <c r="D31" s="17"/>
      <c r="E31" s="17"/>
      <c r="F31" s="17"/>
      <c r="G31" s="17"/>
      <c r="H31" s="17"/>
    </row>
    <row r="32" customFormat="false" ht="13.5" hidden="false" customHeight="true" outlineLevel="0" collapsed="false">
      <c r="A32" s="17"/>
      <c r="B32" s="17"/>
      <c r="C32" s="17"/>
      <c r="D32" s="17"/>
      <c r="E32" s="17"/>
      <c r="F32" s="17"/>
      <c r="G32" s="17"/>
      <c r="H32" s="17"/>
    </row>
    <row r="33" customFormat="false" ht="13.5" hidden="false" customHeight="true" outlineLevel="0" collapsed="false">
      <c r="A33" s="17"/>
      <c r="B33" s="17"/>
      <c r="C33" s="17"/>
      <c r="D33" s="17"/>
      <c r="E33" s="17"/>
      <c r="F33" s="17"/>
      <c r="G33" s="17"/>
      <c r="H33" s="17"/>
    </row>
    <row r="34" customFormat="false" ht="13.5" hidden="false" customHeight="true" outlineLevel="0" collapsed="false">
      <c r="A34" s="17"/>
      <c r="B34" s="17"/>
      <c r="C34" s="17"/>
      <c r="D34" s="17"/>
      <c r="E34" s="17"/>
      <c r="F34" s="17"/>
      <c r="G34" s="17"/>
      <c r="H34" s="17"/>
    </row>
    <row r="35" customFormat="false" ht="13.5" hidden="false" customHeight="true" outlineLevel="0" collapsed="false">
      <c r="A35" s="17"/>
      <c r="B35" s="17"/>
      <c r="C35" s="17"/>
      <c r="D35" s="17"/>
      <c r="E35" s="17"/>
      <c r="F35" s="17"/>
      <c r="G35" s="17"/>
      <c r="H35" s="17"/>
    </row>
    <row r="36" customFormat="false" ht="13.5" hidden="false" customHeight="true" outlineLevel="0" collapsed="false">
      <c r="A36" s="17"/>
      <c r="B36" s="17"/>
      <c r="C36" s="17"/>
      <c r="D36" s="17"/>
      <c r="E36" s="17"/>
      <c r="F36" s="17"/>
      <c r="G36" s="17"/>
      <c r="H36" s="17"/>
    </row>
    <row r="37" customFormat="false" ht="13.5" hidden="false" customHeight="true" outlineLevel="0" collapsed="false">
      <c r="A37" s="17"/>
      <c r="B37" s="17"/>
      <c r="C37" s="17"/>
      <c r="D37" s="17"/>
      <c r="E37" s="17"/>
      <c r="F37" s="17"/>
      <c r="G37" s="17"/>
      <c r="H37" s="17"/>
    </row>
    <row r="38" customFormat="false" ht="13.5" hidden="false" customHeight="true" outlineLevel="0" collapsed="false">
      <c r="A38" s="17"/>
      <c r="B38" s="17"/>
      <c r="C38" s="17"/>
      <c r="D38" s="17"/>
      <c r="E38" s="17"/>
      <c r="F38" s="17"/>
      <c r="G38" s="17"/>
      <c r="H38" s="17"/>
    </row>
    <row r="39" customFormat="false" ht="13.5" hidden="false" customHeight="true" outlineLevel="0" collapsed="false">
      <c r="A39" s="17"/>
      <c r="B39" s="17"/>
      <c r="C39" s="17"/>
      <c r="D39" s="17"/>
      <c r="E39" s="17"/>
      <c r="F39" s="17"/>
      <c r="G39" s="17"/>
      <c r="H39" s="17"/>
    </row>
    <row r="40" customFormat="false" ht="13.5" hidden="false" customHeight="true" outlineLevel="0" collapsed="false">
      <c r="A40" s="17"/>
      <c r="B40" s="17"/>
      <c r="C40" s="17"/>
      <c r="D40" s="17"/>
      <c r="E40" s="17"/>
      <c r="F40" s="17"/>
      <c r="G40" s="17"/>
      <c r="H40" s="17"/>
    </row>
    <row r="41" customFormat="false" ht="13.5" hidden="false" customHeight="true" outlineLevel="0" collapsed="false">
      <c r="A41" s="17"/>
      <c r="B41" s="17"/>
      <c r="C41" s="17"/>
      <c r="D41" s="17"/>
      <c r="E41" s="17"/>
      <c r="F41" s="17"/>
      <c r="G41" s="17"/>
      <c r="H41" s="17"/>
    </row>
    <row r="42" customFormat="false" ht="13.5" hidden="false" customHeight="true" outlineLevel="0" collapsed="false">
      <c r="A42" s="17"/>
      <c r="B42" s="17"/>
      <c r="C42" s="17"/>
      <c r="D42" s="17"/>
      <c r="E42" s="17"/>
      <c r="F42" s="17"/>
      <c r="G42" s="17"/>
      <c r="H42" s="17"/>
    </row>
    <row r="43" customFormat="false" ht="13.5" hidden="false" customHeight="true" outlineLevel="0" collapsed="false">
      <c r="A43" s="17"/>
      <c r="B43" s="17"/>
      <c r="C43" s="17"/>
      <c r="D43" s="17"/>
      <c r="E43" s="17"/>
      <c r="F43" s="17"/>
      <c r="G43" s="17"/>
      <c r="H43" s="17"/>
    </row>
    <row r="44" customFormat="false" ht="13.5" hidden="false" customHeight="true" outlineLevel="0" collapsed="false">
      <c r="A44" s="17"/>
      <c r="B44" s="17"/>
      <c r="C44" s="17"/>
      <c r="D44" s="17"/>
      <c r="E44" s="17"/>
      <c r="F44" s="17"/>
      <c r="G44" s="17"/>
      <c r="H44" s="17"/>
    </row>
    <row r="45" customFormat="false" ht="13.5" hidden="false" customHeight="true" outlineLevel="0" collapsed="false">
      <c r="A45" s="17"/>
      <c r="B45" s="17"/>
      <c r="C45" s="17"/>
      <c r="D45" s="17"/>
      <c r="E45" s="17"/>
      <c r="F45" s="17"/>
      <c r="G45" s="17"/>
      <c r="H45" s="17"/>
    </row>
    <row r="46" customFormat="false" ht="13.5" hidden="false" customHeight="true" outlineLevel="0" collapsed="false">
      <c r="A46" s="17"/>
      <c r="B46" s="17"/>
      <c r="C46" s="17"/>
      <c r="D46" s="17"/>
      <c r="E46" s="17"/>
      <c r="F46" s="17"/>
      <c r="G46" s="17"/>
      <c r="H46" s="17"/>
    </row>
    <row r="47" customFormat="false" ht="13.5" hidden="false" customHeight="true" outlineLevel="0" collapsed="false">
      <c r="A47" s="17"/>
      <c r="B47" s="17"/>
      <c r="C47" s="17"/>
      <c r="D47" s="17"/>
      <c r="E47" s="17"/>
      <c r="F47" s="17"/>
      <c r="G47" s="17"/>
      <c r="H47" s="17"/>
    </row>
    <row r="48" customFormat="false" ht="13.5" hidden="false" customHeight="true" outlineLevel="0" collapsed="false">
      <c r="A48" s="17"/>
      <c r="B48" s="17"/>
      <c r="C48" s="17"/>
      <c r="D48" s="17"/>
      <c r="E48" s="17"/>
      <c r="F48" s="17"/>
      <c r="G48" s="17"/>
      <c r="H48" s="17"/>
    </row>
    <row r="49" customFormat="false" ht="13.5" hidden="false" customHeight="true" outlineLevel="0" collapsed="false">
      <c r="A49" s="17"/>
      <c r="B49" s="17"/>
      <c r="C49" s="17"/>
      <c r="D49" s="17"/>
      <c r="E49" s="17"/>
      <c r="F49" s="17"/>
      <c r="G49" s="17"/>
      <c r="H49" s="17"/>
    </row>
    <row r="50" customFormat="false" ht="13.5" hidden="false" customHeight="true" outlineLevel="0" collapsed="false">
      <c r="A50" s="17"/>
      <c r="B50" s="17"/>
      <c r="C50" s="17"/>
      <c r="D50" s="17"/>
      <c r="E50" s="17"/>
      <c r="F50" s="17"/>
      <c r="G50" s="17"/>
      <c r="H50" s="17"/>
    </row>
    <row r="51" customFormat="false" ht="13.5" hidden="false" customHeight="true" outlineLevel="0" collapsed="false">
      <c r="A51" s="17"/>
      <c r="B51" s="17"/>
      <c r="C51" s="17"/>
      <c r="D51" s="17"/>
      <c r="E51" s="17"/>
      <c r="F51" s="17"/>
      <c r="G51" s="17"/>
      <c r="H51" s="17"/>
    </row>
    <row r="52" customFormat="false" ht="13.5" hidden="false" customHeight="true" outlineLevel="0" collapsed="false">
      <c r="A52" s="17"/>
      <c r="B52" s="17"/>
      <c r="C52" s="17"/>
      <c r="D52" s="17"/>
      <c r="E52" s="17"/>
      <c r="F52" s="17"/>
      <c r="G52" s="17"/>
      <c r="H52" s="17"/>
    </row>
    <row r="53" customFormat="false" ht="13.5" hidden="false" customHeight="true" outlineLevel="0" collapsed="false">
      <c r="A53" s="17"/>
      <c r="B53" s="17"/>
      <c r="C53" s="17"/>
      <c r="D53" s="17"/>
      <c r="E53" s="17"/>
      <c r="F53" s="17"/>
      <c r="G53" s="17"/>
      <c r="H53" s="17"/>
    </row>
    <row r="54" customFormat="false" ht="13.5" hidden="false" customHeight="true" outlineLevel="0" collapsed="false">
      <c r="A54" s="17"/>
      <c r="B54" s="17"/>
      <c r="C54" s="17"/>
      <c r="D54" s="17"/>
      <c r="E54" s="17"/>
      <c r="F54" s="17"/>
      <c r="G54" s="17"/>
      <c r="H54" s="17"/>
    </row>
    <row r="55" customFormat="false" ht="13.5" hidden="false" customHeight="true" outlineLevel="0" collapsed="false">
      <c r="A55" s="17"/>
      <c r="B55" s="17"/>
      <c r="C55" s="17"/>
      <c r="D55" s="17"/>
      <c r="E55" s="17"/>
      <c r="F55" s="17"/>
      <c r="G55" s="17"/>
      <c r="H55" s="17"/>
    </row>
    <row r="56" customFormat="false" ht="13.5" hidden="false" customHeight="true" outlineLevel="0" collapsed="false">
      <c r="A56" s="17"/>
      <c r="B56" s="17"/>
      <c r="C56" s="17"/>
      <c r="D56" s="17"/>
      <c r="E56" s="17"/>
      <c r="F56" s="17"/>
      <c r="G56" s="17"/>
      <c r="H56" s="17"/>
    </row>
    <row r="57" customFormat="false" ht="13.5" hidden="false" customHeight="true" outlineLevel="0" collapsed="false">
      <c r="A57" s="17"/>
      <c r="B57" s="17"/>
      <c r="C57" s="17"/>
      <c r="D57" s="17"/>
      <c r="E57" s="17"/>
      <c r="F57" s="17"/>
      <c r="G57" s="17"/>
      <c r="H57" s="17"/>
    </row>
    <row r="58" customFormat="false" ht="13.5" hidden="false" customHeight="true" outlineLevel="0" collapsed="false">
      <c r="A58" s="17"/>
      <c r="B58" s="17"/>
      <c r="C58" s="17"/>
      <c r="D58" s="17"/>
      <c r="E58" s="17"/>
      <c r="F58" s="17"/>
      <c r="G58" s="17"/>
      <c r="H58" s="17"/>
    </row>
    <row r="59" customFormat="false" ht="13.5" hidden="false" customHeight="true" outlineLevel="0" collapsed="false">
      <c r="A59" s="17"/>
      <c r="B59" s="17"/>
      <c r="C59" s="17"/>
      <c r="D59" s="17"/>
      <c r="E59" s="17"/>
      <c r="F59" s="17"/>
      <c r="G59" s="17"/>
      <c r="H59" s="17"/>
    </row>
    <row r="60" customFormat="false" ht="13.5" hidden="false" customHeight="true" outlineLevel="0" collapsed="false">
      <c r="A60" s="17"/>
      <c r="B60" s="17"/>
      <c r="C60" s="17"/>
      <c r="D60" s="17"/>
      <c r="E60" s="17"/>
      <c r="F60" s="17"/>
      <c r="G60" s="17"/>
      <c r="H60" s="17"/>
    </row>
    <row r="61" customFormat="false" ht="13.5" hidden="false" customHeight="true" outlineLevel="0" collapsed="false">
      <c r="A61" s="17"/>
      <c r="B61" s="17"/>
      <c r="C61" s="17"/>
      <c r="D61" s="17"/>
      <c r="E61" s="17"/>
      <c r="F61" s="17"/>
      <c r="G61" s="17"/>
      <c r="H61" s="17"/>
    </row>
    <row r="62" customFormat="false" ht="13.5" hidden="false" customHeight="true" outlineLevel="0" collapsed="false">
      <c r="A62" s="17"/>
      <c r="B62" s="17"/>
      <c r="C62" s="17"/>
      <c r="D62" s="17"/>
      <c r="E62" s="17"/>
      <c r="F62" s="17"/>
      <c r="G62" s="17"/>
      <c r="H62" s="17"/>
    </row>
    <row r="63" customFormat="false" ht="13.5" hidden="false" customHeight="true" outlineLevel="0" collapsed="false">
      <c r="A63" s="17"/>
      <c r="B63" s="17"/>
      <c r="C63" s="17"/>
      <c r="D63" s="17"/>
      <c r="E63" s="17"/>
      <c r="F63" s="17"/>
      <c r="G63" s="17"/>
      <c r="H63" s="17"/>
    </row>
    <row r="64" customFormat="false" ht="13.5" hidden="false" customHeight="true" outlineLevel="0" collapsed="false">
      <c r="A64" s="17"/>
      <c r="B64" s="17"/>
      <c r="C64" s="17"/>
      <c r="D64" s="17"/>
      <c r="E64" s="17"/>
      <c r="F64" s="17"/>
      <c r="G64" s="17"/>
      <c r="H64" s="17"/>
    </row>
    <row r="65" customFormat="false" ht="13.5" hidden="false" customHeight="true" outlineLevel="0" collapsed="false">
      <c r="A65" s="17"/>
      <c r="B65" s="17"/>
      <c r="C65" s="17"/>
      <c r="D65" s="17"/>
      <c r="E65" s="17"/>
      <c r="F65" s="17"/>
      <c r="G65" s="17"/>
      <c r="H65" s="17"/>
    </row>
    <row r="66" customFormat="false" ht="13.5" hidden="false" customHeight="true" outlineLevel="0" collapsed="false">
      <c r="A66" s="17"/>
      <c r="B66" s="17"/>
      <c r="C66" s="17"/>
      <c r="D66" s="17"/>
      <c r="E66" s="17"/>
      <c r="F66" s="17"/>
      <c r="G66" s="17"/>
      <c r="H66" s="17"/>
    </row>
    <row r="67" customFormat="false" ht="13.5" hidden="false" customHeight="true" outlineLevel="0" collapsed="false">
      <c r="A67" s="17"/>
      <c r="B67" s="17"/>
      <c r="C67" s="17"/>
      <c r="D67" s="17"/>
      <c r="E67" s="17"/>
      <c r="F67" s="17"/>
      <c r="G67" s="17"/>
      <c r="H67" s="17"/>
    </row>
    <row r="68" customFormat="false" ht="13.5" hidden="false" customHeight="true" outlineLevel="0" collapsed="false">
      <c r="A68" s="17"/>
      <c r="B68" s="17"/>
      <c r="C68" s="17"/>
      <c r="D68" s="17"/>
      <c r="E68" s="17"/>
      <c r="F68" s="17"/>
      <c r="G68" s="17"/>
      <c r="H68" s="17"/>
    </row>
    <row r="69" customFormat="false" ht="13.5" hidden="false" customHeight="true" outlineLevel="0" collapsed="false">
      <c r="A69" s="17"/>
      <c r="B69" s="17"/>
      <c r="C69" s="17"/>
      <c r="D69" s="17"/>
      <c r="E69" s="17"/>
      <c r="F69" s="17"/>
      <c r="G69" s="17"/>
      <c r="H69" s="17"/>
    </row>
    <row r="70" customFormat="false" ht="13.5" hidden="false" customHeight="true" outlineLevel="0" collapsed="false">
      <c r="A70" s="17"/>
      <c r="B70" s="17"/>
      <c r="C70" s="17"/>
      <c r="D70" s="17"/>
      <c r="E70" s="17"/>
      <c r="F70" s="17"/>
      <c r="G70" s="17"/>
      <c r="H70" s="17"/>
    </row>
    <row r="71" customFormat="false" ht="13.5" hidden="false" customHeight="true" outlineLevel="0" collapsed="false">
      <c r="A71" s="17"/>
      <c r="B71" s="17"/>
      <c r="C71" s="17"/>
      <c r="D71" s="17"/>
      <c r="E71" s="17"/>
      <c r="F71" s="17"/>
      <c r="G71" s="17"/>
      <c r="H71" s="17"/>
    </row>
    <row r="72" customFormat="false" ht="13.5" hidden="false" customHeight="true" outlineLevel="0" collapsed="false">
      <c r="A72" s="17"/>
      <c r="B72" s="17"/>
      <c r="C72" s="17"/>
      <c r="D72" s="17"/>
      <c r="E72" s="17"/>
      <c r="F72" s="17"/>
      <c r="G72" s="17"/>
      <c r="H72" s="17"/>
    </row>
    <row r="73" customFormat="false" ht="13.5" hidden="false" customHeight="true" outlineLevel="0" collapsed="false">
      <c r="A73" s="17"/>
      <c r="B73" s="17"/>
      <c r="C73" s="17"/>
      <c r="D73" s="17"/>
      <c r="E73" s="17"/>
      <c r="F73" s="17"/>
      <c r="G73" s="17"/>
      <c r="H73" s="17"/>
    </row>
    <row r="74" customFormat="false" ht="13.5" hidden="false" customHeight="true" outlineLevel="0" collapsed="false">
      <c r="A74" s="17"/>
      <c r="B74" s="17"/>
      <c r="C74" s="17"/>
      <c r="D74" s="17"/>
      <c r="E74" s="17"/>
      <c r="F74" s="17"/>
      <c r="G74" s="17"/>
      <c r="H74" s="17"/>
    </row>
    <row r="75" customFormat="false" ht="13.5" hidden="false" customHeight="true" outlineLevel="0" collapsed="false">
      <c r="A75" s="17"/>
      <c r="B75" s="17"/>
      <c r="C75" s="17"/>
      <c r="D75" s="17"/>
      <c r="E75" s="17"/>
      <c r="F75" s="17"/>
      <c r="G75" s="17"/>
      <c r="H75" s="17"/>
    </row>
    <row r="76" customFormat="false" ht="13.5" hidden="false" customHeight="true" outlineLevel="0" collapsed="false">
      <c r="A76" s="17"/>
      <c r="B76" s="17"/>
      <c r="C76" s="17"/>
      <c r="D76" s="17"/>
      <c r="E76" s="17"/>
      <c r="F76" s="17"/>
      <c r="G76" s="17"/>
      <c r="H76" s="17"/>
    </row>
    <row r="77" customFormat="false" ht="13.5" hidden="false" customHeight="true" outlineLevel="0" collapsed="false">
      <c r="A77" s="17"/>
      <c r="B77" s="17"/>
      <c r="C77" s="17"/>
      <c r="D77" s="17"/>
      <c r="E77" s="17"/>
      <c r="F77" s="17"/>
      <c r="G77" s="17"/>
      <c r="H77" s="17"/>
    </row>
    <row r="78" customFormat="false" ht="13.5" hidden="false" customHeight="true" outlineLevel="0" collapsed="false">
      <c r="A78" s="17"/>
      <c r="B78" s="17"/>
      <c r="C78" s="17"/>
      <c r="D78" s="17"/>
      <c r="E78" s="17"/>
      <c r="F78" s="17"/>
      <c r="G78" s="17"/>
      <c r="H78" s="17"/>
    </row>
    <row r="79" customFormat="false" ht="13.5" hidden="false" customHeight="true" outlineLevel="0" collapsed="false">
      <c r="A79" s="17"/>
      <c r="B79" s="17"/>
      <c r="C79" s="17"/>
      <c r="D79" s="17"/>
      <c r="E79" s="17"/>
      <c r="F79" s="17"/>
      <c r="G79" s="17"/>
      <c r="H79" s="17"/>
    </row>
    <row r="80" customFormat="false" ht="13.5" hidden="false" customHeight="true" outlineLevel="0" collapsed="false">
      <c r="A80" s="17"/>
      <c r="B80" s="17"/>
      <c r="C80" s="17"/>
      <c r="D80" s="17"/>
      <c r="E80" s="17"/>
      <c r="F80" s="17"/>
      <c r="G80" s="17"/>
      <c r="H80" s="17"/>
    </row>
    <row r="81" customFormat="false" ht="13.5" hidden="false" customHeight="true" outlineLevel="0" collapsed="false">
      <c r="A81" s="17"/>
      <c r="B81" s="17"/>
      <c r="C81" s="17"/>
      <c r="D81" s="17"/>
      <c r="E81" s="17"/>
      <c r="F81" s="17"/>
      <c r="G81" s="17"/>
      <c r="H81" s="17"/>
    </row>
    <row r="82" customFormat="false" ht="13.5" hidden="false" customHeight="true" outlineLevel="0" collapsed="false">
      <c r="A82" s="17"/>
      <c r="B82" s="17"/>
      <c r="C82" s="17"/>
      <c r="D82" s="17"/>
      <c r="E82" s="17"/>
      <c r="F82" s="17"/>
      <c r="G82" s="17"/>
      <c r="H82" s="17"/>
    </row>
    <row r="83" customFormat="false" ht="13.5" hidden="false" customHeight="true" outlineLevel="0" collapsed="false">
      <c r="A83" s="17"/>
      <c r="B83" s="17"/>
      <c r="C83" s="17"/>
      <c r="D83" s="17"/>
      <c r="E83" s="17"/>
      <c r="F83" s="17"/>
      <c r="G83" s="17"/>
      <c r="H83" s="17"/>
    </row>
    <row r="84" customFormat="false" ht="13.5" hidden="false" customHeight="true" outlineLevel="0" collapsed="false">
      <c r="A84" s="17"/>
      <c r="B84" s="17"/>
      <c r="C84" s="17"/>
      <c r="D84" s="17"/>
      <c r="E84" s="17"/>
      <c r="F84" s="17"/>
      <c r="G84" s="17"/>
      <c r="H84" s="17"/>
    </row>
    <row r="85" customFormat="false" ht="13.5" hidden="false" customHeight="true" outlineLevel="0" collapsed="false">
      <c r="A85" s="17"/>
      <c r="B85" s="17"/>
      <c r="C85" s="17"/>
      <c r="D85" s="17"/>
      <c r="E85" s="17"/>
      <c r="F85" s="17"/>
      <c r="G85" s="17"/>
      <c r="H85" s="17"/>
    </row>
    <row r="86" customFormat="false" ht="13.5" hidden="false" customHeight="true" outlineLevel="0" collapsed="false">
      <c r="A86" s="17"/>
      <c r="B86" s="17"/>
      <c r="C86" s="17"/>
      <c r="D86" s="17"/>
      <c r="E86" s="17"/>
      <c r="F86" s="17"/>
      <c r="G86" s="17"/>
      <c r="H86" s="17"/>
    </row>
    <row r="87" customFormat="false" ht="13.5" hidden="false" customHeight="true" outlineLevel="0" collapsed="false">
      <c r="A87" s="17"/>
      <c r="B87" s="17"/>
      <c r="C87" s="17"/>
      <c r="D87" s="17"/>
      <c r="E87" s="17"/>
      <c r="F87" s="17"/>
      <c r="G87" s="17"/>
      <c r="H87" s="17"/>
    </row>
    <row r="88" customFormat="false" ht="13.5" hidden="false" customHeight="true" outlineLevel="0" collapsed="false">
      <c r="A88" s="17"/>
      <c r="B88" s="17"/>
      <c r="C88" s="17"/>
      <c r="D88" s="17"/>
      <c r="E88" s="17"/>
      <c r="F88" s="17"/>
      <c r="G88" s="17"/>
      <c r="H88" s="17"/>
    </row>
    <row r="89" customFormat="false" ht="13.5" hidden="false" customHeight="true" outlineLevel="0" collapsed="false">
      <c r="A89" s="17"/>
      <c r="B89" s="17"/>
      <c r="C89" s="17"/>
      <c r="D89" s="17"/>
      <c r="E89" s="17"/>
      <c r="F89" s="17"/>
      <c r="G89" s="17"/>
      <c r="H89" s="17"/>
    </row>
    <row r="90" customFormat="false" ht="13.5" hidden="false" customHeight="true" outlineLevel="0" collapsed="false">
      <c r="A90" s="17"/>
      <c r="B90" s="17"/>
      <c r="C90" s="17"/>
      <c r="D90" s="17"/>
      <c r="E90" s="17"/>
      <c r="F90" s="17"/>
      <c r="G90" s="17"/>
      <c r="H90" s="17"/>
    </row>
    <row r="91" customFormat="false" ht="13.5" hidden="false" customHeight="true" outlineLevel="0" collapsed="false">
      <c r="A91" s="17"/>
      <c r="B91" s="17"/>
      <c r="C91" s="17"/>
      <c r="D91" s="17"/>
      <c r="E91" s="17"/>
      <c r="F91" s="17"/>
      <c r="G91" s="17"/>
      <c r="H91" s="17"/>
    </row>
    <row r="92" customFormat="false" ht="13.5" hidden="false" customHeight="true" outlineLevel="0" collapsed="false">
      <c r="A92" s="17"/>
      <c r="B92" s="17"/>
      <c r="C92" s="17"/>
      <c r="D92" s="17"/>
      <c r="E92" s="17"/>
      <c r="F92" s="17"/>
      <c r="G92" s="17"/>
      <c r="H92" s="17"/>
    </row>
    <row r="93" customFormat="false" ht="13.5" hidden="false" customHeight="true" outlineLevel="0" collapsed="false">
      <c r="A93" s="17"/>
      <c r="B93" s="17"/>
      <c r="C93" s="17"/>
      <c r="D93" s="17"/>
      <c r="E93" s="17"/>
      <c r="F93" s="17"/>
      <c r="G93" s="17"/>
      <c r="H93" s="17"/>
    </row>
    <row r="94" customFormat="false" ht="13.5" hidden="false" customHeight="true" outlineLevel="0" collapsed="false">
      <c r="A94" s="17"/>
      <c r="B94" s="17"/>
      <c r="C94" s="17"/>
      <c r="D94" s="17"/>
      <c r="E94" s="17"/>
      <c r="F94" s="17"/>
      <c r="G94" s="17"/>
      <c r="H94" s="17"/>
    </row>
    <row r="95" customFormat="false" ht="13.5" hidden="false" customHeight="true" outlineLevel="0" collapsed="false">
      <c r="A95" s="17"/>
      <c r="B95" s="17"/>
      <c r="C95" s="17"/>
      <c r="D95" s="17"/>
      <c r="E95" s="17"/>
      <c r="F95" s="17"/>
      <c r="G95" s="17"/>
      <c r="H95" s="17"/>
    </row>
    <row r="96" customFormat="false" ht="13.5" hidden="false" customHeight="true" outlineLevel="0" collapsed="false">
      <c r="A96" s="17"/>
      <c r="B96" s="17"/>
      <c r="C96" s="17"/>
      <c r="D96" s="17"/>
      <c r="E96" s="17"/>
      <c r="F96" s="17"/>
      <c r="G96" s="17"/>
      <c r="H96" s="17"/>
    </row>
    <row r="97" customFormat="false" ht="13.5" hidden="false" customHeight="true" outlineLevel="0" collapsed="false">
      <c r="A97" s="17"/>
      <c r="B97" s="17"/>
      <c r="C97" s="17"/>
      <c r="D97" s="17"/>
      <c r="E97" s="17"/>
      <c r="F97" s="17"/>
      <c r="G97" s="17"/>
      <c r="H97" s="17"/>
    </row>
    <row r="98" customFormat="false" ht="13.5" hidden="false" customHeight="true" outlineLevel="0" collapsed="false">
      <c r="A98" s="17"/>
      <c r="B98" s="17"/>
      <c r="C98" s="17"/>
      <c r="D98" s="17"/>
      <c r="E98" s="17"/>
      <c r="F98" s="17"/>
      <c r="G98" s="17"/>
      <c r="H98" s="17"/>
    </row>
    <row r="99" customFormat="false" ht="13.5" hidden="false" customHeight="true" outlineLevel="0" collapsed="false">
      <c r="A99" s="17"/>
      <c r="B99" s="17"/>
      <c r="C99" s="17"/>
      <c r="D99" s="17"/>
      <c r="E99" s="17"/>
      <c r="F99" s="17"/>
      <c r="G99" s="17"/>
      <c r="H99" s="17"/>
    </row>
    <row r="100" customFormat="false" ht="13.5" hidden="false" customHeight="true" outlineLevel="0" collapsed="false">
      <c r="A100" s="17"/>
      <c r="B100" s="17"/>
      <c r="C100" s="17"/>
      <c r="D100" s="17"/>
      <c r="E100" s="17"/>
      <c r="F100" s="17"/>
      <c r="G100" s="17"/>
      <c r="H100" s="17"/>
    </row>
  </sheetData>
  <mergeCells count="2">
    <mergeCell ref="A1:H1"/>
    <mergeCell ref="A2:H2"/>
  </mergeCells>
  <dataValidations count="2">
    <dataValidation allowBlank="false" errorStyle="stop" operator="between" showDropDown="false" showErrorMessage="false" showInputMessage="false" sqref="B5:B100" type="list">
      <formula1>"Yes,No,Maybe,Usually no"</formula1>
      <formula2>0</formula2>
    </dataValidation>
    <dataValidation allowBlank="false" errorStyle="stop" operator="between" showDropDown="false" showErrorMessage="false" showInputMessage="false" sqref="F5:F100" type="list">
      <formula1>"Yes,No,Maybe,Pending,Contract-specific"</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2026-06-28T15:18:39Z</dcterms:created>
  <dc:creator>openpyxl</dc:creator>
  <dc:description/>
  <dc:language>en-US</dc:language>
  <cp:lastModifiedBy>maciek szczech</cp:lastModifiedBy>
  <dcterms:modified xsi:type="dcterms:W3CDTF">2026-07-05T13:32:36Z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