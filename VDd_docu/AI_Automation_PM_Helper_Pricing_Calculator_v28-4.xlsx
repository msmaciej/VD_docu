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<sst xmlns="http://schemas.openxmlformats.org/spreadsheetml/2006/main" count="2497" uniqueCount="1671">
  <si>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</si>
  <si>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</si>
  <si>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</si>
  <si>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</si>
  <si>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</si>
  <si>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</si>
  <si>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</si>
  <si>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</si>
  <si>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</si>
  <si>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</si>
  <si>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</si>
  <si>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</si>
  <si>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fixes a formula bug in Quote Calculator F31:F34 (Extra data sources / AI generation steps adders were silently computing to CHF 0 in v27 due to a label mismatch against Complexity Reference); adds Break-Even &amp; Runway sheet; Example Quotes and Example Quotes — 3 options rebuilt as live formulas off the same engine (7 of 8 rows — see 'Example Quotes' column J for the one flagged exception) instead of hand-typed numbers; corrects a package-name contradiction in DOCU - Pricing Logic!F121; links ROI App + Client Quote Summary to the live quote instead of manual paste.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</si>
  <si>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</si>
  <si>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</si>
  <si>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</si>
  <si>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</si>
  <si>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</si>
  <si>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</si>
  <si>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</si>
  <si>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</si>
  <si>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</si>
  <si>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</si>
  <si>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</si>
  <si>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</si>
  <si>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</si>
  <si>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</si>
  <si>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</si>
  <si>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</si>
  <si>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</si>
  <si>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</si>
  <si>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</si>
  <si>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</si>
  <si>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</si>
  <si>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</si>
  <si>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</si>
  <si>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</si>
  <si>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</si>
  <si>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</si>
  <si>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</si>
  <si>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</si>
  <si>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 LIVE formulas off Package/Complexity Reference (v28), driven by the count assumptions in columns L:Q. Confirm those against the real deal.</t>
  </si>
  <si>
    <t xml:space="preserve">Example Quotes — 3 options</t>
  </si>
  <si>
    <t xml:space="preserve">Each build under all three access models — Managed rows pull live from Example Quotes; Licence/Transfer derived by formula (v28).</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</si>
  <si>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</si>
  <si>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</si>
  <si>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</si>
  <si>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</si>
  <si>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</si>
  <si>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</si>
  <si>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</si>
  <si>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</si>
  <si>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</si>
  <si>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</si>
  <si>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</si>
  <si>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</si>
  <si>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</si>
  <si>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</si>
  <si>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</si>
  <si>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</si>
  <si>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</si>
  <si>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</si>
  <si>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</si>
  <si>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</si>
  <si>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</si>
  <si>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</si>
  <si>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</si>
  <si>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</si>
  <si>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</si>
  <si>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</si>
  <si>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</si>
  <si>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</si>
  <si>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</si>
  <si>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</si>
  <si>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</si>
  <si>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</si>
  <si>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</si>
  <si>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</si>
  <si>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</si>
  <si>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</si>
  <si>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</si>
  <si>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</si>
  <si>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</si>
  <si>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</si>
  <si>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</si>
  <si>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</si>
  <si>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</si>
  <si>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</si>
  <si>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</si>
  <si>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</si>
  <si>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</si>
  <si>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</si>
  <si>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</si>
  <si>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</si>
  <si>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</si>
  <si>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</si>
  <si>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</si>
  <si>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</si>
  <si>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</si>
  <si>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</si>
  <si>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</si>
  <si>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</si>
  <si>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</si>
  <si>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</si>
  <si>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</si>
  <si>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</si>
  <si>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</si>
  <si>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</si>
  <si>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</si>
  <si>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</si>
  <si>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</si>
  <si>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</si>
  <si>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</si>
  <si>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</si>
  <si>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</si>
  <si>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</si>
  <si>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</si>
  <si>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</si>
  <si>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</si>
  <si>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</si>
  <si>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</si>
  <si>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</si>
  <si>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</si>
  <si>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</si>
  <si>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</si>
  <si>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</si>
  <si>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</si>
  <si>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</si>
  <si>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</si>
  <si>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</si>
  <si>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</si>
  <si>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</si>
  <si>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</si>
  <si>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</si>
  <si>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</si>
  <si>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</si>
  <si>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</si>
  <si>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</si>
  <si>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</si>
  <si>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</si>
  <si>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</si>
  <si>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</si>
  <si>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</si>
  <si>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</si>
  <si>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</si>
  <si>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</si>
  <si>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</si>
  <si>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</si>
  <si>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</si>
  <si>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</si>
  <si>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</si>
  <si>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</si>
  <si>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</si>
  <si>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</si>
  <si>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</si>
  <si>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</si>
  <si>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</si>
  <si>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</si>
  <si>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</si>
  <si>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</si>
  <si>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</si>
  <si>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</si>
  <si>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</si>
  <si>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</si>
  <si>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</si>
  <si>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</si>
  <si>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</si>
  <si>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</si>
  <si>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</si>
  <si>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</si>
  <si>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</si>
  <si>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</si>
  <si>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</si>
  <si>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</si>
  <si>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</si>
  <si>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</si>
  <si>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</si>
  <si>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</si>
  <si>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</si>
  <si>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</si>
  <si>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</si>
  <si>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</si>
  <si>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</si>
  <si>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</si>
  <si>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</si>
  <si>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</si>
  <si>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</si>
  <si>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</si>
  <si>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</si>
  <si>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</si>
  <si>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</si>
  <si>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</si>
  <si>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</si>
  <si>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</si>
  <si>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</si>
  <si>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</si>
  <si>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</si>
  <si>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</si>
  <si>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</si>
  <si>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</si>
  <si>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</si>
  <si>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</si>
  <si>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</si>
  <si>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</si>
  <si>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</si>
  <si>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</si>
  <si>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</si>
  <si>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</si>
  <si>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</si>
  <si>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</si>
  <si>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</si>
  <si>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</si>
  <si>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</si>
  <si>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</si>
  <si>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</si>
  <si>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</si>
  <si>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</si>
  <si>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</si>
  <si>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</si>
  <si>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</si>
  <si>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</si>
  <si>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</si>
  <si>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</si>
  <si>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</si>
  <si>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</si>
  <si>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</si>
  <si>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</si>
  <si>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</si>
  <si>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</si>
  <si>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</si>
  <si>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</si>
  <si>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</si>
  <si>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</si>
  <si>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</si>
  <si>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</si>
  <si>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</si>
  <si>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</si>
  <si>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</si>
  <si>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</si>
  <si>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</si>
  <si>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</si>
  <si>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</si>
  <si>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</si>
  <si>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</si>
  <si>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</si>
  <si>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</si>
  <si>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</si>
  <si>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</si>
  <si>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</si>
  <si>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</si>
  <si>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</si>
  <si>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</si>
  <si>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</si>
  <si>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</si>
  <si>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</si>
  <si>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</si>
  <si>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</si>
  <si>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</si>
  <si>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</si>
  <si>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</si>
  <si>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</si>
  <si>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</si>
  <si>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</si>
  <si>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</si>
  <si>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</si>
  <si>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</si>
  <si>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</si>
  <si>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</si>
  <si>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</si>
  <si>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</si>
  <si>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</si>
  <si>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</si>
  <si>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</si>
  <si>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</si>
  <si>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</si>
  <si>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</si>
  <si>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</si>
  <si>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</si>
  <si>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</si>
  <si>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</si>
  <si>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</si>
  <si>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</si>
  <si>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</si>
  <si>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</si>
  <si>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</si>
  <si>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</si>
  <si>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</si>
  <si>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</si>
  <si>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</si>
  <si>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</si>
  <si>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</si>
  <si>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</si>
  <si>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</si>
  <si>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</si>
  <si>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</si>
  <si>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</si>
  <si>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</si>
  <si>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</si>
  <si>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</si>
  <si>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</si>
  <si>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</si>
  <si>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</si>
  <si>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</si>
  <si>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</si>
  <si>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</si>
  <si>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</si>
  <si>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</si>
  <si>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</si>
  <si>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</si>
  <si>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</si>
  <si>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</si>
  <si>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</si>
  <si>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</si>
  <si>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</si>
  <si>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</si>
  <si>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</si>
  <si>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</si>
  <si>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</si>
  <si>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</si>
  <si>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</si>
  <si>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</si>
  <si>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</si>
  <si>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</si>
  <si>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</si>
  <si>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</si>
  <si>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</si>
  <si>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</si>
  <si>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</si>
  <si>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</si>
  <si>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</si>
  <si>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</si>
  <si>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</si>
  <si>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</si>
  <si>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</si>
  <si>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</si>
  <si>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</si>
  <si>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</si>
  <si>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</si>
  <si>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</si>
  <si>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</si>
  <si>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</si>
  <si>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</si>
  <si>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</si>
  <si>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</si>
  <si>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</si>
  <si>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</si>
  <si>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</si>
  <si>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</si>
  <si>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</si>
  <si>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</si>
  <si>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</si>
  <si>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</si>
  <si>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</si>
  <si>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</si>
  <si>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</si>
  <si>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</si>
  <si>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</si>
  <si>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</si>
  <si>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</si>
  <si>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</si>
  <si>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</si>
  <si>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</si>
  <si>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</si>
  <si>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</si>
  <si>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</si>
  <si>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</si>
  <si>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</si>
  <si>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</si>
  <si>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</si>
  <si>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</si>
  <si>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</si>
  <si>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</si>
  <si>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</si>
  <si>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</si>
  <si>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</si>
  <si>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</si>
  <si>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</si>
  <si>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</si>
  <si>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</si>
  <si>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</si>
  <si>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</si>
  <si>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</si>
  <si>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</si>
  <si>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</si>
  <si>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</si>
  <si>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</si>
  <si>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</si>
  <si>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</si>
  <si>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</si>
  <si>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</si>
  <si>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</si>
  <si>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</si>
  <si>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</si>
  <si>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</si>
  <si>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</si>
  <si>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</si>
  <si>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</si>
  <si>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</si>
  <si>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</si>
  <si>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</si>
  <si>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</si>
  <si>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</si>
  <si>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</si>
  <si>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</si>
  <si>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</si>
  <si>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</si>
  <si>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</si>
  <si>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</si>
  <si>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</si>
  <si>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</si>
  <si>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</si>
  <si>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</si>
  <si>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</si>
  <si>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</si>
  <si>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</si>
  <si>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</si>
  <si>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</si>
  <si>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</si>
  <si>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</si>
  <si>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</si>
  <si>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</si>
  <si>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</si>
  <si>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</si>
  <si>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</si>
  <si>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</si>
  <si>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</si>
  <si>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</si>
  <si>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</si>
  <si>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</si>
  <si>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</si>
  <si>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</si>
  <si>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</si>
  <si>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</si>
  <si>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</si>
  <si>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</si>
  <si>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</si>
  <si>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</si>
  <si>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</si>
  <si>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</si>
  <si>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</si>
  <si>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</si>
  <si>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</si>
  <si>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</si>
  <si>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</si>
  <si>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</si>
  <si>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</si>
  <si>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</si>
  <si>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</si>
  <si>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</si>
  <si>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</si>
  <si>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</si>
  <si>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</si>
  <si>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</si>
  <si>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</si>
  <si>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</si>
  <si>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</si>
  <si>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</si>
  <si>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</si>
  <si>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</si>
  <si>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</si>
  <si>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</si>
  <si>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</si>
  <si>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</si>
  <si>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</si>
  <si>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</si>
  <si>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</si>
  <si>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</si>
  <si>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</si>
  <si>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</si>
  <si>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</si>
  <si>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</si>
  <si>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</si>
  <si>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</si>
  <si>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</si>
  <si>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</si>
  <si>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</si>
  <si>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</si>
  <si>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</si>
  <si>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</si>
  <si>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</si>
  <si>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</si>
  <si>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</si>
  <si>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</si>
  <si>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</si>
  <si>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</si>
  <si>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</si>
  <si>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</si>
  <si>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</si>
  <si>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</si>
  <si>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</si>
  <si>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</si>
  <si>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</si>
  <si>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</si>
  <si>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</si>
  <si>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</si>
  <si>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</si>
  <si>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</si>
  <si>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</si>
  <si>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</si>
  <si>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</si>
  <si>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</si>
  <si>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</si>
  <si>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</si>
  <si>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</si>
  <si>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</si>
  <si>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</si>
  <si>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</si>
  <si>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</si>
  <si>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</si>
  <si>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</si>
  <si>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</si>
  <si>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</si>
  <si>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</si>
  <si>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</si>
  <si>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</si>
  <si>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</si>
  <si>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</si>
  <si>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</si>
  <si>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</si>
  <si>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</si>
  <si>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</si>
  <si>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</si>
  <si>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</si>
  <si>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</si>
  <si>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</si>
  <si>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</si>
  <si>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</si>
  <si>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</si>
  <si>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</si>
  <si>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</si>
  <si>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</si>
  <si>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</si>
  <si>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</si>
  <si>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</si>
  <si>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</si>
  <si>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</si>
  <si>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</si>
  <si>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</si>
  <si>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</si>
  <si>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</si>
  <si>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</si>
  <si>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</si>
  <si>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</si>
  <si>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</si>
  <si>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</si>
  <si>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</si>
  <si>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</si>
  <si>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</si>
  <si>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</si>
  <si>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</si>
  <si>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</si>
  <si>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</si>
  <si>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</si>
  <si>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</si>
  <si>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</si>
  <si>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</si>
  <si>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</si>
  <si>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</si>
  <si>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</si>
  <si>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</si>
  <si>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</si>
  <si>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</si>
  <si>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</si>
  <si>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</si>
  <si>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</si>
  <si>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</si>
  <si>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</si>
  <si>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</si>
  <si>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</si>
  <si>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</si>
  <si>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</si>
  <si>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</si>
  <si>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</si>
  <si>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</si>
  <si>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</si>
  <si>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</si>
  <si>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</si>
  <si>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</si>
  <si>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</si>
  <si>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</si>
  <si>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</si>
  <si>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</si>
  <si>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</si>
  <si>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</si>
  <si>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</si>
  <si>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</si>
  <si>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</si>
  <si>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</si>
  <si>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</si>
  <si>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</si>
  <si>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</si>
  <si>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</si>
  <si>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</si>
  <si>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</si>
  <si>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</si>
  <si>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</si>
  <si>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</si>
  <si>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</si>
  <si>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</si>
  <si>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</si>
  <si>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</si>
  <si>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</si>
  <si>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</si>
  <si>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</si>
  <si>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</si>
  <si>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</si>
  <si>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</si>
  <si>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</si>
  <si>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</si>
  <si>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</si>
  <si>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</si>
  <si>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</si>
  <si>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</si>
  <si>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</si>
  <si>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</si>
  <si>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</si>
  <si>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</si>
  <si>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</si>
  <si>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</si>
  <si>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</si>
  <si>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</si>
  <si>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</si>
  <si>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</si>
  <si>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</si>
  <si>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</si>
  <si>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</si>
  <si>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</si>
  <si>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</si>
  <si>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</si>
  <si>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</si>
  <si>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</si>
  <si>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</si>
  <si>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</si>
  <si>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</si>
  <si>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</si>
  <si>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</si>
  <si>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</si>
  <si>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</si>
  <si>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</si>
  <si>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</si>
  <si>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</si>
  <si>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</si>
  <si>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</si>
  <si>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</si>
  <si>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</si>
  <si>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</si>
  <si>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</si>
  <si>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</si>
  <si>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</si>
  <si>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</si>
  <si>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</si>
  <si>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</si>
  <si>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</si>
  <si>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</si>
  <si>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</si>
  <si>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</si>
  <si>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</si>
  <si>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</si>
  <si>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</si>
  <si>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</si>
  <si>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</si>
  <si>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</si>
  <si>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</si>
  <si>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</si>
  <si>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</si>
  <si>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</si>
  <si>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</si>
  <si>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</si>
  <si>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</si>
  <si>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</si>
  <si>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</si>
  <si>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</si>
  <si>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</si>
  <si>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</si>
  <si>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</si>
  <si>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</si>
  <si>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</si>
  <si>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</si>
  <si>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</si>
  <si>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</si>
  <si>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</si>
  <si>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</si>
  <si>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</si>
  <si>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</si>
  <si>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</si>
  <si>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</si>
  <si>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</si>
  <si>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</si>
  <si>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</si>
  <si>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</si>
  <si>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</si>
  <si>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</si>
  <si>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</si>
  <si>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</si>
  <si>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</si>
  <si>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</si>
  <si>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</si>
  <si>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</si>
  <si>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</si>
  <si>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</si>
  <si>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</si>
  <si>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</si>
  <si>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</si>
  <si>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</si>
  <si>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</si>
  <si>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</si>
  <si>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</si>
  <si>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</si>
  <si>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</si>
  <si>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</si>
  <si>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</si>
  <si>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</si>
  <si>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</si>
  <si>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</si>
  <si>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</si>
  <si>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</si>
  <si>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</si>
  <si>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</si>
  <si>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</si>
  <si>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</si>
  <si>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</si>
  <si>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</si>
  <si>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</si>
  <si>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</si>
  <si>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</si>
  <si>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</si>
  <si>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</si>
  <si>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</si>
  <si>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</si>
  <si>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</si>
  <si>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</si>
  <si>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</si>
  <si>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</si>
  <si>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</si>
  <si>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</si>
  <si>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</si>
  <si>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</si>
  <si>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</si>
  <si>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</si>
  <si>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</si>
  <si>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</si>
  <si>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</si>
  <si>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</si>
  <si>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</si>
  <si>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</si>
  <si>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</si>
  <si>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</si>
  <si>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</si>
  <si>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</si>
  <si>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</si>
  <si>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</si>
  <si>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</si>
  <si>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</si>
  <si>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</si>
  <si>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</si>
  <si>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</si>
  <si>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</si>
  <si>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</si>
  <si>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</si>
  <si>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</si>
  <si>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</si>
  <si>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</si>
  <si>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</si>
  <si>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</si>
  <si>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</si>
  <si>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</si>
  <si>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</si>
  <si>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</si>
  <si>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</si>
  <si>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</si>
  <si>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</si>
  <si>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</si>
  <si>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</si>
  <si>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</si>
  <si>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</si>
  <si>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LIVE (v28): rows 7-11 and 13-14 are computed with formulas identical to the Quote Calculator's engine (Package Reference + Complexity Reference), driven by the count assumptions in columns L:Q -- check those against what you actually know about each deal, adjust if needed, and the price updates itself. Row 12 is now a Licence example (Agentic Automation), not a transfer example -- see column J: VortexDeep never sells Build-and-Transfer, per IP_and_Licensing_Policy_v01 sec5. Column R shows whether a row's recurring figure is monthly or annual.</t>
  </si>
  <si>
    <t xml:space="preserve">Why</t>
  </si>
  <si>
    <t xml:space="preserve">Extra</t>
  </si>
  <si>
    <t xml:space="preserve">AI gen</t>
  </si>
  <si>
    <t xml:space="preserve">CRM</t>
  </si>
  <si>
    <t xml:space="preserve">Approval</t>
  </si>
  <si>
    <t xml:space="preserve">Reporting</t>
  </si>
  <si>
    <t xml:space="preserve">Sensitivity ×</t>
  </si>
  <si>
    <t xml:space="preserve">Recurring unit</t>
  </si>
  <si>
    <t xml:space="preserve">MG Red Shift v4.0 — AI-drafted SEEKER reply (base)</t>
  </si>
  <si>
    <t xml:space="preserve">AI classification, Notion DB, folder routing, SEEKER draft support</t>
  </si>
  <si>
    <t xml:space="preserve">Managed / hybrid</t>
  </si>
  <si>
    <t xml:space="preserve">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  |  AI(1): 'AI-drafted SEEKER reply'. CRM(1): Notion DB. Approval(1): 'held for review'.</t>
  </si>
  <si>
    <t xml:space="preserve">LIVE (v28) — see L:Q for assumed counts</t>
  </si>
  <si>
    <t xml:space="preserve">Therapist Gmail + booking link</t>
  </si>
  <si>
    <t xml:space="preserve">Email/form intake, booking triage, no direct advice</t>
  </si>
  <si>
    <t xml:space="preserve">Human approval  |  Basic Intake is rule-based only (Package Reference), so AI(0). Approval(1): note says 'Human approval'. No CRM/extra/reporting mentioned.</t>
  </si>
  <si>
    <t xml:space="preserve">Therapist Instagram + Gmail + drafts</t>
  </si>
  <si>
    <t xml:space="preserve">Multiple channels and draft approval workflow</t>
  </si>
  <si>
    <t xml:space="preserve">Managed</t>
  </si>
  <si>
    <t xml:space="preserve">Sensitive data needs strict boundaries  |  Pro Multi-Channel's own typical scope IS 'email+social, AI classification, drafts, approval workflow' — matches this example exactly, so channels sit inside the base (extra=0). AI(1) for drafts, Approval(1) explicit. Sensitivity 1.3: 'strict boundaries' noted but not stated as health-record/GDPR data — confirm and raise to 1.5/1.7 if it is.</t>
  </si>
  <si>
    <t xml:space="preserve">Small agency CRM + reporting</t>
  </si>
  <si>
    <t xml:space="preserve">CRM, monitoring, reporting, improvement backlog</t>
  </si>
  <si>
    <t xml:space="preserve">Recurring service value  |  CRM(1) + Reporting(1): both explicitly named. 'Monitoring' is Managed Operations' own base-tier description, not a separate counted adder. AI not mentioned — confirm if this agency's build actually includes AI drafting; if so add AI=1.</t>
  </si>
  <si>
    <t xml:space="preserve">Calendar/CRM agent</t>
  </si>
  <si>
    <t xml:space="preserve">Controlled multi-step actions with approvals</t>
  </si>
  <si>
    <t xml:space="preserve">Controlled access</t>
  </si>
  <si>
    <t xml:space="preserve">Quote individually  |  CRM(1) + Approval(1) explicit ('CRM agent...with approvals'). AI(1) as a conservative minimum for agentic decisioning — Agentic builds are explicitly 'Quote individually' per this row's own note, so treat this range as illustrative only, more than the others here.</t>
  </si>
  <si>
    <t xml:space="preserve">Client asks for full ownership → we offer Licence, not transfer (Agentic Automation, our most expensive tier)</t>
  </si>
  <si>
    <t xml:space="preserve">Same build as the Calendar/CRM agent example (row 11) — controlled multi-step actions with approvals.</t>
  </si>
  <si>
    <t xml:space="preserve">Licence (client-owned workspace, bounded right-to-use)</t>
  </si>
  <si>
    <t xml:space="preserve">Per VortexDeep_IP_and_Licensing_Policy_v01 §5: 'Full transfer... is not presented to clients as a path.' We never hand over the build, on ANY tier — licence is the answer whether the ask comes from a small or a large build; Access &amp; Licence Pricing already computes it for all five packages. This row is one illustrative example (the priciest tier, since 'can I just own it' comes up most there), not a claim that licence is reserved for expensive builds only. Setup/recurring computed from Package + Complexity Reference using L:Q (same counts as row 11's Calendar/CRM agent — same build, licensed instead of managed), then the licence multipliers are pulled live from 'Access &amp; Licence Pricing'!C6 (50%) and C7 (1.30x) — change those there and this row follows.</t>
  </si>
  <si>
    <t xml:space="preserve">FIXED (v28) — self-contained via L:Q, licence % + multiplier pulled live from Access &amp; Licence Pricing</t>
  </si>
  <si>
    <t xml:space="preserve">/ year</t>
  </si>
  <si>
    <t xml:space="preserve">MG Red Shift v4.1 — template SEEKER reply</t>
  </si>
  <si>
    <t xml:space="preserve">Same triage; SEEKER reply is a prepared template (no AI generation). Simplest of the three.</t>
  </si>
  <si>
    <t xml:space="preserve">Template reply; no AI draft  |  Same triage as v4.0 (CRM=1 carried over) but 'no AI generation' per its own note -&gt; AI(0). No per-message AI draft to review -&gt; Approval(0), unlike v4.0.</t>
  </si>
  <si>
    <t xml:space="preserve">MG Red Shift v4.2 + v4.1 — dual intake (email + webform)</t>
  </si>
  <si>
    <t xml:space="preserve">v4.1 process across two intake paths (email then webform): extra source + duplicated classify/route.</t>
  </si>
  <si>
    <t xml:space="preserve">No automatic sending; two channels  |  Built on v4.1 (AI=0, Approval=0 carried over) plus this row's own note: 'extra source' -&gt; Extra(1).</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</si>
  <si>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</si>
  <si>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LIVE (v28): every Managed row is pulled straight from 'Example Quotes' (which computes from the corrected engine); Licence/Transfer rows are formula-derived per this sheet's own rule above. See column I on each block for source, and 'Example Quotes' columns L:Q for the assumed complexity counts behind each Managed figure — those are judgement calls, confirm them against the real deal.</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</si>
  <si>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</si>
  <si>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</si>
  <si>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</si>
  <si>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</si>
  <si>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</si>
  <si>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</si>
  <si>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</si>
  <si>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</si>
  <si>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</si>
  <si>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</si>
  <si>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LIVE (v28) — pulled from 'Example Quotes' row 8</t>
  </si>
  <si>
    <t xml:space="preserve">+ Licence option</t>
  </si>
  <si>
    <t xml:space="preserve">Runs for them; bounded right-to-use</t>
  </si>
  <si>
    <t xml:space="preserve">LIVE (v28) — derived per this sheet’s own formula (row 3)</t>
  </si>
  <si>
    <t xml:space="preserve">+ Full transfer (internal only)</t>
  </si>
  <si>
    <t xml:space="preserve">They OWN the build outright</t>
  </si>
  <si>
    <t xml:space="preserve">MG Red Shift v4.0 — SEEKER reply</t>
  </si>
  <si>
    <t xml:space="preserve">scope: Basic+ AI Triage</t>
  </si>
  <si>
    <t xml:space="preserve">LIVE (v28) — pulled from 'Example Quotes' row 7</t>
  </si>
  <si>
    <t xml:space="preserve">scope: Pro Multi-Channel</t>
  </si>
  <si>
    <t xml:space="preserve">LIVE (v28) — pulled from 'Example Quotes' row 9</t>
  </si>
  <si>
    <t xml:space="preserve">scope: Managed Operations</t>
  </si>
  <si>
    <t xml:space="preserve">LIVE (v28) — pulled from 'Example Quotes' row 10</t>
  </si>
  <si>
    <t xml:space="preserve">scope: Agentic Automation</t>
  </si>
  <si>
    <t xml:space="preserve">LIVE (v28) — pulled from 'Example Quotes' row 11</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</si>
  <si>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</si>
  <si>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</si>
  <si>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</si>
  <si>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</si>
  <si>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</si>
  <si>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</si>
  <si>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</si>
  <si>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</si>
  <si>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</si>
  <si>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</si>
  <si>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</si>
  <si>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</si>
  <si>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</si>
  <si>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</si>
  <si>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</si>
  <si>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</si>
  <si>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</si>
  <si>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</si>
  <si>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</si>
  <si>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</si>
  <si>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</si>
  <si>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</si>
  <si>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</si>
  <si>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</si>
  <si>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</si>
  <si>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</si>
  <si>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</si>
  <si>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</si>
  <si>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</si>
  <si>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</si>
  <si>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</si>
  <si>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</si>
  <si>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</si>
  <si>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</si>
  <si>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</si>
  <si>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</si>
  <si>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</si>
  <si>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</si>
  <si>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</si>
  <si>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</si>
  <si>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</si>
  <si>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</si>
  <si>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</si>
  <si>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</si>
  <si>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</si>
  <si>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</si>
  <si>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</si>
  <si>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</si>
  <si>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</si>
  <si>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</si>
  <si>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</si>
  <si>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</si>
  <si>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</si>
  <si>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</si>
  <si>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</si>
  <si>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</si>
  <si>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</si>
  <si>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</si>
  <si>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</si>
  <si>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</si>
  <si>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</si>
  <si>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</si>
  <si>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</si>
  <si>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</si>
  <si>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</si>
  <si>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</si>
  <si>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</si>
  <si>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</si>
  <si>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</si>
  <si>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</si>
  <si>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</si>
  <si>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</si>
  <si>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</si>
  <si>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</si>
  <si>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</si>
  <si>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</si>
  <si>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</si>
  <si>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</si>
  <si>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</si>
  <si>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</si>
  <si>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</si>
  <si>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</si>
  <si>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</si>
  <si>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</si>
  <si>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</si>
  <si>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</si>
  <si>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</si>
  <si>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</si>
  <si>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</si>
  <si>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</si>
  <si>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</si>
  <si>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</si>
  <si>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</si>
  <si>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</si>
  <si>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</si>
  <si>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</si>
  <si>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</si>
  <si>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</si>
  <si>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</si>
  <si>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</si>
  <si>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</si>
  <si>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</si>
  <si>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</si>
  <si>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</si>
  <si>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</si>
  <si>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</si>
  <si>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</si>
  <si>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</si>
  <si>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</si>
  <si>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</si>
  <si>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</si>
  <si>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</si>
  <si>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</si>
  <si>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</si>
  <si>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</si>
  <si>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</si>
  <si>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</si>
  <si>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</si>
  <si>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</si>
  <si>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</si>
  <si>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</si>
  <si>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</si>
  <si>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</si>
  <si>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</si>
  <si>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</si>
  <si>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</si>
  <si>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</si>
  <si>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</si>
  <si>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</si>
  <si>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</si>
  <si>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</si>
  <si>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</si>
  <si>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</si>
  <si>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</si>
  <si>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</si>
  <si>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</si>
  <si>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</si>
  <si>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</si>
  <si>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</si>
  <si>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</si>
  <si>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</si>
  <si>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</si>
  <si>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</si>
  <si>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</si>
  <si>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</si>
  <si>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</si>
  <si>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</si>
  <si>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</si>
  <si>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</si>
  <si>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</si>
  <si>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</si>
  <si>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</si>
  <si>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</si>
  <si>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</si>
  <si>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</si>
  <si>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</si>
  <si>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</si>
  <si>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</si>
  <si>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</si>
  <si>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</si>
  <si>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</si>
  <si>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</si>
  <si>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</si>
  <si>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</si>
  <si>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</si>
  <si>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</si>
  <si>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</si>
  <si>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</si>
  <si>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</si>
  <si>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</si>
  <si>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</si>
  <si>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</si>
  <si>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</si>
  <si>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</si>
  <si>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</si>
  <si>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</si>
  <si>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</si>
  <si>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</si>
  <si>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</si>
  <si>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</si>
  <si>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</si>
  <si>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</si>
  <si>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</si>
  <si>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</si>
  <si>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</si>
  <si>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</si>
  <si>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</si>
  <si>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</si>
  <si>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</si>
  <si>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</si>
  <si>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</si>
  <si>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</si>
  <si>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</si>
  <si>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</si>
  <si>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</si>
  <si>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</si>
  <si>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</si>
  <si>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</si>
  <si>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</si>
  <si>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</si>
  <si>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</si>
  <si>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</si>
  <si>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</si>
  <si>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</si>
  <si>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</si>
  <si>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</si>
  <si>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</si>
  <si>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</si>
  <si>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</si>
  <si>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</si>
  <si>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</si>
  <si>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</si>
  <si>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</si>
  <si>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</si>
  <si>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</si>
  <si>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</si>
  <si>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</si>
  <si>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</si>
  <si>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</si>
  <si>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</si>
  <si>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</si>
  <si>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</si>
  <si>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</si>
  <si>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</si>
  <si>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</si>
  <si>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</si>
  <si>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</si>
  <si>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</si>
  <si>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</si>
  <si>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</si>
  <si>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</si>
  <si>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</si>
  <si>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</si>
  <si>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</si>
  <si>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</si>
  <si>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</si>
  <si>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</si>
  <si>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</si>
  <si>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</si>
  <si>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</si>
  <si>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</si>
  <si>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</si>
  <si>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</si>
  <si>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</si>
  <si>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</si>
  <si>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</si>
  <si>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</si>
  <si>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</si>
  <si>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</si>
  <si>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</si>
  <si>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</si>
  <si>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</si>
  <si>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</si>
  <si>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</si>
  <si>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</si>
  <si>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</si>
  <si>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</si>
  <si>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</si>
  <si>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</si>
  <si>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</si>
  <si>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</si>
  <si>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</si>
  <si>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</si>
  <si>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</si>
  <si>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</si>
  <si>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</si>
  <si>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</si>
  <si>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</si>
  <si>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</si>
  <si>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</si>
  <si>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</si>
  <si>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</si>
  <si>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</si>
  <si>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</si>
  <si>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</si>
  <si>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</si>
  <si>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</si>
  <si>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</si>
  <si>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</si>
  <si>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</si>
  <si>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</si>
  <si>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</si>
  <si>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</si>
  <si>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</si>
  <si>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</si>
  <si>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</si>
  <si>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</si>
  <si>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</si>
  <si>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</si>
  <si>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</si>
  <si>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</si>
  <si>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</si>
  <si>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</si>
  <si>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</si>
  <si>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</si>
  <si>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</si>
  <si>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</si>
  <si>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</si>
  <si>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</si>
  <si>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</si>
  <si>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</si>
  <si>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</si>
  <si>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</si>
  <si>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</si>
  <si>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</si>
  <si>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</si>
  <si>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</si>
  <si>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</si>
  <si>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</si>
  <si>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</si>
  <si>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</si>
  <si>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</si>
  <si>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</si>
  <si>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</si>
  <si>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</si>
  <si>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</si>
  <si>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</si>
  <si>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</si>
  <si>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</si>
  <si>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</si>
  <si>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</si>
  <si>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</si>
  <si>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</si>
  <si>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</si>
  <si>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</si>
  <si>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</si>
  <si>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</si>
  <si>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</si>
  <si>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</si>
  <si>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</si>
  <si>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</si>
  <si>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</si>
  <si>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</si>
  <si>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</si>
  <si>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</si>
  <si>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</si>
  <si>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</si>
  <si>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</si>
  <si>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</si>
  <si>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</si>
  <si>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</si>
  <si>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</si>
  <si>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</si>
  <si>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</si>
  <si>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</si>
  <si>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</si>
  <si>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</si>
  <si>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</si>
  <si>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</si>
  <si>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</si>
  <si>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</si>
  <si>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</si>
  <si>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</si>
  <si>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</si>
  <si>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</si>
  <si>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</si>
  <si>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</si>
  <si>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</si>
  <si>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</si>
  <si>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</si>
  <si>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</si>
  <si>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</si>
  <si>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</si>
  <si>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</si>
  <si>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</si>
  <si>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</si>
  <si>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</si>
  <si>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</si>
  <si>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</si>
  <si>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</si>
  <si>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</si>
  <si>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</si>
  <si>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</si>
  <si>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</si>
  <si>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</si>
  <si>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</si>
  <si>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</si>
  <si>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</si>
  <si>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</si>
  <si>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</si>
  <si>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</si>
  <si>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</si>
  <si>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</si>
  <si>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</si>
  <si>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</si>
  <si>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</si>
  <si>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</si>
  <si>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</si>
  <si>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</si>
  <si>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</si>
  <si>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</si>
  <si>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</si>
  <si>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</si>
  <si>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</si>
  <si>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</si>
  <si>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</si>
  <si>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</si>
  <si>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</si>
  <si>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</si>
  <si>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</si>
  <si>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</si>
  <si>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</si>
  <si>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</si>
  <si>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</si>
  <si>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</si>
  <si>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</si>
  <si>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</si>
  <si>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</si>
  <si>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</si>
  <si>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</si>
  <si>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</si>
  <si>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</si>
  <si>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</si>
  <si>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</si>
  <si>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</si>
  <si>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</si>
  <si>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</si>
  <si>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</si>
  <si>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</si>
  <si>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</si>
  <si>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</si>
  <si>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</si>
  <si>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</si>
  <si>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</si>
  <si>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</si>
  <si>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</si>
  <si>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</si>
  <si>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</si>
  <si>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</si>
  <si>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</si>
  <si>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</si>
  <si>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</si>
  <si>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</si>
  <si>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</si>
  <si>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</si>
  <si>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</si>
  <si>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</si>
  <si>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</si>
  <si>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</si>
  <si>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</si>
  <si>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</si>
  <si>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</si>
  <si>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</si>
  <si>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</si>
  <si>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</si>
  <si>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</si>
  <si>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</si>
  <si>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</si>
  <si>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</si>
  <si>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</si>
  <si>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</si>
  <si>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</si>
  <si>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</si>
  <si>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</si>
  <si>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</si>
  <si>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</si>
  <si>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</si>
  <si>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</si>
  <si>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</si>
  <si>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</si>
  <si>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</si>
  <si>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</si>
  <si>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</si>
  <si>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</si>
  <si>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</si>
  <si>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</si>
  <si>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</si>
  <si>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</si>
  <si>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</si>
  <si>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</si>
  <si>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</si>
  <si>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</si>
  <si>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</si>
  <si>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</si>
  <si>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</si>
  <si>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</si>
  <si>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</si>
  <si>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</si>
  <si>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</si>
  <si>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</si>
  <si>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</si>
  <si>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</si>
  <si>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</si>
  <si>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</si>
  <si>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</si>
  <si>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</si>
  <si>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</si>
  <si>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</si>
  <si>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</si>
  <si>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</si>
  <si>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</si>
  <si>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</si>
  <si>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</si>
  <si>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Corrected (v28): was 'Basic Intake', contradicting this sheet's own B495/B579 ('Basic+ AI Triage / AI Intake Triage Basic+') and the MGRS - EMAIL Logic and Example Quotes sheets, which all agree. Fixed to match the weight of evidence.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</si>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</sst>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101">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b val="true"/>
      <sz val="11"/>
      <color rgb="FF7C2D12"/>
      <name val="Cambria"/>
      <family val="0"/>
      <charset val="1"/>
    </font>
    <font>
      <b val="true"/>
      <sz val="11"/>
      <name val="Cambria"/>
      <family val="0"/>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9"/>
      <color rgb="FF4B5563"/>
      <name val="Cambria"/>
      <family val="0"/>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6" fillId="3"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5" borderId="0" xfId="0" applyFont="true" applyBorder="fals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9" fillId="4"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6" fillId="7" borderId="0" xfId="0" applyFont="true" applyBorder="false" applyAlignment="true" applyProtection="true">
      <alignment horizontal="left"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left" vertical="center" textRotation="0" wrapText="true" indent="0" shrinkToFit="false"/>
      <protection locked="true" hidden="false"/>
    </xf>
    <xf numFmtId="164" fontId="18"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4" fontId="20" fillId="5" borderId="0" xfId="0" applyFont="true" applyBorder="true" applyAlignment="true" applyProtection="true">
      <alignment horizontal="left" vertical="center" textRotation="0" wrapText="true" indent="0" shrinkToFit="false"/>
      <protection locked="true" hidden="false"/>
    </xf>
    <xf numFmtId="164" fontId="21" fillId="7"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general" vertical="center" textRotation="0" wrapText="false" indent="0" shrinkToFit="false"/>
      <protection locked="true" hidden="false"/>
    </xf>
    <xf numFmtId="164" fontId="25" fillId="8" borderId="0" xfId="0" applyFont="true" applyBorder="false" applyAlignment="true" applyProtection="true">
      <alignment horizontal="center" vertical="center" textRotation="0" wrapText="false" indent="0" shrinkToFit="false"/>
      <protection locked="true" hidden="false"/>
    </xf>
    <xf numFmtId="164" fontId="24" fillId="8"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4" fillId="9" borderId="0" xfId="0" applyFont="true" applyBorder="false" applyAlignment="true" applyProtection="true">
      <alignment horizontal="general" vertical="bottom" textRotation="0" wrapText="false" indent="0" shrinkToFit="false"/>
      <protection locked="true" hidden="false"/>
    </xf>
    <xf numFmtId="164" fontId="26" fillId="3" borderId="0" xfId="0" applyFont="true" applyBorder="false" applyAlignment="true" applyProtection="true">
      <alignment horizontal="general" vertical="bottom" textRotation="0" wrapText="false" indent="0" shrinkToFit="false"/>
      <protection locked="true" hidden="false"/>
    </xf>
    <xf numFmtId="165" fontId="24" fillId="3" borderId="0" xfId="0" applyFont="true" applyBorder="false" applyAlignment="true" applyProtection="true">
      <alignment horizontal="general" vertical="bottom"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11" borderId="0" xfId="0" applyFont="true" applyBorder="false" applyAlignment="true" applyProtection="true">
      <alignment horizontal="general" vertical="bottom" textRotation="0" wrapText="false" indent="0" shrinkToFit="false"/>
      <protection locked="true" hidden="false"/>
    </xf>
    <xf numFmtId="164" fontId="24" fillId="12" borderId="3" xfId="0" applyFont="true" applyBorder="true" applyAlignment="true" applyProtection="true">
      <alignment horizontal="general" vertical="bottom" textRotation="0" wrapText="false" indent="0" shrinkToFit="false"/>
      <protection locked="true" hidden="false"/>
    </xf>
    <xf numFmtId="164" fontId="24" fillId="13" borderId="0" xfId="0" applyFont="true" applyBorder="false" applyAlignment="true" applyProtection="true">
      <alignment horizontal="general" vertical="bottom" textRotation="0" wrapText="false" indent="0" shrinkToFit="false"/>
      <protection locked="true" hidden="false"/>
    </xf>
    <xf numFmtId="164" fontId="24" fillId="12" borderId="0" xfId="0" applyFont="true" applyBorder="false" applyAlignment="true" applyProtection="true">
      <alignment horizontal="general" vertical="bottom" textRotation="0" wrapText="false" indent="0" shrinkToFit="false"/>
      <protection locked="true" hidden="false"/>
    </xf>
    <xf numFmtId="164" fontId="24" fillId="14" borderId="0" xfId="0" applyFont="true" applyBorder="false" applyAlignment="true" applyProtection="true">
      <alignment horizontal="general" vertical="bottom" textRotation="0" wrapText="false" indent="0" shrinkToFit="false"/>
      <protection locked="true" hidden="false"/>
    </xf>
    <xf numFmtId="164" fontId="27" fillId="15" borderId="0" xfId="0" applyFont="true" applyBorder="false" applyAlignment="true" applyProtection="true">
      <alignment horizontal="general" vertical="bottom" textRotation="0" wrapText="false" indent="0" shrinkToFit="false"/>
      <protection locked="true" hidden="false"/>
    </xf>
    <xf numFmtId="164" fontId="24" fillId="0" borderId="4" xfId="0" applyFont="true" applyBorder="tru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general" vertical="center" textRotation="0" wrapText="false" indent="0" shrinkToFit="false"/>
      <protection locked="true" hidden="false"/>
    </xf>
    <xf numFmtId="165" fontId="24" fillId="16" borderId="5" xfId="0" applyFont="true" applyBorder="true" applyAlignment="true" applyProtection="true">
      <alignment horizontal="center" vertical="center" textRotation="0" wrapText="false" indent="0" shrinkToFit="false"/>
      <protection locked="true" hidden="false"/>
    </xf>
    <xf numFmtId="164" fontId="24" fillId="0" borderId="6" xfId="0" applyFont="true" applyBorder="true" applyAlignment="true" applyProtection="true">
      <alignment horizontal="general" vertical="center" textRotation="0" wrapText="false" indent="0" shrinkToFit="false"/>
      <protection locked="true" hidden="false"/>
    </xf>
    <xf numFmtId="164" fontId="27" fillId="17" borderId="0" xfId="0" applyFont="true" applyBorder="false" applyAlignment="true" applyProtection="true">
      <alignment horizontal="general" vertical="bottom" textRotation="0" wrapText="false" indent="0" shrinkToFit="false"/>
      <protection locked="true" hidden="false"/>
    </xf>
    <xf numFmtId="164" fontId="24" fillId="9" borderId="5" xfId="0" applyFont="true" applyBorder="true" applyAlignment="true" applyProtection="true">
      <alignment horizontal="center" vertical="center" textRotation="0" wrapText="false" indent="0" shrinkToFit="false"/>
      <protection locked="true" hidden="false"/>
    </xf>
    <xf numFmtId="164" fontId="25" fillId="18" borderId="0" xfId="0" applyFont="true" applyBorder="fals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left" vertical="center" textRotation="0" wrapText="false" indent="0" shrinkToFit="false"/>
      <protection locked="true" hidden="false"/>
    </xf>
    <xf numFmtId="164" fontId="24" fillId="0" borderId="6" xfId="0" applyFont="true" applyBorder="true" applyAlignment="true" applyProtection="true">
      <alignment horizontal="left" vertical="center" textRotation="0" wrapText="false" indent="0" shrinkToFit="false"/>
      <protection locked="true" hidden="false"/>
    </xf>
    <xf numFmtId="164" fontId="26" fillId="9" borderId="5" xfId="0" applyFont="true" applyBorder="true" applyAlignment="true" applyProtection="true">
      <alignment horizontal="center" vertical="center" textRotation="0" wrapText="false" indent="0" shrinkToFit="false"/>
      <protection locked="true" hidden="false"/>
    </xf>
    <xf numFmtId="164" fontId="26" fillId="0" borderId="5" xfId="0" applyFont="true" applyBorder="true" applyAlignment="true" applyProtection="true">
      <alignment horizontal="left" vertical="center" textRotation="0" wrapText="false" indent="0" shrinkToFit="false"/>
      <protection locked="true" hidden="false"/>
    </xf>
    <xf numFmtId="164" fontId="26" fillId="0" borderId="6" xfId="0" applyFont="true" applyBorder="true" applyAlignment="true" applyProtection="true">
      <alignment horizontal="left" vertical="center" textRotation="0" wrapText="false" indent="0" shrinkToFit="false"/>
      <protection locked="true" hidden="false"/>
    </xf>
    <xf numFmtId="164" fontId="26" fillId="19" borderId="4" xfId="0" applyFont="true" applyBorder="true" applyAlignment="true" applyProtection="true">
      <alignment horizontal="general" vertical="center" textRotation="0" wrapText="false" indent="0" shrinkToFit="false"/>
      <protection locked="true" hidden="false"/>
    </xf>
    <xf numFmtId="164" fontId="26" fillId="19" borderId="5" xfId="0" applyFont="true" applyBorder="true" applyAlignment="true" applyProtection="true">
      <alignment horizontal="general" vertical="center" textRotation="0" wrapText="false" indent="0" shrinkToFit="false"/>
      <protection locked="true" hidden="false"/>
    </xf>
    <xf numFmtId="165" fontId="26" fillId="19" borderId="5" xfId="0" applyFont="true" applyBorder="true" applyAlignment="true" applyProtection="true">
      <alignment horizontal="center" vertical="center" textRotation="0" wrapText="false" indent="0" shrinkToFit="false"/>
      <protection locked="true" hidden="false"/>
    </xf>
    <xf numFmtId="164" fontId="26" fillId="19" borderId="6" xfId="0" applyFont="true" applyBorder="true" applyAlignment="true" applyProtection="true">
      <alignment horizontal="general" vertical="center" textRotation="0" wrapText="false" indent="0" shrinkToFit="false"/>
      <protection locked="true" hidden="false"/>
    </xf>
    <xf numFmtId="164" fontId="26" fillId="20"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center" vertical="center" textRotation="0" wrapText="false" indent="0" shrinkToFit="false"/>
      <protection locked="true" hidden="false"/>
    </xf>
    <xf numFmtId="164" fontId="24" fillId="21" borderId="4" xfId="0" applyFont="true" applyBorder="true" applyAlignment="true" applyProtection="true">
      <alignment horizontal="general" vertical="center" textRotation="0" wrapText="false" indent="0" shrinkToFit="false"/>
      <protection locked="true" hidden="false"/>
    </xf>
    <xf numFmtId="164" fontId="24" fillId="21" borderId="5" xfId="0" applyFont="true" applyBorder="true" applyAlignment="true" applyProtection="true">
      <alignment horizontal="general" vertical="center" textRotation="0" wrapText="false" indent="0" shrinkToFit="false"/>
      <protection locked="true" hidden="false"/>
    </xf>
    <xf numFmtId="164" fontId="26" fillId="22" borderId="5" xfId="0" applyFont="true" applyBorder="true" applyAlignment="true" applyProtection="true">
      <alignment horizontal="center" vertical="center" textRotation="0" wrapText="false" indent="0" shrinkToFit="false"/>
      <protection locked="true" hidden="false"/>
    </xf>
    <xf numFmtId="164" fontId="24" fillId="21" borderId="6"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right"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25" fillId="4" borderId="0" xfId="0" applyFont="true" applyBorder="true" applyAlignment="true" applyProtection="true">
      <alignment horizontal="general" vertical="center" textRotation="0" wrapText="true" indent="0" shrinkToFit="false"/>
      <protection locked="true" hidden="false"/>
    </xf>
    <xf numFmtId="164" fontId="29" fillId="7" borderId="0" xfId="0" applyFont="true" applyBorder="false" applyAlignment="true" applyProtection="true">
      <alignment horizontal="right" vertical="center" textRotation="0" wrapText="false" indent="0" shrinkToFit="false"/>
      <protection locked="true" hidden="false"/>
    </xf>
    <xf numFmtId="164" fontId="29" fillId="7" borderId="0" xfId="0" applyFont="true" applyBorder="false" applyAlignment="true" applyProtection="true">
      <alignment horizontal="general" vertical="center" textRotation="0" wrapText="false" indent="0" shrinkToFit="false"/>
      <protection locked="true" hidden="false"/>
    </xf>
    <xf numFmtId="164" fontId="26" fillId="23" borderId="0" xfId="0" applyFont="true" applyBorder="false" applyAlignment="true" applyProtection="true">
      <alignment horizontal="general" vertical="bottom" textRotation="0" wrapText="false" indent="0" shrinkToFit="false"/>
      <protection locked="true" hidden="false"/>
    </xf>
    <xf numFmtId="164" fontId="24" fillId="23"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6" fillId="24" borderId="0" xfId="0" applyFont="true" applyBorder="false" applyAlignment="true" applyProtection="true">
      <alignment horizontal="general" vertical="bottom" textRotation="0" wrapText="false" indent="0" shrinkToFit="false"/>
      <protection locked="true" hidden="false"/>
    </xf>
    <xf numFmtId="164" fontId="30" fillId="24" borderId="0" xfId="0" applyFont="true" applyBorder="false" applyAlignment="true" applyProtection="true">
      <alignment horizontal="center" vertical="bottom" textRotation="0" wrapText="false" indent="0" shrinkToFit="false"/>
      <protection locked="true" hidden="false"/>
    </xf>
    <xf numFmtId="164" fontId="24" fillId="24" borderId="0" xfId="0" applyFont="true" applyBorder="false" applyAlignment="true" applyProtection="true">
      <alignment horizontal="general" vertical="bottom" textRotation="0" wrapText="false" indent="0" shrinkToFit="false"/>
      <protection locked="true" hidden="false"/>
    </xf>
    <xf numFmtId="164" fontId="25" fillId="5" borderId="7" xfId="0" applyFont="true" applyBorder="true" applyAlignment="true" applyProtection="true">
      <alignment horizontal="general" vertical="center" textRotation="0" wrapText="false" indent="0" shrinkToFit="false"/>
      <protection locked="true" hidden="false"/>
    </xf>
    <xf numFmtId="164" fontId="25" fillId="5" borderId="7" xfId="0" applyFont="true" applyBorder="true" applyAlignment="true" applyProtection="true">
      <alignment horizontal="center" vertical="center" textRotation="0" wrapText="true" indent="0" shrinkToFit="false"/>
      <protection locked="true" hidden="false"/>
    </xf>
    <xf numFmtId="164" fontId="31" fillId="0" borderId="4" xfId="0" applyFont="true" applyBorder="true" applyAlignment="true" applyProtection="true">
      <alignment horizontal="general" vertical="center" textRotation="0" wrapText="false" indent="0" shrinkToFit="false"/>
      <protection locked="true" hidden="false"/>
    </xf>
    <xf numFmtId="164" fontId="31" fillId="0" borderId="4" xfId="0" applyFont="true" applyBorder="true" applyAlignment="true" applyProtection="true">
      <alignment horizontal="right" vertical="center" textRotation="0" wrapText="false" indent="0" shrinkToFit="false"/>
      <protection locked="true" hidden="false"/>
    </xf>
    <xf numFmtId="166" fontId="31" fillId="24" borderId="8" xfId="0" applyFont="true" applyBorder="true" applyAlignment="true" applyProtection="true">
      <alignment horizontal="right" vertical="center" textRotation="0" wrapText="true" indent="0" shrinkToFit="false"/>
      <protection locked="true" hidden="false"/>
    </xf>
    <xf numFmtId="164" fontId="32" fillId="0" borderId="5" xfId="0" applyFont="true" applyBorder="true" applyAlignment="true" applyProtection="true">
      <alignment horizontal="left" vertical="center" textRotation="0" wrapText="true" indent="0" shrinkToFit="false"/>
      <protection locked="true" hidden="false"/>
    </xf>
    <xf numFmtId="164" fontId="24" fillId="0" borderId="6" xfId="0" applyFont="true" applyBorder="true" applyAlignment="true" applyProtection="true">
      <alignment horizontal="general" vertical="bottom" textRotation="0" wrapText="false" indent="0" shrinkToFit="false"/>
      <protection locked="true" hidden="false"/>
    </xf>
    <xf numFmtId="164" fontId="33" fillId="0" borderId="4" xfId="0" applyFont="true" applyBorder="true" applyAlignment="true" applyProtection="true">
      <alignment horizontal="general" vertical="center" textRotation="0" wrapText="false" indent="0" shrinkToFit="false"/>
      <protection locked="true" hidden="false"/>
    </xf>
    <xf numFmtId="164" fontId="33" fillId="0" borderId="4" xfId="0" applyFont="true" applyBorder="true" applyAlignment="true" applyProtection="true">
      <alignment horizontal="right" vertical="center" textRotation="0" wrapText="false" indent="0" shrinkToFit="false"/>
      <protection locked="true" hidden="false"/>
    </xf>
    <xf numFmtId="166" fontId="33" fillId="24" borderId="8" xfId="0" applyFont="true" applyBorder="true" applyAlignment="true" applyProtection="true">
      <alignment horizontal="right" vertical="center" textRotation="0" wrapText="true" indent="0" shrinkToFit="false"/>
      <protection locked="true" hidden="false"/>
    </xf>
    <xf numFmtId="164" fontId="34" fillId="0" borderId="5" xfId="0" applyFont="true" applyBorder="true" applyAlignment="true" applyProtection="true">
      <alignment horizontal="left" vertical="center" textRotation="0" wrapText="true" indent="0" shrinkToFit="false"/>
      <protection locked="true" hidden="false"/>
    </xf>
    <xf numFmtId="164" fontId="24" fillId="24" borderId="0" xfId="0" applyFont="true" applyBorder="false" applyAlignment="true" applyProtection="true">
      <alignment horizontal="right" vertical="bottom" textRotation="0" wrapText="false" indent="0" shrinkToFit="false"/>
      <protection locked="true" hidden="false"/>
    </xf>
    <xf numFmtId="164" fontId="35" fillId="0" borderId="4" xfId="0" applyFont="true" applyBorder="true" applyAlignment="true" applyProtection="true">
      <alignment horizontal="general" vertical="center" textRotation="0" wrapText="false" indent="0" shrinkToFit="false"/>
      <protection locked="true" hidden="false"/>
    </xf>
    <xf numFmtId="164" fontId="35" fillId="0" borderId="4" xfId="0" applyFont="true" applyBorder="true" applyAlignment="true" applyProtection="true">
      <alignment horizontal="right" vertical="center" textRotation="0" wrapText="false" indent="0" shrinkToFit="false"/>
      <protection locked="true" hidden="false"/>
    </xf>
    <xf numFmtId="166" fontId="35" fillId="24" borderId="8" xfId="0" applyFont="true" applyBorder="true" applyAlignment="true" applyProtection="true">
      <alignment horizontal="right" vertical="center" textRotation="0" wrapText="true" indent="0" shrinkToFit="false"/>
      <protection locked="true" hidden="false"/>
    </xf>
    <xf numFmtId="164" fontId="29" fillId="7" borderId="0" xfId="0" applyFont="true" applyBorder="true" applyAlignment="true" applyProtection="true">
      <alignment horizontal="general" vertical="center" textRotation="0" wrapText="tru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6" fillId="25" borderId="0" xfId="0" applyFont="true" applyBorder="false" applyAlignment="true" applyProtection="true">
      <alignment horizontal="general" vertical="bottom" textRotation="0" wrapText="false" indent="0" shrinkToFit="false"/>
      <protection locked="true" hidden="false"/>
    </xf>
    <xf numFmtId="164" fontId="37" fillId="26" borderId="0" xfId="0" applyFont="true" applyBorder="false" applyAlignment="true" applyProtection="true">
      <alignment horizontal="general" vertical="center" textRotation="0" wrapText="false" indent="0" shrinkToFit="false"/>
      <protection locked="true" hidden="false"/>
    </xf>
    <xf numFmtId="164" fontId="38" fillId="8" borderId="0" xfId="0" applyFont="true" applyBorder="false" applyAlignment="true" applyProtection="true">
      <alignment horizontal="left" vertical="center" textRotation="0" wrapText="false" indent="0" shrinkToFit="false"/>
      <protection locked="true" hidden="false"/>
    </xf>
    <xf numFmtId="164" fontId="39" fillId="27" borderId="0" xfId="0" applyFont="true" applyBorder="true" applyAlignment="true" applyProtection="true">
      <alignment horizontal="left" vertical="center" textRotation="0" wrapText="false" indent="0" shrinkToFit="false"/>
      <protection locked="true" hidden="false"/>
    </xf>
    <xf numFmtId="164" fontId="40" fillId="7" borderId="0" xfId="0" applyFont="true" applyBorder="false" applyAlignment="true" applyProtection="true">
      <alignment horizontal="general" vertical="bottom" textRotation="0" wrapText="false" indent="0" shrinkToFit="false"/>
      <protection locked="true" hidden="false"/>
    </xf>
    <xf numFmtId="164" fontId="36" fillId="7" borderId="0" xfId="0" applyFont="true" applyBorder="false" applyAlignment="true" applyProtection="true">
      <alignment horizontal="general" vertical="bottom" textRotation="0" wrapText="false" indent="0" shrinkToFit="false"/>
      <protection locked="true" hidden="false"/>
    </xf>
    <xf numFmtId="164" fontId="41" fillId="28" borderId="0" xfId="0" applyFont="true" applyBorder="false" applyAlignment="true" applyProtection="true">
      <alignment horizontal="left" vertical="center" textRotation="0" wrapText="false" indent="0" shrinkToFit="false"/>
      <protection locked="true" hidden="false"/>
    </xf>
    <xf numFmtId="164" fontId="36" fillId="28" borderId="0" xfId="0" applyFont="true" applyBorder="false" applyAlignment="true" applyProtection="true">
      <alignment horizontal="general" vertical="bottom" textRotation="0" wrapText="false" indent="0" shrinkToFit="false"/>
      <protection locked="true" hidden="false"/>
    </xf>
    <xf numFmtId="164" fontId="42" fillId="28" borderId="0" xfId="0" applyFont="true" applyBorder="false" applyAlignment="true" applyProtection="true">
      <alignment horizontal="left" vertical="center" textRotation="0" wrapText="false" indent="0" shrinkToFit="false"/>
      <protection locked="true" hidden="false"/>
    </xf>
    <xf numFmtId="166" fontId="42" fillId="9" borderId="0" xfId="0" applyFont="true" applyBorder="false" applyAlignment="true" applyProtection="true">
      <alignment horizontal="right" vertical="center" textRotation="0" wrapText="false" indent="0" shrinkToFit="false"/>
      <protection locked="true" hidden="false"/>
    </xf>
    <xf numFmtId="164" fontId="43" fillId="28" borderId="0" xfId="0" applyFont="true" applyBorder="false" applyAlignment="true" applyProtection="true">
      <alignment horizontal="left" vertical="center" textRotation="0" wrapText="false" indent="0" shrinkToFit="false"/>
      <protection locked="true" hidden="false"/>
    </xf>
    <xf numFmtId="166" fontId="42" fillId="16" borderId="0" xfId="0" applyFont="true" applyBorder="false" applyAlignment="true" applyProtection="true">
      <alignment horizontal="right" vertical="center" textRotation="0" wrapText="false" indent="0" shrinkToFit="false"/>
      <protection locked="true" hidden="false"/>
    </xf>
    <xf numFmtId="166" fontId="44" fillId="19" borderId="0" xfId="0" applyFont="true" applyBorder="false" applyAlignment="true" applyProtection="true">
      <alignment horizontal="right" vertical="center" textRotation="0" wrapText="false" indent="0" shrinkToFit="false"/>
      <protection locked="true" hidden="false"/>
    </xf>
    <xf numFmtId="166" fontId="45" fillId="16" borderId="0" xfId="0" applyFont="true" applyBorder="false" applyAlignment="true" applyProtection="true">
      <alignment horizontal="right" vertical="center" textRotation="0" wrapText="false" indent="0" shrinkToFit="false"/>
      <protection locked="true" hidden="false"/>
    </xf>
    <xf numFmtId="166" fontId="46" fillId="19" borderId="0" xfId="0" applyFont="true" applyBorder="false" applyAlignment="true" applyProtection="true">
      <alignment horizontal="right" vertical="center" textRotation="0" wrapText="false" indent="0" shrinkToFit="false"/>
      <protection locked="true" hidden="false"/>
    </xf>
    <xf numFmtId="166" fontId="47" fillId="29" borderId="0" xfId="0" applyFont="true" applyBorder="false" applyAlignment="true" applyProtection="true">
      <alignment horizontal="right" vertical="center" textRotation="0" wrapText="false" indent="0" shrinkToFit="false"/>
      <protection locked="true" hidden="false"/>
    </xf>
    <xf numFmtId="164" fontId="48" fillId="28" borderId="0" xfId="0" applyFont="true" applyBorder="false" applyAlignment="true" applyProtection="true">
      <alignment horizontal="left" vertical="center" textRotation="0" wrapText="true" indent="0" shrinkToFit="false"/>
      <protection locked="true" hidden="false"/>
    </xf>
    <xf numFmtId="165" fontId="48" fillId="16" borderId="0" xfId="0" applyFont="true" applyBorder="false" applyAlignment="true" applyProtection="true">
      <alignment horizontal="left" vertical="center" textRotation="0" wrapText="true" indent="0" shrinkToFit="false"/>
      <protection locked="true" hidden="false"/>
    </xf>
    <xf numFmtId="164" fontId="48" fillId="28" borderId="0" xfId="0" applyFont="true" applyBorder="false" applyAlignment="true" applyProtection="true">
      <alignment horizontal="left" vertical="center" textRotation="0" wrapText="false" indent="0" shrinkToFit="false"/>
      <protection locked="true" hidden="false"/>
    </xf>
    <xf numFmtId="167" fontId="47" fillId="29" borderId="0" xfId="0" applyFont="true" applyBorder="false" applyAlignment="true" applyProtection="true">
      <alignment horizontal="right" vertical="center" textRotation="0" wrapText="false" indent="0" shrinkToFit="false"/>
      <protection locked="true" hidden="false"/>
    </xf>
    <xf numFmtId="168" fontId="48" fillId="16" borderId="0" xfId="0" applyFont="true" applyBorder="false" applyAlignment="true" applyProtection="true">
      <alignment horizontal="left" vertical="center" textRotation="0" wrapText="true" indent="0" shrinkToFit="false"/>
      <protection locked="true" hidden="false"/>
    </xf>
    <xf numFmtId="168" fontId="0" fillId="29" borderId="0" xfId="0" applyFont="false" applyBorder="false" applyAlignment="true" applyProtection="true">
      <alignment horizontal="left" vertical="center" textRotation="0" wrapText="true" indent="0" shrinkToFit="false"/>
      <protection locked="true" hidden="false"/>
    </xf>
    <xf numFmtId="168" fontId="48" fillId="29" borderId="0" xfId="0" applyFont="true" applyBorder="false" applyAlignment="true" applyProtection="true">
      <alignment horizontal="left" vertical="center" textRotation="0" wrapText="true" indent="0" shrinkToFit="false"/>
      <protection locked="true" hidden="false"/>
    </xf>
    <xf numFmtId="166" fontId="48" fillId="29" borderId="0" xfId="0" applyFont="true" applyBorder="false" applyAlignment="true" applyProtection="true">
      <alignment horizontal="left" vertical="center" textRotation="0" wrapText="true" indent="0" shrinkToFit="false"/>
      <protection locked="true" hidden="false"/>
    </xf>
    <xf numFmtId="164" fontId="49" fillId="27" borderId="0" xfId="0" applyFont="true" applyBorder="false" applyAlignment="true" applyProtection="true">
      <alignment horizontal="left" vertical="center" textRotation="0" wrapText="true" indent="0" shrinkToFit="false"/>
      <protection locked="true" hidden="false"/>
    </xf>
    <xf numFmtId="166" fontId="48" fillId="9" borderId="0" xfId="0" applyFont="true" applyBorder="false" applyAlignment="true" applyProtection="true">
      <alignment horizontal="left" vertical="center" textRotation="0" wrapText="true" indent="0" shrinkToFit="false"/>
      <protection locked="true" hidden="false"/>
    </xf>
    <xf numFmtId="166" fontId="48" fillId="16" borderId="0" xfId="0" applyFont="true" applyBorder="false" applyAlignment="true" applyProtection="true">
      <alignment horizontal="left" vertical="center" textRotation="0" wrapText="false" indent="0" shrinkToFit="false"/>
      <protection locked="true" hidden="false"/>
    </xf>
    <xf numFmtId="164" fontId="50" fillId="30" borderId="0" xfId="0" applyFont="true" applyBorder="true" applyAlignment="true" applyProtection="true">
      <alignment horizontal="general" vertical="center" textRotation="0" wrapText="true" indent="0" shrinkToFit="false"/>
      <protection locked="true" hidden="false"/>
    </xf>
    <xf numFmtId="164" fontId="51" fillId="27" borderId="0" xfId="0" applyFont="true" applyBorder="true" applyAlignment="true" applyProtection="true">
      <alignment horizontal="left" vertical="center" textRotation="0" wrapText="true" indent="0" shrinkToFit="false"/>
      <protection locked="true" hidden="false"/>
    </xf>
    <xf numFmtId="164" fontId="48" fillId="27" borderId="0" xfId="0" applyFont="true" applyBorder="true" applyAlignment="true" applyProtection="true">
      <alignment horizontal="left" vertical="center" textRotation="0" wrapText="true" indent="0" shrinkToFit="false"/>
      <protection locked="true" hidden="false"/>
    </xf>
    <xf numFmtId="169" fontId="46" fillId="19" borderId="0" xfId="0" applyFont="true" applyBorder="false" applyAlignment="true" applyProtection="true">
      <alignment horizontal="right" vertical="center" textRotation="0" wrapText="false" indent="0" shrinkToFit="false"/>
      <protection locked="true" hidden="false"/>
    </xf>
    <xf numFmtId="164" fontId="52" fillId="27" borderId="0" xfId="0" applyFont="true" applyBorder="true" applyAlignment="true" applyProtection="true">
      <alignment horizontal="left" vertical="center" textRotation="0" wrapText="true" indent="0" shrinkToFit="false"/>
      <protection locked="true" hidden="false"/>
    </xf>
    <xf numFmtId="164" fontId="53" fillId="9" borderId="0" xfId="0" applyFont="true" applyBorder="false" applyAlignment="true" applyProtection="true">
      <alignment horizontal="general" vertical="bottom" textRotation="0" wrapText="false" indent="0" shrinkToFit="false"/>
      <protection locked="true" hidden="false"/>
    </xf>
    <xf numFmtId="164" fontId="53" fillId="9" borderId="0" xfId="0" applyFont="true" applyBorder="false" applyAlignment="true" applyProtection="true">
      <alignment horizontal="general" vertical="bottom" textRotation="0" wrapText="true" indent="0" shrinkToFit="false"/>
      <protection locked="true" hidden="false"/>
    </xf>
    <xf numFmtId="164" fontId="54" fillId="8" borderId="0" xfId="0" applyFont="true" applyBorder="false" applyAlignment="true" applyProtection="true">
      <alignment horizontal="center" vertical="center" textRotation="0" wrapText="true" indent="0" shrinkToFit="false"/>
      <protection locked="true" hidden="false"/>
    </xf>
    <xf numFmtId="164" fontId="54" fillId="8" borderId="0" xfId="0" applyFont="true" applyBorder="false" applyAlignment="true" applyProtection="true">
      <alignment horizontal="left" vertical="top"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55" fillId="9"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8" borderId="0" xfId="0" applyFont="true" applyBorder="false" applyAlignment="true" applyProtection="true">
      <alignment horizontal="center" vertical="center" textRotation="0" wrapText="tru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8" fillId="0" borderId="0" xfId="0" applyFont="true" applyBorder="fals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58" fillId="0"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54" fillId="31" borderId="0" xfId="0" applyFont="true" applyBorder="true" applyAlignment="true" applyProtection="true">
      <alignment horizontal="left" vertical="center" textRotation="0" wrapText="tru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70" fontId="0" fillId="9"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60" fillId="32" borderId="0" xfId="0" applyFont="true" applyBorder="true" applyAlignment="true" applyProtection="true">
      <alignment horizontal="general" vertical="top" textRotation="0" wrapText="true" indent="0" shrinkToFit="false"/>
      <protection locked="true" hidden="false"/>
    </xf>
    <xf numFmtId="164" fontId="61" fillId="8" borderId="0" xfId="0" applyFont="true" applyBorder="false" applyAlignment="true" applyProtection="true">
      <alignment horizontal="center" vertical="center" textRotation="0" wrapText="true" indent="0" shrinkToFit="false"/>
      <protection locked="true" hidden="false"/>
    </xf>
    <xf numFmtId="164" fontId="61" fillId="0" borderId="0" xfId="0" applyFont="true" applyBorder="false" applyAlignment="true" applyProtection="true">
      <alignment horizontal="center" vertical="bottom" textRotation="0" wrapText="tru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5" fontId="0" fillId="16"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3" borderId="0" xfId="0" applyFont="true" applyBorder="false" applyAlignment="true" applyProtection="true">
      <alignment horizontal="general" vertical="top"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true" indent="0" shrinkToFit="false"/>
      <protection locked="true" hidden="false"/>
    </xf>
    <xf numFmtId="164" fontId="62" fillId="6" borderId="0" xfId="0" applyFont="true" applyBorder="true" applyAlignment="true" applyProtection="true">
      <alignment horizontal="left" vertical="center" textRotation="0" wrapText="true" indent="0" shrinkToFit="false"/>
      <protection locked="true" hidden="false"/>
    </xf>
    <xf numFmtId="164" fontId="63" fillId="4" borderId="1" xfId="0" applyFont="true" applyBorder="true" applyAlignment="true" applyProtection="true">
      <alignment horizontal="center" vertical="center" textRotation="0" wrapText="true" indent="0" shrinkToFit="false"/>
      <protection locked="true" hidden="false"/>
    </xf>
    <xf numFmtId="164" fontId="63" fillId="4" borderId="1" xfId="0" applyFont="true" applyBorder="true" applyAlignment="true" applyProtection="true">
      <alignment horizontal="left" vertical="center" textRotation="0" wrapText="true" indent="0" shrinkToFit="false"/>
      <protection locked="true" hidden="false"/>
    </xf>
    <xf numFmtId="171" fontId="13" fillId="16" borderId="1" xfId="0" applyFont="true" applyBorder="true" applyAlignment="true" applyProtection="true">
      <alignment horizontal="right" vertical="center" textRotation="0" wrapText="true" indent="0" shrinkToFit="false"/>
      <protection locked="true" hidden="false"/>
    </xf>
    <xf numFmtId="164" fontId="64" fillId="0" borderId="1" xfId="0" applyFont="true" applyBorder="true" applyAlignment="true" applyProtection="true">
      <alignment horizontal="center" vertical="center" textRotation="0" wrapText="true" indent="0" shrinkToFit="false"/>
      <protection locked="true" hidden="false"/>
    </xf>
    <xf numFmtId="164" fontId="65" fillId="0" borderId="1" xfId="0" applyFont="true" applyBorder="true" applyAlignment="true" applyProtection="true">
      <alignment horizontal="left" vertical="center" textRotation="0" wrapText="true" indent="0" shrinkToFit="false"/>
      <protection locked="true" hidden="false"/>
    </xf>
    <xf numFmtId="164" fontId="65" fillId="33" borderId="1" xfId="0" applyFont="true" applyBorder="true" applyAlignment="true" applyProtection="true">
      <alignment horizontal="general" vertical="top" textRotation="0" wrapText="true" indent="0" shrinkToFit="false"/>
      <protection locked="true" hidden="false"/>
    </xf>
    <xf numFmtId="171" fontId="66" fillId="16" borderId="1" xfId="0" applyFont="true" applyBorder="true" applyAlignment="true" applyProtection="true">
      <alignment horizontal="right" vertical="center" textRotation="0" wrapText="true" indent="0" shrinkToFit="false"/>
      <protection locked="true" hidden="false"/>
    </xf>
    <xf numFmtId="164" fontId="67" fillId="0" borderId="1" xfId="0" applyFont="true" applyBorder="true" applyAlignment="true" applyProtection="true">
      <alignment horizontal="center" vertical="center" textRotation="0" wrapText="true" indent="0" shrinkToFit="false"/>
      <protection locked="true" hidden="false"/>
    </xf>
    <xf numFmtId="164" fontId="58" fillId="0" borderId="1" xfId="0" applyFont="true" applyBorder="true" applyAlignment="true" applyProtection="true">
      <alignment horizontal="left" vertical="center" textRotation="0" wrapText="true" indent="0" shrinkToFit="false"/>
      <protection locked="true" hidden="false"/>
    </xf>
    <xf numFmtId="171" fontId="68" fillId="16" borderId="1" xfId="0" applyFont="true" applyBorder="true" applyAlignment="true" applyProtection="true">
      <alignment horizontal="right" vertical="center" textRotation="0" wrapText="true" indent="0" shrinkToFit="false"/>
      <protection locked="true" hidden="false"/>
    </xf>
    <xf numFmtId="164" fontId="69" fillId="33" borderId="1" xfId="0" applyFont="true" applyBorder="true" applyAlignment="true" applyProtection="true">
      <alignment horizontal="general" vertical="top" textRotation="0" wrapText="true" indent="0" shrinkToFit="false"/>
      <protection locked="true" hidden="false"/>
    </xf>
    <xf numFmtId="164" fontId="70" fillId="0" borderId="0"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left" vertical="center" textRotation="0" wrapText="true" indent="0" shrinkToFit="false"/>
      <protection locked="true" hidden="false"/>
    </xf>
    <xf numFmtId="164" fontId="54" fillId="8"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8" fontId="7" fillId="34" borderId="9"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70" fontId="7" fillId="34" borderId="9" xfId="0" applyFont="true" applyBorder="true" applyAlignment="true" applyProtection="true">
      <alignment horizontal="center" vertical="center" textRotation="0" wrapText="true" indent="0" shrinkToFit="false"/>
      <protection locked="true" hidden="false"/>
    </xf>
    <xf numFmtId="167" fontId="7" fillId="34" borderId="9" xfId="0" applyFont="true" applyBorder="true" applyAlignment="true" applyProtection="true">
      <alignment horizontal="center" vertical="center" textRotation="0" wrapText="true" indent="0" shrinkToFit="false"/>
      <protection locked="true" hidden="false"/>
    </xf>
    <xf numFmtId="164" fontId="63" fillId="35" borderId="9" xfId="0" applyFont="true" applyBorder="true" applyAlignment="true" applyProtection="true">
      <alignment horizontal="center" vertical="center" textRotation="0" wrapText="true" indent="0" shrinkToFit="false"/>
      <protection locked="true" hidden="false"/>
    </xf>
    <xf numFmtId="164" fontId="11" fillId="0" borderId="9" xfId="0" applyFont="true" applyBorder="true" applyAlignment="true" applyProtection="true">
      <alignment horizontal="left" vertical="center" textRotation="0" wrapText="false" indent="0" shrinkToFit="false"/>
      <protection locked="true" hidden="false"/>
    </xf>
    <xf numFmtId="166" fontId="17" fillId="0" borderId="9" xfId="0" applyFont="true" applyBorder="true" applyAlignment="true" applyProtection="true">
      <alignment horizontal="right" vertical="center" textRotation="0" wrapText="false" indent="0" shrinkToFit="false"/>
      <protection locked="true" hidden="false"/>
    </xf>
    <xf numFmtId="164" fontId="11" fillId="7" borderId="9" xfId="0" applyFont="true" applyBorder="true" applyAlignment="true" applyProtection="true">
      <alignment horizontal="left" vertical="center" textRotation="0" wrapText="false" indent="0" shrinkToFit="false"/>
      <protection locked="true" hidden="false"/>
    </xf>
    <xf numFmtId="166" fontId="17" fillId="7" borderId="9"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71"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2" fillId="3" borderId="0" xfId="0" applyFont="true" applyBorder="tru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general" vertical="bottom" textRotation="0" wrapText="false" indent="0" shrinkToFit="false"/>
      <protection locked="true" hidden="false"/>
    </xf>
    <xf numFmtId="166" fontId="0" fillId="16" borderId="0" xfId="0" applyFont="fals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8" fontId="0" fillId="16" borderId="0" xfId="0" applyFont="false" applyBorder="false" applyAlignment="true" applyProtection="true">
      <alignment horizontal="general" vertical="bottom" textRotation="0" wrapText="false" indent="0" shrinkToFit="false"/>
      <protection locked="true" hidden="false"/>
    </xf>
    <xf numFmtId="164" fontId="74" fillId="0" borderId="0" xfId="0" applyFont="true" applyBorder="false" applyAlignment="true" applyProtection="true">
      <alignment horizontal="general" vertical="top" textRotation="0" wrapText="true" indent="0" shrinkToFit="false"/>
      <protection locked="true" hidden="false"/>
    </xf>
    <xf numFmtId="164" fontId="74" fillId="0" borderId="0" xfId="0" applyFont="true" applyBorder="true" applyAlignment="true" applyProtection="true">
      <alignment horizontal="general" vertical="top" textRotation="0" wrapText="true" indent="0" shrinkToFit="false"/>
      <protection locked="true" hidden="false"/>
    </xf>
    <xf numFmtId="164" fontId="75" fillId="0" borderId="0" xfId="0" applyFont="true" applyBorder="false" applyAlignment="true" applyProtection="true">
      <alignment horizontal="general" vertical="bottom" textRotation="0" wrapText="false" indent="0" shrinkToFit="false"/>
      <protection locked="true" hidden="false"/>
    </xf>
    <xf numFmtId="164" fontId="76" fillId="2" borderId="0" xfId="0" applyFont="true" applyBorder="false" applyAlignment="true" applyProtection="true">
      <alignment horizontal="left" vertical="center" textRotation="0" wrapText="false" indent="0" shrinkToFit="false"/>
      <protection locked="true" hidden="false"/>
    </xf>
    <xf numFmtId="164" fontId="77" fillId="0" borderId="0" xfId="0" applyFont="true" applyBorder="true" applyAlignment="true" applyProtection="true">
      <alignment horizontal="general" vertical="center" textRotation="0" wrapText="true" indent="0" shrinkToFit="false"/>
      <protection locked="true" hidden="false"/>
    </xf>
    <xf numFmtId="164" fontId="76" fillId="6" borderId="0" xfId="0" applyFont="true" applyBorder="false" applyAlignment="true" applyProtection="true">
      <alignment horizontal="general" vertical="center" textRotation="0" wrapText="false" indent="0" shrinkToFit="false"/>
      <protection locked="true" hidden="false"/>
    </xf>
    <xf numFmtId="164" fontId="78" fillId="0" borderId="0" xfId="0" applyFont="true" applyBorder="false" applyAlignment="true" applyProtection="true">
      <alignment horizontal="left" vertical="center" textRotation="0" wrapText="true" indent="0" shrinkToFit="false"/>
      <protection locked="true" hidden="false"/>
    </xf>
    <xf numFmtId="164" fontId="79" fillId="0" borderId="10" xfId="0" applyFont="true" applyBorder="tru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left" vertical="center" textRotation="0" wrapText="true" indent="0" shrinkToFit="false"/>
      <protection locked="true" hidden="false"/>
    </xf>
    <xf numFmtId="164" fontId="78" fillId="0" borderId="11" xfId="0" applyFont="true" applyBorder="true" applyAlignment="true" applyProtection="true">
      <alignment horizontal="left" vertical="center" textRotation="0" wrapText="true" indent="0" shrinkToFit="false"/>
      <protection locked="true" hidden="false"/>
    </xf>
    <xf numFmtId="171" fontId="75"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center" textRotation="0" wrapText="false" indent="0" shrinkToFit="false"/>
      <protection locked="true" hidden="false"/>
    </xf>
    <xf numFmtId="164" fontId="80" fillId="0" borderId="11" xfId="0" applyFont="true" applyBorder="true" applyAlignment="true" applyProtection="true">
      <alignment horizontal="left"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true" indent="0" shrinkToFit="false"/>
      <protection locked="true" hidden="false"/>
    </xf>
    <xf numFmtId="164" fontId="80" fillId="0" borderId="11" xfId="0" applyFont="true" applyBorder="true" applyAlignment="true" applyProtection="true">
      <alignment horizontal="center"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false" indent="0" shrinkToFit="false"/>
      <protection locked="true" hidden="false"/>
    </xf>
    <xf numFmtId="164" fontId="82" fillId="0" borderId="0" xfId="0" applyFont="true" applyBorder="false" applyAlignment="true" applyProtection="true">
      <alignment horizontal="general" vertical="center" textRotation="0" wrapText="false" indent="0" shrinkToFit="false"/>
      <protection locked="true" hidden="false"/>
    </xf>
    <xf numFmtId="164" fontId="83" fillId="0" borderId="0" xfId="0" applyFont="true" applyBorder="false" applyAlignment="true" applyProtection="true">
      <alignment horizontal="general" vertical="center" textRotation="0" wrapText="false" indent="0" shrinkToFit="false"/>
      <protection locked="true" hidden="false"/>
    </xf>
    <xf numFmtId="164" fontId="76" fillId="5" borderId="0" xfId="0" applyFont="true" applyBorder="fals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general" vertical="center" textRotation="0" wrapText="false" indent="0" shrinkToFit="false"/>
      <protection locked="true" hidden="false"/>
    </xf>
    <xf numFmtId="164" fontId="84" fillId="0" borderId="11" xfId="0" applyFont="true" applyBorder="true" applyAlignment="true" applyProtection="true">
      <alignment horizontal="general" vertical="center" textRotation="0" wrapText="false" indent="0" shrinkToFit="false"/>
      <protection locked="true" hidden="false"/>
    </xf>
    <xf numFmtId="164" fontId="81" fillId="0" borderId="11" xfId="0" applyFont="true" applyBorder="true" applyAlignment="true" applyProtection="true">
      <alignment horizontal="general" vertical="center" textRotation="0" wrapText="false" indent="0" shrinkToFit="false"/>
      <protection locked="true" hidden="false"/>
    </xf>
    <xf numFmtId="164" fontId="75" fillId="0" borderId="12" xfId="0" applyFont="true" applyBorder="true" applyAlignment="true" applyProtection="true">
      <alignment horizontal="general" vertical="bottom" textRotation="0" wrapText="false" indent="0" shrinkToFit="false"/>
      <protection locked="true" hidden="false"/>
    </xf>
    <xf numFmtId="164" fontId="75" fillId="0" borderId="13" xfId="0" applyFont="true" applyBorder="true" applyAlignment="true" applyProtection="true">
      <alignment horizontal="general" vertical="bottom" textRotation="0" wrapText="false" indent="0" shrinkToFit="false"/>
      <protection locked="true" hidden="false"/>
    </xf>
    <xf numFmtId="164" fontId="76" fillId="35" borderId="0" xfId="0" applyFont="true" applyBorder="false" applyAlignment="true" applyProtection="true">
      <alignment horizontal="general" vertical="center" textRotation="0" wrapText="false" indent="0" shrinkToFit="false"/>
      <protection locked="true" hidden="false"/>
    </xf>
    <xf numFmtId="164" fontId="76" fillId="4" borderId="0" xfId="0" applyFont="true" applyBorder="false" applyAlignment="true" applyProtection="true">
      <alignment horizontal="general" vertical="center" textRotation="0" wrapText="false" indent="0" shrinkToFit="false"/>
      <protection locked="true" hidden="false"/>
    </xf>
    <xf numFmtId="164" fontId="81" fillId="0" borderId="0" xfId="0" applyFont="true" applyBorder="false" applyAlignment="true" applyProtection="true">
      <alignment horizontal="general" vertical="center" textRotation="0" wrapText="false" indent="0" shrinkToFit="false"/>
      <protection locked="true" hidden="false"/>
    </xf>
    <xf numFmtId="164" fontId="85" fillId="0" borderId="0" xfId="0" applyFont="true" applyBorder="false" applyAlignment="true" applyProtection="true">
      <alignment horizontal="general" vertical="center" textRotation="0" wrapText="false" indent="0" shrinkToFit="false"/>
      <protection locked="true" hidden="false"/>
    </xf>
    <xf numFmtId="164" fontId="86"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bottom" textRotation="0" wrapText="true" indent="0" shrinkToFit="false"/>
      <protection locked="true" hidden="false"/>
    </xf>
    <xf numFmtId="164" fontId="82" fillId="0" borderId="14" xfId="0" applyFont="true" applyBorder="true" applyAlignment="true" applyProtection="true">
      <alignment horizontal="general" vertical="center" textRotation="0" wrapText="false" indent="0" shrinkToFit="false"/>
      <protection locked="true" hidden="false"/>
    </xf>
    <xf numFmtId="164" fontId="75" fillId="12" borderId="3" xfId="0" applyFont="true" applyBorder="true" applyAlignment="true" applyProtection="true">
      <alignment horizontal="general" vertical="bottom" textRotation="0" wrapText="false" indent="0" shrinkToFit="false"/>
      <protection locked="true" hidden="false"/>
    </xf>
    <xf numFmtId="171" fontId="75" fillId="36" borderId="0" xfId="0" applyFont="true" applyBorder="false" applyAlignment="true" applyProtection="true">
      <alignment horizontal="general" vertical="center" textRotation="0" wrapText="false" indent="0" shrinkToFit="false"/>
      <protection locked="true" hidden="false"/>
    </xf>
    <xf numFmtId="171" fontId="75" fillId="23" borderId="0" xfId="0" applyFont="true" applyBorder="false" applyAlignment="true" applyProtection="true">
      <alignment horizontal="general" vertical="center" textRotation="0" wrapText="false" indent="0" shrinkToFit="false"/>
      <protection locked="true" hidden="false"/>
    </xf>
    <xf numFmtId="171" fontId="75" fillId="12" borderId="3" xfId="0" applyFont="true" applyBorder="true" applyAlignment="true" applyProtection="true">
      <alignment horizontal="general" vertical="center" textRotation="0" wrapText="false" indent="0" shrinkToFit="false"/>
      <protection locked="true" hidden="false"/>
    </xf>
    <xf numFmtId="164" fontId="53" fillId="3" borderId="0" xfId="0" applyFont="true" applyBorder="false" applyAlignment="true" applyProtection="true">
      <alignment horizontal="general" vertical="bottom" textRotation="0" wrapText="false" indent="0" shrinkToFit="false"/>
      <protection locked="true" hidden="false"/>
    </xf>
    <xf numFmtId="164" fontId="87" fillId="2" borderId="0" xfId="0" applyFont="true" applyBorder="false" applyAlignment="true" applyProtection="true">
      <alignment horizontal="general" vertical="bottom" textRotation="0" wrapText="false" indent="0" shrinkToFit="false"/>
      <protection locked="true" hidden="false"/>
    </xf>
    <xf numFmtId="164" fontId="88"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89" fillId="0" borderId="0" xfId="0" applyFont="true" applyBorder="false" applyAlignment="true" applyProtection="true">
      <alignment horizontal="general" vertical="center" textRotation="0" wrapText="false" indent="0" shrinkToFit="false"/>
      <protection locked="true" hidden="false"/>
    </xf>
    <xf numFmtId="164" fontId="90" fillId="22" borderId="0" xfId="0" applyFont="true" applyBorder="false" applyAlignment="true" applyProtection="true">
      <alignment horizontal="center" vertical="center" textRotation="0" wrapText="true" indent="0" shrinkToFit="false"/>
      <protection locked="true" hidden="false"/>
    </xf>
    <xf numFmtId="164" fontId="48" fillId="2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56" fillId="0" borderId="0" xfId="0" applyFont="true" applyBorder="false" applyAlignment="true" applyProtection="true">
      <alignment horizontal="general" vertical="top" textRotation="0" wrapText="false" indent="0" shrinkToFit="false"/>
      <protection locked="true" hidden="false"/>
    </xf>
    <xf numFmtId="164" fontId="54" fillId="37" borderId="0" xfId="0" applyFont="true" applyBorder="false" applyAlignment="true" applyProtection="true">
      <alignment horizontal="general" vertical="top" textRotation="0" wrapText="true" indent="0" shrinkToFit="false"/>
      <protection locked="true" hidden="false"/>
    </xf>
    <xf numFmtId="164" fontId="53" fillId="27" borderId="0" xfId="0" applyFont="true" applyBorder="false" applyAlignment="true" applyProtection="true">
      <alignment horizontal="general" vertical="top" textRotation="0" wrapText="true" indent="0" shrinkToFit="false"/>
      <protection locked="true" hidden="false"/>
    </xf>
    <xf numFmtId="166" fontId="0" fillId="0" borderId="0" xfId="0" applyFont="fals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9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68"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54" fillId="37" borderId="0" xfId="0" applyFont="true" applyBorder="false" applyAlignment="true" applyProtection="true">
      <alignment horizontal="general" vertical="bottom" textRotation="0" wrapText="true" indent="0" shrinkToFit="false"/>
      <protection locked="true" hidden="false"/>
    </xf>
    <xf numFmtId="164" fontId="92" fillId="0" borderId="0" xfId="0" applyFont="true" applyBorder="fals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true" indent="0" shrinkToFit="false"/>
      <protection locked="true" hidden="false"/>
    </xf>
    <xf numFmtId="171"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true" indent="0" shrinkToFit="false"/>
      <protection locked="true" hidden="false"/>
    </xf>
    <xf numFmtId="164" fontId="56" fillId="33" borderId="0" xfId="0" applyFont="true" applyBorder="false" applyAlignment="true" applyProtection="true">
      <alignment horizontal="general" vertical="bottom" textRotation="0" wrapText="false" indent="0" shrinkToFit="false"/>
      <protection locked="true" hidden="false"/>
    </xf>
    <xf numFmtId="164" fontId="94" fillId="0"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94"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95" fillId="0" borderId="0" xfId="0" applyFont="true" applyBorder="false" applyAlignment="true" applyProtection="true">
      <alignment horizontal="general" vertical="bottom" textRotation="0" wrapText="false" indent="0" shrinkToFit="false"/>
      <protection locked="true" hidden="false"/>
    </xf>
    <xf numFmtId="164" fontId="96" fillId="0" borderId="0" xfId="0" applyFont="true" applyBorder="false" applyAlignment="true" applyProtection="true">
      <alignment horizontal="general" vertical="bottom"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98"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4" borderId="0" xfId="0" applyFont="true" applyBorder="false" applyAlignment="true" applyProtection="true">
      <alignment horizontal="general" vertical="bottom" textRotation="0" wrapText="false" indent="0" shrinkToFit="false"/>
      <protection locked="true" hidden="false"/>
    </xf>
    <xf numFmtId="164" fontId="100" fillId="1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1195560</xdr:colOff>
      <xdr:row>155</xdr:row>
      <xdr:rowOff>6120</xdr:rowOff>
    </xdr:to>
    <xdr:pic>
      <xdr:nvPicPr>
        <xdr:cNvPr id="0" name="Graphic 2" descr=""/>
        <xdr:cNvPicPr/>
      </xdr:nvPicPr>
      <xdr:blipFill>
        <a:blip r:embed="rId1"/>
        <a:stretch/>
      </xdr:blipFill>
      <xdr:spPr>
        <a:xfrm>
          <a:off x="3697920" y="26718480"/>
          <a:ext cx="6058800" cy="4948920"/>
        </a:xfrm>
        <a:prstGeom prst="rect">
          <a:avLst/>
        </a:prstGeom>
        <a:ln w="0">
          <a:noFill/>
        </a:ln>
      </xdr:spPr>
    </xdr:pic>
    <xdr:clientData/>
  </xdr:twoCellAnchor>
  <xdr:twoCellAnchor editAs="oneCell">
    <xdr:from>
      <xdr:col>1</xdr:col>
      <xdr:colOff>10440</xdr:colOff>
      <xdr:row>129</xdr:row>
      <xdr:rowOff>10440</xdr:rowOff>
    </xdr:from>
    <xdr:to>
      <xdr:col>6</xdr:col>
      <xdr:colOff>679320</xdr:colOff>
      <xdr:row>175</xdr:row>
      <xdr:rowOff>6120</xdr:rowOff>
    </xdr:to>
    <xdr:pic>
      <xdr:nvPicPr>
        <xdr:cNvPr id="1" name="Graphic 4" descr=""/>
        <xdr:cNvPicPr/>
      </xdr:nvPicPr>
      <xdr:blipFill>
        <a:blip r:embed="rId2"/>
        <a:stretch/>
      </xdr:blipFill>
      <xdr:spPr>
        <a:xfrm>
          <a:off x="209880" y="26718480"/>
          <a:ext cx="6106320" cy="8758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tru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1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 collapsed="false" customWidth="true" hidden="false" outlineLevel="0" max="14" min="12" style="1" width="7"/>
    <col collapsed="false" customWidth="true" hidden="false" outlineLevel="0" max="15" min="15" style="1" width="8"/>
    <col collapsed="false" customWidth="true" hidden="false" outlineLevel="0" max="16" min="16" style="1" width="9"/>
    <col collapsed="false" customWidth="true" hidden="false" outlineLevel="0" max="17" min="17" style="1" width="10"/>
    <col collapsed="false" customWidth="true" hidden="false" outlineLevel="0" max="18" min="18" style="1" width="13"/>
  </cols>
  <sheetData>
    <row r="2" customFormat="false" ht="33.75" hidden="false" customHeight="true" outlineLevel="0" collapsed="false">
      <c r="B2" s="2" t="s">
        <v>774</v>
      </c>
      <c r="C2" s="2"/>
      <c r="D2" s="2"/>
      <c r="E2" s="2"/>
      <c r="F2" s="2"/>
      <c r="G2" s="2"/>
      <c r="H2" s="2"/>
      <c r="I2" s="2"/>
      <c r="J2" s="2"/>
      <c r="K2" s="2"/>
    </row>
    <row r="3" customFormat="false" ht="54.75" hidden="false" customHeight="true" outlineLevel="0" collapsed="false">
      <c r="B3" s="161" t="s">
        <v>775</v>
      </c>
      <c r="C3" s="161"/>
      <c r="D3" s="161"/>
      <c r="E3" s="161"/>
      <c r="F3" s="161"/>
      <c r="G3" s="161"/>
      <c r="H3" s="161"/>
      <c r="I3" s="161"/>
      <c r="J3" s="161"/>
    </row>
    <row r="4" customFormat="false" ht="27.75" hidden="false" customHeight="true" outlineLevel="0" collapsed="false">
      <c r="B4" s="161"/>
      <c r="C4" s="161"/>
      <c r="D4" s="161"/>
      <c r="E4" s="161"/>
      <c r="F4" s="161"/>
      <c r="G4" s="161"/>
      <c r="H4" s="161"/>
      <c r="I4" s="161"/>
      <c r="J4" s="161"/>
    </row>
    <row r="5" customFormat="false" ht="30" hidden="false" customHeight="true" outlineLevel="0" collapsed="false"/>
    <row r="6" customFormat="false" ht="30" hidden="false" customHeight="true" outlineLevel="0" collapsed="false">
      <c r="B6" s="141" t="s">
        <v>657</v>
      </c>
      <c r="C6" s="141" t="s">
        <v>251</v>
      </c>
      <c r="D6" s="141" t="s">
        <v>490</v>
      </c>
      <c r="E6" s="141" t="s">
        <v>491</v>
      </c>
      <c r="F6" s="141" t="s">
        <v>492</v>
      </c>
      <c r="G6" s="141" t="s">
        <v>493</v>
      </c>
      <c r="H6" s="141" t="s">
        <v>776</v>
      </c>
      <c r="I6" s="141" t="s">
        <v>258</v>
      </c>
      <c r="J6" s="141" t="s">
        <v>282</v>
      </c>
      <c r="K6" s="162" t="s">
        <v>360</v>
      </c>
      <c r="L6" s="163" t="s">
        <v>777</v>
      </c>
      <c r="M6" s="163" t="s">
        <v>778</v>
      </c>
      <c r="N6" s="163" t="s">
        <v>779</v>
      </c>
      <c r="O6" s="163" t="s">
        <v>780</v>
      </c>
      <c r="P6" s="163" t="s">
        <v>781</v>
      </c>
      <c r="Q6" s="163" t="s">
        <v>782</v>
      </c>
      <c r="R6" s="164" t="s">
        <v>783</v>
      </c>
    </row>
    <row r="7" customFormat="false" ht="30" hidden="false" customHeight="true" outlineLevel="0" collapsed="false">
      <c r="B7" s="149" t="s">
        <v>784</v>
      </c>
      <c r="C7" s="1" t="s">
        <v>505</v>
      </c>
      <c r="D7" s="165" t="n">
        <f aca="false">ROUND((IFERROR(VLOOKUP($C7,'Package Reference'!$B$6:$F$10,2,FALSE()),0)+L7*IFERROR(VLOOKUP("Extra data sources / triggers",'Complexity Reference'!$B$5:$F$9,2,FALSE()),0)+M7*IFERROR(VLOOKUP("AI generation steps",'Complexity Reference'!$B$5:$F$9,2,FALSE()),0)+N7*IFERROR(VLOOKUP("CRM integration",'Complexity Reference'!$B$5:$F$9,2,FALSE()),0)+O7*IFERROR(VLOOKUP("Approval workflow",'Complexity Reference'!$B$5:$F$9,2,FALSE()),0)+P7*IFERROR(VLOOKUP("Reporting layer",'Complexity Reference'!$B$5:$F$9,2,FALSE()),0))*Q7,0)</f>
        <v>3500</v>
      </c>
      <c r="E7" s="165" t="n">
        <f aca="false">ROUND((IFERROR(VLOOKUP($C7,'Package Reference'!$B$6:$F$10,3,FALSE()),0)+L7*IFERROR(VLOOKUP("Extra data sources / triggers",'Complexity Reference'!$B$5:$F$9,3,FALSE()),0)+M7*IFERROR(VLOOKUP("AI generation steps",'Complexity Reference'!$B$5:$F$9,3,FALSE()),0)+N7*IFERROR(VLOOKUP("CRM integration",'Complexity Reference'!$B$5:$F$9,3,FALSE()),0)+O7*IFERROR(VLOOKUP("Approval workflow",'Complexity Reference'!$B$5:$F$9,3,FALSE()),0)+P7*IFERROR(VLOOKUP("Reporting layer",'Complexity Reference'!$B$5:$F$9,3,FALSE()),0))*Q7,0)</f>
        <v>10000</v>
      </c>
      <c r="F7" s="165" t="n">
        <f aca="false">ROUND((IFERROR(VLOOKUP($C7,'Package Reference'!$B$6:$F$10,4,FALSE()),0)+L7*IFERROR(VLOOKUP("Extra data sources / triggers",'Complexity Reference'!$B$5:$F$9,4,FALSE()),0)+M7*IFERROR(VLOOKUP("AI generation steps",'Complexity Reference'!$B$5:$F$9,4,FALSE()),0)+N7*IFERROR(VLOOKUP("CRM integration",'Complexity Reference'!$B$5:$F$9,4,FALSE()),0)+O7*IFERROR(VLOOKUP("Approval workflow",'Complexity Reference'!$B$5:$F$9,4,FALSE()),0)+P7*IFERROR(VLOOKUP("Reporting layer",'Complexity Reference'!$B$5:$F$9,4,FALSE()),0))*Q7,0)</f>
        <v>800</v>
      </c>
      <c r="G7" s="165" t="n">
        <f aca="false">ROUND((IFERROR(VLOOKUP($C7,'Package Reference'!$B$6:$F$10,5,FALSE()),0)+L7*IFERROR(VLOOKUP("Extra data sources / triggers",'Complexity Reference'!$B$5:$F$9,5,FALSE()),0)+M7*IFERROR(VLOOKUP("AI generation steps",'Complexity Reference'!$B$5:$F$9,5,FALSE()),0)+N7*IFERROR(VLOOKUP("CRM integration",'Complexity Reference'!$B$5:$F$9,5,FALSE()),0)+O7*IFERROR(VLOOKUP("Approval workflow",'Complexity Reference'!$B$5:$F$9,5,FALSE()),0)+P7*IFERROR(VLOOKUP("Reporting layer",'Complexity Reference'!$B$5:$F$9,5,FALSE()),0))*Q7,0)</f>
        <v>2350</v>
      </c>
      <c r="H7" s="149" t="s">
        <v>785</v>
      </c>
      <c r="I7" s="1" t="s">
        <v>786</v>
      </c>
      <c r="J7" s="166" t="s">
        <v>787</v>
      </c>
      <c r="K7" s="167" t="s">
        <v>788</v>
      </c>
      <c r="L7" s="158" t="n">
        <v>0</v>
      </c>
      <c r="M7" s="158" t="n">
        <v>1</v>
      </c>
      <c r="N7" s="158" t="n">
        <v>1</v>
      </c>
      <c r="O7" s="158" t="n">
        <v>1</v>
      </c>
      <c r="P7" s="158" t="n">
        <v>0</v>
      </c>
      <c r="Q7" s="158" t="n">
        <v>1</v>
      </c>
      <c r="R7" s="1" t="s">
        <v>409</v>
      </c>
    </row>
    <row r="8" customFormat="false" ht="30" hidden="false" customHeight="true" outlineLevel="0" collapsed="false">
      <c r="B8" s="149" t="s">
        <v>789</v>
      </c>
      <c r="C8" s="1" t="s">
        <v>248</v>
      </c>
      <c r="D8" s="165" t="n">
        <f aca="false">ROUND((IFERROR(VLOOKUP($C8,'Package Reference'!$B$6:$F$10,2,FALSE()),0)+L8*IFERROR(VLOOKUP("Extra data sources / triggers",'Complexity Reference'!$B$5:$F$9,2,FALSE()),0)+M8*IFERROR(VLOOKUP("AI generation steps",'Complexity Reference'!$B$5:$F$9,2,FALSE()),0)+N8*IFERROR(VLOOKUP("CRM integration",'Complexity Reference'!$B$5:$F$9,2,FALSE()),0)+O8*IFERROR(VLOOKUP("Approval workflow",'Complexity Reference'!$B$5:$F$9,2,FALSE()),0)+P8*IFERROR(VLOOKUP("Reporting layer",'Complexity Reference'!$B$5:$F$9,2,FALSE()),0))*Q8,0)</f>
        <v>1500</v>
      </c>
      <c r="E8" s="165" t="n">
        <f aca="false">ROUND((IFERROR(VLOOKUP($C8,'Package Reference'!$B$6:$F$10,3,FALSE()),0)+L8*IFERROR(VLOOKUP("Extra data sources / triggers",'Complexity Reference'!$B$5:$F$9,3,FALSE()),0)+M8*IFERROR(VLOOKUP("AI generation steps",'Complexity Reference'!$B$5:$F$9,3,FALSE()),0)+N8*IFERROR(VLOOKUP("CRM integration",'Complexity Reference'!$B$5:$F$9,3,FALSE()),0)+O8*IFERROR(VLOOKUP("Approval workflow",'Complexity Reference'!$B$5:$F$9,3,FALSE()),0)+P8*IFERROR(VLOOKUP("Reporting layer",'Complexity Reference'!$B$5:$F$9,3,FALSE()),0))*Q8,0)</f>
        <v>3800</v>
      </c>
      <c r="F8" s="165" t="n">
        <f aca="false">ROUND((IFERROR(VLOOKUP($C8,'Package Reference'!$B$6:$F$10,4,FALSE()),0)+L8*IFERROR(VLOOKUP("Extra data sources / triggers",'Complexity Reference'!$B$5:$F$9,4,FALSE()),0)+M8*IFERROR(VLOOKUP("AI generation steps",'Complexity Reference'!$B$5:$F$9,4,FALSE()),0)+N8*IFERROR(VLOOKUP("CRM integration",'Complexity Reference'!$B$5:$F$9,4,FALSE()),0)+O8*IFERROR(VLOOKUP("Approval workflow",'Complexity Reference'!$B$5:$F$9,4,FALSE()),0)+P8*IFERROR(VLOOKUP("Reporting layer",'Complexity Reference'!$B$5:$F$9,4,FALSE()),0))*Q8,0)</f>
        <v>300</v>
      </c>
      <c r="G8" s="165" t="n">
        <f aca="false">ROUND((IFERROR(VLOOKUP($C8,'Package Reference'!$B$6:$F$10,5,FALSE()),0)+L8*IFERROR(VLOOKUP("Extra data sources / triggers",'Complexity Reference'!$B$5:$F$9,5,FALSE()),0)+M8*IFERROR(VLOOKUP("AI generation steps",'Complexity Reference'!$B$5:$F$9,5,FALSE()),0)+N8*IFERROR(VLOOKUP("CRM integration",'Complexity Reference'!$B$5:$F$9,5,FALSE()),0)+O8*IFERROR(VLOOKUP("Approval workflow",'Complexity Reference'!$B$5:$F$9,5,FALSE()),0)+P8*IFERROR(VLOOKUP("Reporting layer",'Complexity Reference'!$B$5:$F$9,5,FALSE()),0))*Q8,0)</f>
        <v>950</v>
      </c>
      <c r="H8" s="149" t="s">
        <v>790</v>
      </c>
      <c r="I8" s="1" t="s">
        <v>786</v>
      </c>
      <c r="J8" s="166" t="s">
        <v>791</v>
      </c>
      <c r="K8" s="167" t="s">
        <v>788</v>
      </c>
      <c r="L8" s="158" t="n">
        <v>0</v>
      </c>
      <c r="M8" s="158" t="n">
        <v>0</v>
      </c>
      <c r="N8" s="158" t="n">
        <v>0</v>
      </c>
      <c r="O8" s="158" t="n">
        <v>1</v>
      </c>
      <c r="P8" s="158" t="n">
        <v>0</v>
      </c>
      <c r="Q8" s="158" t="n">
        <v>1</v>
      </c>
      <c r="R8" s="1" t="s">
        <v>409</v>
      </c>
    </row>
    <row r="9" customFormat="false" ht="30" hidden="false" customHeight="true" outlineLevel="0" collapsed="false">
      <c r="B9" s="149" t="s">
        <v>792</v>
      </c>
      <c r="C9" s="1" t="s">
        <v>512</v>
      </c>
      <c r="D9" s="165" t="n">
        <f aca="false">ROUND((IFERROR(VLOOKUP($C9,'Package Reference'!$B$6:$F$10,2,FALSE()),0)+L9*IFERROR(VLOOKUP("Extra data sources / triggers",'Complexity Reference'!$B$5:$F$9,2,FALSE()),0)+M9*IFERROR(VLOOKUP("AI generation steps",'Complexity Reference'!$B$5:$F$9,2,FALSE()),0)+N9*IFERROR(VLOOKUP("CRM integration",'Complexity Reference'!$B$5:$F$9,2,FALSE()),0)+O9*IFERROR(VLOOKUP("Approval workflow",'Complexity Reference'!$B$5:$F$9,2,FALSE()),0)+P9*IFERROR(VLOOKUP("Reporting layer",'Complexity Reference'!$B$5:$F$9,2,FALSE()),0))*Q9,0)</f>
        <v>6175</v>
      </c>
      <c r="E9" s="165" t="n">
        <f aca="false">ROUND((IFERROR(VLOOKUP($C9,'Package Reference'!$B$6:$F$10,3,FALSE()),0)+L9*IFERROR(VLOOKUP("Extra data sources / triggers",'Complexity Reference'!$B$5:$F$9,3,FALSE()),0)+M9*IFERROR(VLOOKUP("AI generation steps",'Complexity Reference'!$B$5:$F$9,3,FALSE()),0)+N9*IFERROR(VLOOKUP("CRM integration",'Complexity Reference'!$B$5:$F$9,3,FALSE()),0)+O9*IFERROR(VLOOKUP("Approval workflow",'Complexity Reference'!$B$5:$F$9,3,FALSE()),0)+P9*IFERROR(VLOOKUP("Reporting layer",'Complexity Reference'!$B$5:$F$9,3,FALSE()),0))*Q9,0)</f>
        <v>14950</v>
      </c>
      <c r="F9" s="165" t="n">
        <f aca="false">ROUND((IFERROR(VLOOKUP($C9,'Package Reference'!$B$6:$F$10,4,FALSE()),0)+L9*IFERROR(VLOOKUP("Extra data sources / triggers",'Complexity Reference'!$B$5:$F$9,4,FALSE()),0)+M9*IFERROR(VLOOKUP("AI generation steps",'Complexity Reference'!$B$5:$F$9,4,FALSE()),0)+N9*IFERROR(VLOOKUP("CRM integration",'Complexity Reference'!$B$5:$F$9,4,FALSE()),0)+O9*IFERROR(VLOOKUP("Approval workflow",'Complexity Reference'!$B$5:$F$9,4,FALSE()),0)+P9*IFERROR(VLOOKUP("Reporting layer",'Complexity Reference'!$B$5:$F$9,4,FALSE()),0))*Q9,0)</f>
        <v>1365</v>
      </c>
      <c r="G9" s="165" t="n">
        <f aca="false">ROUND((IFERROR(VLOOKUP($C9,'Package Reference'!$B$6:$F$10,5,FALSE()),0)+L9*IFERROR(VLOOKUP("Extra data sources / triggers",'Complexity Reference'!$B$5:$F$9,5,FALSE()),0)+M9*IFERROR(VLOOKUP("AI generation steps",'Complexity Reference'!$B$5:$F$9,5,FALSE()),0)+N9*IFERROR(VLOOKUP("CRM integration",'Complexity Reference'!$B$5:$F$9,5,FALSE()),0)+O9*IFERROR(VLOOKUP("Approval workflow",'Complexity Reference'!$B$5:$F$9,5,FALSE()),0)+P9*IFERROR(VLOOKUP("Reporting layer",'Complexity Reference'!$B$5:$F$9,5,FALSE()),0))*Q9,0)</f>
        <v>3250</v>
      </c>
      <c r="H9" s="149" t="s">
        <v>793</v>
      </c>
      <c r="I9" s="1" t="s">
        <v>794</v>
      </c>
      <c r="J9" s="166" t="s">
        <v>795</v>
      </c>
      <c r="K9" s="167" t="s">
        <v>788</v>
      </c>
      <c r="L9" s="158" t="n">
        <v>0</v>
      </c>
      <c r="M9" s="158" t="n">
        <v>1</v>
      </c>
      <c r="N9" s="158" t="n">
        <v>0</v>
      </c>
      <c r="O9" s="158" t="n">
        <v>1</v>
      </c>
      <c r="P9" s="158" t="n">
        <v>0</v>
      </c>
      <c r="Q9" s="158" t="n">
        <v>1.3</v>
      </c>
      <c r="R9" s="1" t="s">
        <v>409</v>
      </c>
    </row>
    <row r="10" customFormat="false" ht="30" hidden="false" customHeight="true" outlineLevel="0" collapsed="false">
      <c r="B10" s="149" t="s">
        <v>796</v>
      </c>
      <c r="C10" s="1" t="s">
        <v>519</v>
      </c>
      <c r="D10" s="165" t="n">
        <f aca="false">ROUND((IFERROR(VLOOKUP($C10,'Package Reference'!$B$6:$F$10,2,FALSE()),0)+L10*IFERROR(VLOOKUP("Extra data sources / triggers",'Complexity Reference'!$B$5:$F$9,2,FALSE()),0)+M10*IFERROR(VLOOKUP("AI generation steps",'Complexity Reference'!$B$5:$F$9,2,FALSE()),0)+N10*IFERROR(VLOOKUP("CRM integration",'Complexity Reference'!$B$5:$F$9,2,FALSE()),0)+O10*IFERROR(VLOOKUP("Approval workflow",'Complexity Reference'!$B$5:$F$9,2,FALSE()),0)+P10*IFERROR(VLOOKUP("Reporting layer",'Complexity Reference'!$B$5:$F$9,2,FALSE()),0))*Q10,0)</f>
        <v>8750</v>
      </c>
      <c r="E10" s="165" t="n">
        <f aca="false">ROUND((IFERROR(VLOOKUP($C10,'Package Reference'!$B$6:$F$10,3,FALSE()),0)+L10*IFERROR(VLOOKUP("Extra data sources / triggers",'Complexity Reference'!$B$5:$F$9,3,FALSE()),0)+M10*IFERROR(VLOOKUP("AI generation steps",'Complexity Reference'!$B$5:$F$9,3,FALSE()),0)+N10*IFERROR(VLOOKUP("CRM integration",'Complexity Reference'!$B$5:$F$9,3,FALSE()),0)+O10*IFERROR(VLOOKUP("Approval workflow",'Complexity Reference'!$B$5:$F$9,3,FALSE()),0)+P10*IFERROR(VLOOKUP("Reporting layer",'Complexity Reference'!$B$5:$F$9,3,FALSE()),0))*Q10,0)</f>
        <v>19500</v>
      </c>
      <c r="F10" s="165" t="n">
        <f aca="false">ROUND((IFERROR(VLOOKUP($C10,'Package Reference'!$B$6:$F$10,4,FALSE()),0)+L10*IFERROR(VLOOKUP("Extra data sources / triggers",'Complexity Reference'!$B$5:$F$9,4,FALSE()),0)+M10*IFERROR(VLOOKUP("AI generation steps",'Complexity Reference'!$B$5:$F$9,4,FALSE()),0)+N10*IFERROR(VLOOKUP("CRM integration",'Complexity Reference'!$B$5:$F$9,4,FALSE()),0)+O10*IFERROR(VLOOKUP("Approval workflow",'Complexity Reference'!$B$5:$F$9,4,FALSE()),0)+P10*IFERROR(VLOOKUP("Reporting layer",'Complexity Reference'!$B$5:$F$9,4,FALSE()),0))*Q10,0)</f>
        <v>1950</v>
      </c>
      <c r="G10" s="165" t="n">
        <f aca="false">ROUND((IFERROR(VLOOKUP($C10,'Package Reference'!$B$6:$F$10,5,FALSE()),0)+L10*IFERROR(VLOOKUP("Extra data sources / triggers",'Complexity Reference'!$B$5:$F$9,5,FALSE()),0)+M10*IFERROR(VLOOKUP("AI generation steps",'Complexity Reference'!$B$5:$F$9,5,FALSE()),0)+N10*IFERROR(VLOOKUP("CRM integration",'Complexity Reference'!$B$5:$F$9,5,FALSE()),0)+O10*IFERROR(VLOOKUP("Approval workflow",'Complexity Reference'!$B$5:$F$9,5,FALSE()),0)+P10*IFERROR(VLOOKUP("Reporting layer",'Complexity Reference'!$B$5:$F$9,5,FALSE()),0))*Q10,0)</f>
        <v>5000</v>
      </c>
      <c r="H10" s="149" t="s">
        <v>797</v>
      </c>
      <c r="I10" s="1" t="s">
        <v>794</v>
      </c>
      <c r="J10" s="166" t="s">
        <v>798</v>
      </c>
      <c r="K10" s="167" t="s">
        <v>788</v>
      </c>
      <c r="L10" s="158" t="n">
        <v>0</v>
      </c>
      <c r="M10" s="158" t="n">
        <v>0</v>
      </c>
      <c r="N10" s="158" t="n">
        <v>1</v>
      </c>
      <c r="O10" s="158" t="n">
        <v>0</v>
      </c>
      <c r="P10" s="158" t="n">
        <v>1</v>
      </c>
      <c r="Q10" s="158" t="n">
        <v>1</v>
      </c>
      <c r="R10" s="1" t="s">
        <v>409</v>
      </c>
    </row>
    <row r="11" customFormat="false" ht="30" hidden="false" customHeight="true" outlineLevel="0" collapsed="false">
      <c r="B11" s="149" t="s">
        <v>799</v>
      </c>
      <c r="C11" s="1" t="s">
        <v>266</v>
      </c>
      <c r="D11" s="165" t="n">
        <f aca="false">ROUND((IFERROR(VLOOKUP($C11,'Package Reference'!$B$6:$F$10,2,FALSE()),0)+L11*IFERROR(VLOOKUP("Extra data sources / triggers",'Complexity Reference'!$B$5:$F$9,2,FALSE()),0)+M11*IFERROR(VLOOKUP("AI generation steps",'Complexity Reference'!$B$5:$F$9,2,FALSE()),0)+N11*IFERROR(VLOOKUP("CRM integration",'Complexity Reference'!$B$5:$F$9,2,FALSE()),0)+O11*IFERROR(VLOOKUP("Approval workflow",'Complexity Reference'!$B$5:$F$9,2,FALSE()),0)+P11*IFERROR(VLOOKUP("Reporting layer",'Complexity Reference'!$B$5:$F$9,2,FALSE()),0))*Q11,0)</f>
        <v>14000</v>
      </c>
      <c r="E11" s="165" t="n">
        <f aca="false">ROUND((IFERROR(VLOOKUP($C11,'Package Reference'!$B$6:$F$10,3,FALSE()),0)+L11*IFERROR(VLOOKUP("Extra data sources / triggers",'Complexity Reference'!$B$5:$F$9,3,FALSE()),0)+M11*IFERROR(VLOOKUP("AI generation steps",'Complexity Reference'!$B$5:$F$9,3,FALSE()),0)+N11*IFERROR(VLOOKUP("CRM integration",'Complexity Reference'!$B$5:$F$9,3,FALSE()),0)+O11*IFERROR(VLOOKUP("Approval workflow",'Complexity Reference'!$B$5:$F$9,3,FALSE()),0)+P11*IFERROR(VLOOKUP("Reporting layer",'Complexity Reference'!$B$5:$F$9,3,FALSE()),0))*Q11,0)</f>
        <v>36500</v>
      </c>
      <c r="F11" s="165" t="n">
        <f aca="false">ROUND((IFERROR(VLOOKUP($C11,'Package Reference'!$B$6:$F$10,4,FALSE()),0)+L11*IFERROR(VLOOKUP("Extra data sources / triggers",'Complexity Reference'!$B$5:$F$9,4,FALSE()),0)+M11*IFERROR(VLOOKUP("AI generation steps",'Complexity Reference'!$B$5:$F$9,4,FALSE()),0)+N11*IFERROR(VLOOKUP("CRM integration",'Complexity Reference'!$B$5:$F$9,4,FALSE()),0)+O11*IFERROR(VLOOKUP("Approval workflow",'Complexity Reference'!$B$5:$F$9,4,FALSE()),0)+P11*IFERROR(VLOOKUP("Reporting layer",'Complexity Reference'!$B$5:$F$9,4,FALSE()),0))*Q11,0)</f>
        <v>3000</v>
      </c>
      <c r="G11" s="165" t="n">
        <f aca="false">ROUND((IFERROR(VLOOKUP($C11,'Package Reference'!$B$6:$F$10,5,FALSE()),0)+L11*IFERROR(VLOOKUP("Extra data sources / triggers",'Complexity Reference'!$B$5:$F$9,5,FALSE()),0)+M11*IFERROR(VLOOKUP("AI generation steps",'Complexity Reference'!$B$5:$F$9,5,FALSE()),0)+N11*IFERROR(VLOOKUP("CRM integration",'Complexity Reference'!$B$5:$F$9,5,FALSE()),0)+O11*IFERROR(VLOOKUP("Approval workflow",'Complexity Reference'!$B$5:$F$9,5,FALSE()),0)+P11*IFERROR(VLOOKUP("Reporting layer",'Complexity Reference'!$B$5:$F$9,5,FALSE()),0))*Q11,0)</f>
        <v>7600</v>
      </c>
      <c r="H11" s="149" t="s">
        <v>800</v>
      </c>
      <c r="I11" s="1" t="s">
        <v>801</v>
      </c>
      <c r="J11" s="166" t="s">
        <v>802</v>
      </c>
      <c r="K11" s="167" t="s">
        <v>788</v>
      </c>
      <c r="L11" s="158" t="n">
        <v>0</v>
      </c>
      <c r="M11" s="158" t="n">
        <v>1</v>
      </c>
      <c r="N11" s="158" t="n">
        <v>1</v>
      </c>
      <c r="O11" s="158" t="n">
        <v>1</v>
      </c>
      <c r="P11" s="158" t="n">
        <v>0</v>
      </c>
      <c r="Q11" s="158" t="n">
        <v>1</v>
      </c>
      <c r="R11" s="1" t="s">
        <v>409</v>
      </c>
    </row>
    <row r="12" customFormat="false" ht="30" hidden="false" customHeight="true" outlineLevel="0" collapsed="false">
      <c r="B12" s="149" t="s">
        <v>803</v>
      </c>
      <c r="C12" s="1" t="s">
        <v>266</v>
      </c>
      <c r="D12" s="165" t="n">
        <f aca="false">ROUND(ROUND((IFERROR(VLOOKUP($C12,'Package Reference'!$B$6:$F$10,2,FALSE()),0)+L12*IFERROR(VLOOKUP("Extra data sources / triggers",'Complexity Reference'!$B$5:$F$9,2,FALSE()),0)+M12*IFERROR(VLOOKUP("AI generation steps",'Complexity Reference'!$B$5:$F$9,2,FALSE()),0)+N12*IFERROR(VLOOKUP("CRM integration",'Complexity Reference'!$B$5:$F$9,2,FALSE()),0)+O12*IFERROR(VLOOKUP("Approval workflow",'Complexity Reference'!$B$5:$F$9,2,FALSE()),0)+P12*IFERROR(VLOOKUP("Reporting layer",'Complexity Reference'!$B$5:$F$9,2,FALSE()),0))*Q12,0)*'Access &amp; Licence Pricing'!$C$7,0)</f>
        <v>18200</v>
      </c>
      <c r="E12" s="165" t="n">
        <f aca="false">ROUND(ROUND((IFERROR(VLOOKUP($C12,'Package Reference'!$B$6:$F$10,3,FALSE()),0)+L12*IFERROR(VLOOKUP("Extra data sources / triggers",'Complexity Reference'!$B$5:$F$9,3,FALSE()),0)+M12*IFERROR(VLOOKUP("AI generation steps",'Complexity Reference'!$B$5:$F$9,3,FALSE()),0)+N12*IFERROR(VLOOKUP("CRM integration",'Complexity Reference'!$B$5:$F$9,3,FALSE()),0)+O12*IFERROR(VLOOKUP("Approval workflow",'Complexity Reference'!$B$5:$F$9,3,FALSE()),0)+P12*IFERROR(VLOOKUP("Reporting layer",'Complexity Reference'!$B$5:$F$9,3,FALSE()),0))*Q12,0)*'Access &amp; Licence Pricing'!$C$7,0)</f>
        <v>47450</v>
      </c>
      <c r="F12" s="165" t="n">
        <f aca="false">ROUND(ROUND((IFERROR(VLOOKUP($C12,'Package Reference'!$B$6:$F$10,4,FALSE()),0)+L12*IFERROR(VLOOKUP("Extra data sources / triggers",'Complexity Reference'!$B$5:$F$9,4,FALSE()),0)+M12*IFERROR(VLOOKUP("AI generation steps",'Complexity Reference'!$B$5:$F$9,4,FALSE()),0)+N12*IFERROR(VLOOKUP("CRM integration",'Complexity Reference'!$B$5:$F$9,4,FALSE()),0)+O12*IFERROR(VLOOKUP("Approval workflow",'Complexity Reference'!$B$5:$F$9,4,FALSE()),0)+P12*IFERROR(VLOOKUP("Reporting layer",'Complexity Reference'!$B$5:$F$9,4,FALSE()),0))*Q12,0)*12*'Access &amp; Licence Pricing'!$C$6,0)</f>
        <v>18000</v>
      </c>
      <c r="G12" s="165" t="n">
        <f aca="false">ROUND(ROUND((IFERROR(VLOOKUP($C12,'Package Reference'!$B$6:$F$10,5,FALSE()),0)+L12*IFERROR(VLOOKUP("Extra data sources / triggers",'Complexity Reference'!$B$5:$F$9,5,FALSE()),0)+M12*IFERROR(VLOOKUP("AI generation steps",'Complexity Reference'!$B$5:$F$9,5,FALSE()),0)+N12*IFERROR(VLOOKUP("CRM integration",'Complexity Reference'!$B$5:$F$9,5,FALSE()),0)+O12*IFERROR(VLOOKUP("Approval workflow",'Complexity Reference'!$B$5:$F$9,5,FALSE()),0)+P12*IFERROR(VLOOKUP("Reporting layer",'Complexity Reference'!$B$5:$F$9,5,FALSE()),0))*Q12,0)*12*'Access &amp; Licence Pricing'!$C$6,0)</f>
        <v>45600</v>
      </c>
      <c r="H12" s="149" t="s">
        <v>804</v>
      </c>
      <c r="I12" s="1" t="s">
        <v>805</v>
      </c>
      <c r="J12" s="166" t="s">
        <v>806</v>
      </c>
      <c r="K12" s="167" t="s">
        <v>807</v>
      </c>
      <c r="L12" s="168" t="n">
        <v>0</v>
      </c>
      <c r="M12" s="168" t="n">
        <v>1</v>
      </c>
      <c r="N12" s="168" t="n">
        <v>1</v>
      </c>
      <c r="O12" s="168" t="n">
        <v>1</v>
      </c>
      <c r="P12" s="168" t="n">
        <v>0</v>
      </c>
      <c r="Q12" s="168" t="n">
        <v>1</v>
      </c>
      <c r="R12" s="1" t="s">
        <v>808</v>
      </c>
    </row>
    <row r="13" customFormat="false" ht="68.25" hidden="false" customHeight="true" outlineLevel="0" collapsed="false">
      <c r="B13" s="149" t="s">
        <v>809</v>
      </c>
      <c r="C13" s="1" t="s">
        <v>505</v>
      </c>
      <c r="D13" s="165" t="n">
        <f aca="false">ROUND((IFERROR(VLOOKUP($C13,'Package Reference'!$B$6:$F$10,2,FALSE()),0)+L13*IFERROR(VLOOKUP("Extra data sources / triggers",'Complexity Reference'!$B$5:$F$9,2,FALSE()),0)+M13*IFERROR(VLOOKUP("AI generation steps",'Complexity Reference'!$B$5:$F$9,2,FALSE()),0)+N13*IFERROR(VLOOKUP("CRM integration",'Complexity Reference'!$B$5:$F$9,2,FALSE()),0)+O13*IFERROR(VLOOKUP("Approval workflow",'Complexity Reference'!$B$5:$F$9,2,FALSE()),0)+P13*IFERROR(VLOOKUP("Reporting layer",'Complexity Reference'!$B$5:$F$9,2,FALSE()),0))*Q13,0)</f>
        <v>2250</v>
      </c>
      <c r="E13" s="165" t="n">
        <f aca="false">ROUND((IFERROR(VLOOKUP($C13,'Package Reference'!$B$6:$F$10,3,FALSE()),0)+L13*IFERROR(VLOOKUP("Extra data sources / triggers",'Complexity Reference'!$B$5:$F$9,3,FALSE()),0)+M13*IFERROR(VLOOKUP("AI generation steps",'Complexity Reference'!$B$5:$F$9,3,FALSE()),0)+N13*IFERROR(VLOOKUP("CRM integration",'Complexity Reference'!$B$5:$F$9,3,FALSE()),0)+O13*IFERROR(VLOOKUP("Approval workflow",'Complexity Reference'!$B$5:$F$9,3,FALSE()),0)+P13*IFERROR(VLOOKUP("Reporting layer",'Complexity Reference'!$B$5:$F$9,3,FALSE()),0))*Q13,0)</f>
        <v>6000</v>
      </c>
      <c r="F13" s="165" t="n">
        <f aca="false">ROUND((IFERROR(VLOOKUP($C13,'Package Reference'!$B$6:$F$10,4,FALSE()),0)+L13*IFERROR(VLOOKUP("Extra data sources / triggers",'Complexity Reference'!$B$5:$F$9,4,FALSE()),0)+M13*IFERROR(VLOOKUP("AI generation steps",'Complexity Reference'!$B$5:$F$9,4,FALSE()),0)+N13*IFERROR(VLOOKUP("CRM integration",'Complexity Reference'!$B$5:$F$9,4,FALSE()),0)+O13*IFERROR(VLOOKUP("Approval workflow",'Complexity Reference'!$B$5:$F$9,4,FALSE()),0)+P13*IFERROR(VLOOKUP("Reporting layer",'Complexity Reference'!$B$5:$F$9,4,FALSE()),0))*Q13,0)</f>
        <v>500</v>
      </c>
      <c r="G13" s="165" t="n">
        <f aca="false">ROUND((IFERROR(VLOOKUP($C13,'Package Reference'!$B$6:$F$10,5,FALSE()),0)+L13*IFERROR(VLOOKUP("Extra data sources / triggers",'Complexity Reference'!$B$5:$F$9,5,FALSE()),0)+M13*IFERROR(VLOOKUP("AI generation steps",'Complexity Reference'!$B$5:$F$9,5,FALSE()),0)+N13*IFERROR(VLOOKUP("CRM integration",'Complexity Reference'!$B$5:$F$9,5,FALSE()),0)+O13*IFERROR(VLOOKUP("Approval workflow",'Complexity Reference'!$B$5:$F$9,5,FALSE()),0)+P13*IFERROR(VLOOKUP("Reporting layer",'Complexity Reference'!$B$5:$F$9,5,FALSE()),0))*Q13,0)</f>
        <v>1350</v>
      </c>
      <c r="H13" s="149" t="s">
        <v>810</v>
      </c>
      <c r="I13" s="1" t="s">
        <v>786</v>
      </c>
      <c r="J13" s="166" t="s">
        <v>811</v>
      </c>
      <c r="K13" s="167" t="s">
        <v>788</v>
      </c>
      <c r="L13" s="158" t="n">
        <v>0</v>
      </c>
      <c r="M13" s="158" t="n">
        <v>0</v>
      </c>
      <c r="N13" s="158" t="n">
        <v>1</v>
      </c>
      <c r="O13" s="158" t="n">
        <v>0</v>
      </c>
      <c r="P13" s="158" t="n">
        <v>0</v>
      </c>
      <c r="Q13" s="158" t="n">
        <v>1</v>
      </c>
      <c r="R13" s="1" t="s">
        <v>409</v>
      </c>
    </row>
    <row r="14" customFormat="false" ht="68.25" hidden="false" customHeight="true" outlineLevel="0" collapsed="false">
      <c r="B14" s="149" t="s">
        <v>812</v>
      </c>
      <c r="C14" s="1" t="s">
        <v>505</v>
      </c>
      <c r="D14" s="165" t="n">
        <f aca="false">ROUND((IFERROR(VLOOKUP($C14,'Package Reference'!$B$6:$F$10,2,FALSE()),0)+L14*IFERROR(VLOOKUP("Extra data sources / triggers",'Complexity Reference'!$B$5:$F$9,2,FALSE()),0)+M14*IFERROR(VLOOKUP("AI generation steps",'Complexity Reference'!$B$5:$F$9,2,FALSE()),0)+N14*IFERROR(VLOOKUP("CRM integration",'Complexity Reference'!$B$5:$F$9,2,FALSE()),0)+O14*IFERROR(VLOOKUP("Approval workflow",'Complexity Reference'!$B$5:$F$9,2,FALSE()),0)+P14*IFERROR(VLOOKUP("Reporting layer",'Complexity Reference'!$B$5:$F$9,2,FALSE()),0))*Q14,0)</f>
        <v>2750</v>
      </c>
      <c r="E14" s="165" t="n">
        <f aca="false">ROUND((IFERROR(VLOOKUP($C14,'Package Reference'!$B$6:$F$10,3,FALSE()),0)+L14*IFERROR(VLOOKUP("Extra data sources / triggers",'Complexity Reference'!$B$5:$F$9,3,FALSE()),0)+M14*IFERROR(VLOOKUP("AI generation steps",'Complexity Reference'!$B$5:$F$9,3,FALSE()),0)+N14*IFERROR(VLOOKUP("CRM integration",'Complexity Reference'!$B$5:$F$9,3,FALSE()),0)+O14*IFERROR(VLOOKUP("Approval workflow",'Complexity Reference'!$B$5:$F$9,3,FALSE()),0)+P14*IFERROR(VLOOKUP("Reporting layer",'Complexity Reference'!$B$5:$F$9,3,FALSE()),0))*Q14,0)</f>
        <v>7500</v>
      </c>
      <c r="F14" s="165" t="n">
        <f aca="false">ROUND((IFERROR(VLOOKUP($C14,'Package Reference'!$B$6:$F$10,4,FALSE()),0)+L14*IFERROR(VLOOKUP("Extra data sources / triggers",'Complexity Reference'!$B$5:$F$9,4,FALSE()),0)+M14*IFERROR(VLOOKUP("AI generation steps",'Complexity Reference'!$B$5:$F$9,4,FALSE()),0)+N14*IFERROR(VLOOKUP("CRM integration",'Complexity Reference'!$B$5:$F$9,4,FALSE()),0)+O14*IFERROR(VLOOKUP("Approval workflow",'Complexity Reference'!$B$5:$F$9,4,FALSE()),0)+P14*IFERROR(VLOOKUP("Reporting layer",'Complexity Reference'!$B$5:$F$9,4,FALSE()),0))*Q14,0)</f>
        <v>600</v>
      </c>
      <c r="G14" s="165" t="n">
        <f aca="false">ROUND((IFERROR(VLOOKUP($C14,'Package Reference'!$B$6:$F$10,5,FALSE()),0)+L14*IFERROR(VLOOKUP("Extra data sources / triggers",'Complexity Reference'!$B$5:$F$9,5,FALSE()),0)+M14*IFERROR(VLOOKUP("AI generation steps",'Complexity Reference'!$B$5:$F$9,5,FALSE()),0)+N14*IFERROR(VLOOKUP("CRM integration",'Complexity Reference'!$B$5:$F$9,5,FALSE()),0)+O14*IFERROR(VLOOKUP("Approval workflow",'Complexity Reference'!$B$5:$F$9,5,FALSE()),0)+P14*IFERROR(VLOOKUP("Reporting layer",'Complexity Reference'!$B$5:$F$9,5,FALSE()),0))*Q14,0)</f>
        <v>1650</v>
      </c>
      <c r="H14" s="149" t="s">
        <v>813</v>
      </c>
      <c r="I14" s="1" t="s">
        <v>786</v>
      </c>
      <c r="J14" s="166" t="s">
        <v>814</v>
      </c>
      <c r="K14" s="167" t="s">
        <v>788</v>
      </c>
      <c r="L14" s="158" t="n">
        <v>1</v>
      </c>
      <c r="M14" s="158" t="n">
        <v>0</v>
      </c>
      <c r="N14" s="158" t="n">
        <v>1</v>
      </c>
      <c r="O14" s="158" t="n">
        <v>0</v>
      </c>
      <c r="P14" s="158" t="n">
        <v>0</v>
      </c>
      <c r="Q14" s="158" t="n">
        <v>1</v>
      </c>
      <c r="R14" s="1" t="s">
        <v>409</v>
      </c>
    </row>
  </sheetData>
  <mergeCells count="1">
    <mergeCell ref="B3: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26"/>
  </cols>
  <sheetData>
    <row r="2" customFormat="false" ht="33.75" hidden="false" customHeight="true" outlineLevel="0" collapsed="false">
      <c r="B2" s="2" t="s">
        <v>815</v>
      </c>
      <c r="C2" s="2"/>
      <c r="D2" s="2"/>
      <c r="E2" s="2"/>
      <c r="F2" s="2"/>
      <c r="G2" s="2"/>
      <c r="H2" s="2"/>
      <c r="I2" s="2"/>
    </row>
    <row r="3" customFormat="false" ht="60" hidden="false" customHeight="true" outlineLevel="0" collapsed="false">
      <c r="B3" s="169" t="s">
        <v>816</v>
      </c>
      <c r="C3" s="169"/>
      <c r="D3" s="169"/>
      <c r="E3" s="169"/>
      <c r="F3" s="169"/>
      <c r="G3" s="169"/>
      <c r="H3" s="169"/>
      <c r="I3" s="169"/>
      <c r="J3" s="15"/>
      <c r="K3" s="15"/>
    </row>
    <row r="5" customFormat="false" ht="30" hidden="false" customHeight="true" outlineLevel="0" collapsed="false">
      <c r="B5" s="170" t="s">
        <v>789</v>
      </c>
      <c r="C5" s="171" t="s">
        <v>817</v>
      </c>
      <c r="D5" s="171"/>
      <c r="E5" s="171"/>
      <c r="F5" s="171"/>
      <c r="G5" s="171"/>
      <c r="H5" s="171"/>
      <c r="I5" s="171"/>
    </row>
    <row r="6" customFormat="false" ht="15" hidden="false" customHeight="true" outlineLevel="0" collapsed="false">
      <c r="B6" s="172" t="s">
        <v>818</v>
      </c>
      <c r="C6" s="172" t="s">
        <v>819</v>
      </c>
      <c r="D6" s="172" t="s">
        <v>820</v>
      </c>
      <c r="E6" s="172" t="s">
        <v>821</v>
      </c>
      <c r="F6" s="172" t="s">
        <v>822</v>
      </c>
      <c r="G6" s="172" t="s">
        <v>823</v>
      </c>
      <c r="H6" s="173" t="s">
        <v>824</v>
      </c>
      <c r="I6" s="173" t="s">
        <v>825</v>
      </c>
    </row>
    <row r="7" customFormat="false" ht="25.5" hidden="false" customHeight="true" outlineLevel="0" collapsed="false">
      <c r="B7" s="10" t="s">
        <v>408</v>
      </c>
      <c r="C7" s="174" t="n">
        <f aca="false">'Example Quotes'!D8</f>
        <v>1500</v>
      </c>
      <c r="D7" s="174" t="n">
        <f aca="false">'Example Quotes'!E8</f>
        <v>3800</v>
      </c>
      <c r="E7" s="174" t="n">
        <f aca="false">'Example Quotes'!F8</f>
        <v>300</v>
      </c>
      <c r="F7" s="174" t="n">
        <f aca="false">'Example Quotes'!G8</f>
        <v>950</v>
      </c>
      <c r="G7" s="175" t="s">
        <v>409</v>
      </c>
      <c r="H7" s="176" t="s">
        <v>826</v>
      </c>
      <c r="I7" s="177" t="s">
        <v>827</v>
      </c>
    </row>
    <row r="8" customFormat="false" ht="25.5" hidden="false" customHeight="true" outlineLevel="0" collapsed="false">
      <c r="B8" s="9" t="s">
        <v>828</v>
      </c>
      <c r="C8" s="178" t="n">
        <f aca="false">ROUND(C7*1.3,0)</f>
        <v>1950</v>
      </c>
      <c r="D8" s="178" t="n">
        <f aca="false">ROUND(D7*1.3,0)</f>
        <v>4940</v>
      </c>
      <c r="E8" s="178" t="n">
        <f aca="false">ROUND(E7*12*0.5,0)</f>
        <v>1800</v>
      </c>
      <c r="F8" s="178" t="n">
        <f aca="false">ROUND(F7*12*0.5,0)</f>
        <v>5700</v>
      </c>
      <c r="G8" s="179" t="s">
        <v>808</v>
      </c>
      <c r="H8" s="176" t="s">
        <v>829</v>
      </c>
      <c r="I8" s="177" t="s">
        <v>830</v>
      </c>
    </row>
    <row r="9" customFormat="false" ht="25.5" hidden="false" customHeight="true" outlineLevel="0" collapsed="false">
      <c r="B9" s="180" t="s">
        <v>831</v>
      </c>
      <c r="C9" s="181" t="n">
        <f aca="false">ROUND(C7+2.5*12*E7,0)</f>
        <v>10500</v>
      </c>
      <c r="D9" s="181" t="n">
        <f aca="false">ROUND(D7+2.5*12*F7,0)</f>
        <v>32300</v>
      </c>
      <c r="E9" s="174" t="n">
        <v>0</v>
      </c>
      <c r="F9" s="174" t="n">
        <v>0</v>
      </c>
      <c r="G9" s="175" t="s">
        <v>409</v>
      </c>
      <c r="H9" s="176" t="s">
        <v>832</v>
      </c>
      <c r="I9" s="182" t="s">
        <v>830</v>
      </c>
    </row>
    <row r="11" customFormat="false" ht="30" hidden="false" customHeight="true" outlineLevel="0" collapsed="false">
      <c r="B11" s="170" t="s">
        <v>833</v>
      </c>
      <c r="C11" s="171" t="s">
        <v>834</v>
      </c>
      <c r="D11" s="171"/>
      <c r="E11" s="171"/>
      <c r="F11" s="171"/>
      <c r="G11" s="171"/>
      <c r="H11" s="171"/>
      <c r="I11" s="171"/>
    </row>
    <row r="12" customFormat="false" ht="15" hidden="false" customHeight="true" outlineLevel="0" collapsed="false">
      <c r="B12" s="172" t="s">
        <v>818</v>
      </c>
      <c r="C12" s="172" t="s">
        <v>819</v>
      </c>
      <c r="D12" s="172" t="s">
        <v>820</v>
      </c>
      <c r="E12" s="172" t="s">
        <v>821</v>
      </c>
      <c r="F12" s="172" t="s">
        <v>822</v>
      </c>
      <c r="G12" s="172" t="s">
        <v>823</v>
      </c>
      <c r="H12" s="173" t="s">
        <v>824</v>
      </c>
      <c r="I12" s="173" t="s">
        <v>825</v>
      </c>
    </row>
    <row r="13" customFormat="false" ht="25.5" hidden="false" customHeight="true" outlineLevel="0" collapsed="false">
      <c r="B13" s="10" t="s">
        <v>408</v>
      </c>
      <c r="C13" s="174" t="n">
        <f aca="false">'Example Quotes'!D7</f>
        <v>3500</v>
      </c>
      <c r="D13" s="174" t="n">
        <f aca="false">'Example Quotes'!E7</f>
        <v>10000</v>
      </c>
      <c r="E13" s="174" t="n">
        <f aca="false">'Example Quotes'!F7</f>
        <v>800</v>
      </c>
      <c r="F13" s="174" t="n">
        <f aca="false">'Example Quotes'!G7</f>
        <v>2350</v>
      </c>
      <c r="G13" s="175" t="s">
        <v>409</v>
      </c>
      <c r="H13" s="176" t="s">
        <v>826</v>
      </c>
      <c r="I13" s="177" t="s">
        <v>835</v>
      </c>
    </row>
    <row r="14" customFormat="false" ht="25.5" hidden="false" customHeight="true" outlineLevel="0" collapsed="false">
      <c r="B14" s="9" t="s">
        <v>828</v>
      </c>
      <c r="C14" s="178" t="n">
        <f aca="false">ROUND(C13*1.3,0)</f>
        <v>4550</v>
      </c>
      <c r="D14" s="178" t="n">
        <f aca="false">ROUND(D13*1.3,0)</f>
        <v>13000</v>
      </c>
      <c r="E14" s="178" t="n">
        <f aca="false">ROUND(E13*12*0.5,0)</f>
        <v>4800</v>
      </c>
      <c r="F14" s="178" t="n">
        <f aca="false">ROUND(F13*12*0.5,0)</f>
        <v>14100</v>
      </c>
      <c r="G14" s="179" t="s">
        <v>808</v>
      </c>
      <c r="H14" s="176" t="s">
        <v>829</v>
      </c>
      <c r="I14" s="177" t="s">
        <v>830</v>
      </c>
    </row>
    <row r="15" customFormat="false" ht="25.5" hidden="false" customHeight="true" outlineLevel="0" collapsed="false">
      <c r="B15" s="180" t="s">
        <v>831</v>
      </c>
      <c r="C15" s="181" t="n">
        <f aca="false">ROUND(C13+2.5*12*E13,0)</f>
        <v>27500</v>
      </c>
      <c r="D15" s="181" t="n">
        <f aca="false">ROUND(D13+2.5*12*F13,0)</f>
        <v>80500</v>
      </c>
      <c r="E15" s="174" t="n">
        <v>0</v>
      </c>
      <c r="F15" s="174" t="n">
        <v>0</v>
      </c>
      <c r="G15" s="175" t="s">
        <v>409</v>
      </c>
      <c r="H15" s="176" t="s">
        <v>832</v>
      </c>
      <c r="I15" s="182" t="s">
        <v>830</v>
      </c>
    </row>
    <row r="17" customFormat="false" ht="30" hidden="false" customHeight="true" outlineLevel="0" collapsed="false">
      <c r="B17" s="170" t="s">
        <v>792</v>
      </c>
      <c r="C17" s="171" t="s">
        <v>836</v>
      </c>
      <c r="D17" s="171"/>
      <c r="E17" s="171"/>
      <c r="F17" s="171"/>
      <c r="G17" s="171"/>
      <c r="H17" s="171"/>
      <c r="I17" s="171"/>
    </row>
    <row r="18" customFormat="false" ht="15" hidden="false" customHeight="true" outlineLevel="0" collapsed="false">
      <c r="B18" s="172" t="s">
        <v>818</v>
      </c>
      <c r="C18" s="172" t="s">
        <v>819</v>
      </c>
      <c r="D18" s="172" t="s">
        <v>820</v>
      </c>
      <c r="E18" s="172" t="s">
        <v>821</v>
      </c>
      <c r="F18" s="172" t="s">
        <v>822</v>
      </c>
      <c r="G18" s="172" t="s">
        <v>823</v>
      </c>
      <c r="H18" s="173" t="s">
        <v>824</v>
      </c>
      <c r="I18" s="173" t="s">
        <v>825</v>
      </c>
    </row>
    <row r="19" customFormat="false" ht="25.5" hidden="false" customHeight="true" outlineLevel="0" collapsed="false">
      <c r="B19" s="10" t="s">
        <v>408</v>
      </c>
      <c r="C19" s="174" t="n">
        <f aca="false">'Example Quotes'!D9</f>
        <v>6175</v>
      </c>
      <c r="D19" s="174" t="n">
        <f aca="false">'Example Quotes'!E9</f>
        <v>14950</v>
      </c>
      <c r="E19" s="174" t="n">
        <f aca="false">'Example Quotes'!F9</f>
        <v>1365</v>
      </c>
      <c r="F19" s="174" t="n">
        <f aca="false">'Example Quotes'!G9</f>
        <v>3250</v>
      </c>
      <c r="G19" s="175" t="s">
        <v>409</v>
      </c>
      <c r="H19" s="176" t="s">
        <v>826</v>
      </c>
      <c r="I19" s="177" t="s">
        <v>837</v>
      </c>
    </row>
    <row r="20" customFormat="false" ht="25.5" hidden="false" customHeight="true" outlineLevel="0" collapsed="false">
      <c r="B20" s="9" t="s">
        <v>828</v>
      </c>
      <c r="C20" s="178" t="n">
        <f aca="false">ROUND(C19*1.3,0)</f>
        <v>8028</v>
      </c>
      <c r="D20" s="178" t="n">
        <f aca="false">ROUND(D19*1.3,0)</f>
        <v>19435</v>
      </c>
      <c r="E20" s="178" t="n">
        <f aca="false">ROUND(E19*12*0.5,0)</f>
        <v>8190</v>
      </c>
      <c r="F20" s="178" t="n">
        <f aca="false">ROUND(F19*12*0.5,0)</f>
        <v>19500</v>
      </c>
      <c r="G20" s="179" t="s">
        <v>808</v>
      </c>
      <c r="H20" s="176" t="s">
        <v>829</v>
      </c>
      <c r="I20" s="177" t="s">
        <v>830</v>
      </c>
    </row>
    <row r="21" customFormat="false" ht="25.5" hidden="false" customHeight="true" outlineLevel="0" collapsed="false">
      <c r="B21" s="180" t="s">
        <v>831</v>
      </c>
      <c r="C21" s="181" t="n">
        <f aca="false">ROUND(C19+2.5*12*E19,0)</f>
        <v>47125</v>
      </c>
      <c r="D21" s="181" t="n">
        <f aca="false">ROUND(D19+2.5*12*F19,0)</f>
        <v>112450</v>
      </c>
      <c r="E21" s="174" t="n">
        <v>0</v>
      </c>
      <c r="F21" s="174" t="n">
        <v>0</v>
      </c>
      <c r="G21" s="175" t="s">
        <v>409</v>
      </c>
      <c r="H21" s="176" t="s">
        <v>832</v>
      </c>
      <c r="I21" s="182" t="s">
        <v>830</v>
      </c>
    </row>
    <row r="23" customFormat="false" ht="30" hidden="false" customHeight="true" outlineLevel="0" collapsed="false">
      <c r="B23" s="170" t="s">
        <v>796</v>
      </c>
      <c r="C23" s="171" t="s">
        <v>838</v>
      </c>
      <c r="D23" s="171"/>
      <c r="E23" s="171"/>
      <c r="F23" s="171"/>
      <c r="G23" s="171"/>
      <c r="H23" s="171"/>
      <c r="I23" s="171"/>
    </row>
    <row r="24" customFormat="false" ht="15" hidden="false" customHeight="true" outlineLevel="0" collapsed="false">
      <c r="B24" s="172" t="s">
        <v>818</v>
      </c>
      <c r="C24" s="172" t="s">
        <v>819</v>
      </c>
      <c r="D24" s="172" t="s">
        <v>820</v>
      </c>
      <c r="E24" s="172" t="s">
        <v>821</v>
      </c>
      <c r="F24" s="172" t="s">
        <v>822</v>
      </c>
      <c r="G24" s="172" t="s">
        <v>823</v>
      </c>
      <c r="H24" s="173" t="s">
        <v>824</v>
      </c>
      <c r="I24" s="173" t="s">
        <v>825</v>
      </c>
    </row>
    <row r="25" customFormat="false" ht="25.5" hidden="false" customHeight="true" outlineLevel="0" collapsed="false">
      <c r="B25" s="10" t="s">
        <v>408</v>
      </c>
      <c r="C25" s="174" t="n">
        <f aca="false">'Example Quotes'!D10</f>
        <v>8750</v>
      </c>
      <c r="D25" s="174" t="n">
        <f aca="false">'Example Quotes'!E10</f>
        <v>19500</v>
      </c>
      <c r="E25" s="174" t="n">
        <f aca="false">'Example Quotes'!F10</f>
        <v>1950</v>
      </c>
      <c r="F25" s="174" t="n">
        <f aca="false">'Example Quotes'!G10</f>
        <v>5000</v>
      </c>
      <c r="G25" s="175" t="s">
        <v>409</v>
      </c>
      <c r="H25" s="176" t="s">
        <v>826</v>
      </c>
      <c r="I25" s="177" t="s">
        <v>839</v>
      </c>
    </row>
    <row r="26" customFormat="false" ht="25.5" hidden="false" customHeight="true" outlineLevel="0" collapsed="false">
      <c r="B26" s="9" t="s">
        <v>828</v>
      </c>
      <c r="C26" s="178" t="n">
        <f aca="false">ROUND(C25*1.3,0)</f>
        <v>11375</v>
      </c>
      <c r="D26" s="178" t="n">
        <f aca="false">ROUND(D25*1.3,0)</f>
        <v>25350</v>
      </c>
      <c r="E26" s="178" t="n">
        <f aca="false">ROUND(E25*12*0.5,0)</f>
        <v>11700</v>
      </c>
      <c r="F26" s="178" t="n">
        <f aca="false">ROUND(F25*12*0.5,0)</f>
        <v>30000</v>
      </c>
      <c r="G26" s="179" t="s">
        <v>808</v>
      </c>
      <c r="H26" s="176" t="s">
        <v>829</v>
      </c>
      <c r="I26" s="177" t="s">
        <v>830</v>
      </c>
    </row>
    <row r="27" customFormat="false" ht="25.5" hidden="false" customHeight="true" outlineLevel="0" collapsed="false">
      <c r="B27" s="180" t="s">
        <v>831</v>
      </c>
      <c r="C27" s="181" t="n">
        <f aca="false">ROUND(C25+2.5*12*E25,0)</f>
        <v>67250</v>
      </c>
      <c r="D27" s="181" t="n">
        <f aca="false">ROUND(D25+2.5*12*F25,0)</f>
        <v>169500</v>
      </c>
      <c r="E27" s="174" t="n">
        <v>0</v>
      </c>
      <c r="F27" s="174" t="n">
        <v>0</v>
      </c>
      <c r="G27" s="175" t="s">
        <v>409</v>
      </c>
      <c r="H27" s="176" t="s">
        <v>832</v>
      </c>
      <c r="I27" s="182" t="s">
        <v>830</v>
      </c>
    </row>
    <row r="29" customFormat="false" ht="15" hidden="false" customHeight="true" outlineLevel="0" collapsed="false">
      <c r="B29" s="170" t="s">
        <v>799</v>
      </c>
      <c r="C29" s="171" t="s">
        <v>840</v>
      </c>
      <c r="D29" s="171"/>
      <c r="E29" s="171"/>
      <c r="F29" s="171"/>
      <c r="G29" s="171"/>
      <c r="H29" s="171"/>
      <c r="I29" s="171"/>
    </row>
    <row r="30" customFormat="false" ht="15" hidden="false" customHeight="true" outlineLevel="0" collapsed="false">
      <c r="B30" s="172" t="s">
        <v>818</v>
      </c>
      <c r="C30" s="172" t="s">
        <v>819</v>
      </c>
      <c r="D30" s="172" t="s">
        <v>820</v>
      </c>
      <c r="E30" s="172" t="s">
        <v>821</v>
      </c>
      <c r="F30" s="172" t="s">
        <v>822</v>
      </c>
      <c r="G30" s="172" t="s">
        <v>823</v>
      </c>
      <c r="H30" s="173" t="s">
        <v>824</v>
      </c>
      <c r="I30" s="173" t="s">
        <v>825</v>
      </c>
    </row>
    <row r="31" customFormat="false" ht="25.5" hidden="false" customHeight="true" outlineLevel="0" collapsed="false">
      <c r="B31" s="10" t="s">
        <v>408</v>
      </c>
      <c r="C31" s="174" t="n">
        <f aca="false">'Example Quotes'!D11</f>
        <v>14000</v>
      </c>
      <c r="D31" s="174" t="n">
        <f aca="false">'Example Quotes'!E11</f>
        <v>36500</v>
      </c>
      <c r="E31" s="174" t="n">
        <f aca="false">'Example Quotes'!F11</f>
        <v>3000</v>
      </c>
      <c r="F31" s="174" t="n">
        <f aca="false">'Example Quotes'!G11</f>
        <v>7600</v>
      </c>
      <c r="G31" s="175" t="s">
        <v>409</v>
      </c>
      <c r="H31" s="176" t="s">
        <v>826</v>
      </c>
      <c r="I31" s="177" t="s">
        <v>841</v>
      </c>
    </row>
    <row r="32" customFormat="false" ht="25.5" hidden="false" customHeight="true" outlineLevel="0" collapsed="false">
      <c r="B32" s="9" t="s">
        <v>828</v>
      </c>
      <c r="C32" s="178" t="n">
        <f aca="false">ROUND(C31*1.3,0)</f>
        <v>18200</v>
      </c>
      <c r="D32" s="178" t="n">
        <f aca="false">ROUND(D31*1.3,0)</f>
        <v>47450</v>
      </c>
      <c r="E32" s="178" t="n">
        <f aca="false">ROUND(E31*12*0.5,0)</f>
        <v>18000</v>
      </c>
      <c r="F32" s="178" t="n">
        <f aca="false">ROUND(F31*12*0.5,0)</f>
        <v>45600</v>
      </c>
      <c r="G32" s="179" t="s">
        <v>808</v>
      </c>
      <c r="H32" s="176" t="s">
        <v>829</v>
      </c>
      <c r="I32" s="177" t="s">
        <v>830</v>
      </c>
    </row>
    <row r="33" customFormat="false" ht="25.5" hidden="false" customHeight="true" outlineLevel="0" collapsed="false">
      <c r="B33" s="180" t="s">
        <v>831</v>
      </c>
      <c r="C33" s="181" t="n">
        <f aca="false">ROUND(C31+2.5*12*E31,0)</f>
        <v>104000</v>
      </c>
      <c r="D33" s="181" t="n">
        <f aca="false">ROUND(D31+2.5*12*F31,0)</f>
        <v>264500</v>
      </c>
      <c r="E33" s="174" t="n">
        <v>0</v>
      </c>
      <c r="F33" s="174" t="n">
        <v>0</v>
      </c>
      <c r="G33" s="175" t="s">
        <v>409</v>
      </c>
      <c r="H33" s="176" t="s">
        <v>832</v>
      </c>
      <c r="I33" s="182" t="s">
        <v>830</v>
      </c>
    </row>
    <row r="35" customFormat="false" ht="15" hidden="false" customHeight="true" outlineLevel="0" collapsed="false">
      <c r="B35" s="183" t="s">
        <v>842</v>
      </c>
      <c r="C35" s="183"/>
      <c r="D35" s="183"/>
      <c r="E35" s="183"/>
      <c r="F35" s="183"/>
      <c r="G35" s="183"/>
      <c r="H35" s="183"/>
      <c r="I35" s="183"/>
    </row>
    <row r="36" customFormat="false" ht="18.75" hidden="false" customHeight="true" outlineLevel="0" collapsed="false">
      <c r="B36" s="184" t="s">
        <v>843</v>
      </c>
      <c r="C36" s="184"/>
      <c r="D36" s="184"/>
      <c r="E36" s="184"/>
      <c r="F36" s="184"/>
      <c r="G36" s="184"/>
      <c r="H36" s="184"/>
      <c r="I36" s="184"/>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9" t="s">
        <v>844</v>
      </c>
      <c r="C3" s="169"/>
      <c r="D3" s="169"/>
      <c r="E3" s="169"/>
      <c r="F3" s="169"/>
      <c r="G3" s="169"/>
      <c r="H3" s="169"/>
      <c r="I3" s="169"/>
    </row>
    <row r="5" customFormat="false" ht="15" hidden="false" customHeight="true" outlineLevel="0" collapsed="false">
      <c r="B5" s="185" t="s">
        <v>845</v>
      </c>
      <c r="C5" s="185"/>
      <c r="D5" s="185"/>
      <c r="E5" s="185"/>
      <c r="F5" s="185"/>
      <c r="G5" s="185"/>
      <c r="H5" s="185"/>
      <c r="I5" s="185"/>
    </row>
    <row r="6" customFormat="false" ht="27.75" hidden="false" customHeight="true" outlineLevel="0" collapsed="false">
      <c r="B6" s="186" t="s">
        <v>846</v>
      </c>
      <c r="C6" s="187" t="n">
        <v>0.5</v>
      </c>
      <c r="D6" s="188" t="s">
        <v>847</v>
      </c>
      <c r="E6" s="188"/>
      <c r="F6" s="188"/>
      <c r="G6" s="188"/>
      <c r="H6" s="188"/>
      <c r="I6" s="188"/>
    </row>
    <row r="7" customFormat="false" ht="15" hidden="false" customHeight="true" outlineLevel="0" collapsed="false">
      <c r="B7" s="186" t="s">
        <v>848</v>
      </c>
      <c r="C7" s="189" t="n">
        <v>1.3</v>
      </c>
      <c r="D7" s="188" t="s">
        <v>849</v>
      </c>
      <c r="E7" s="188"/>
      <c r="F7" s="188"/>
      <c r="G7" s="188"/>
      <c r="H7" s="188"/>
      <c r="I7" s="188"/>
    </row>
    <row r="8" customFormat="false" ht="27.75" hidden="false" customHeight="true" outlineLevel="0" collapsed="false">
      <c r="B8" s="186" t="s">
        <v>850</v>
      </c>
      <c r="C8" s="190" t="n">
        <v>2.5</v>
      </c>
      <c r="D8" s="188" t="s">
        <v>851</v>
      </c>
      <c r="E8" s="188"/>
      <c r="F8" s="188"/>
      <c r="G8" s="188"/>
      <c r="H8" s="188"/>
      <c r="I8" s="188"/>
    </row>
    <row r="10" customFormat="false" ht="30" hidden="false" customHeight="true" outlineLevel="0" collapsed="false">
      <c r="B10" s="141" t="s">
        <v>251</v>
      </c>
      <c r="C10" s="141" t="s">
        <v>852</v>
      </c>
      <c r="D10" s="141" t="s">
        <v>853</v>
      </c>
      <c r="E10" s="141" t="s">
        <v>854</v>
      </c>
      <c r="F10" s="141" t="s">
        <v>855</v>
      </c>
      <c r="G10" s="141" t="s">
        <v>856</v>
      </c>
      <c r="H10" s="191" t="s">
        <v>857</v>
      </c>
      <c r="I10" s="191" t="s">
        <v>858</v>
      </c>
    </row>
    <row r="11" customFormat="false" ht="15" hidden="false" customHeight="true" outlineLevel="0" collapsed="false">
      <c r="B11" s="192" t="str">
        <f aca="false">'Package Reference'!B6</f>
        <v>Basic Intake</v>
      </c>
      <c r="C11" s="193" t="n">
        <f aca="false">ROUND(('Package Reference'!C6+'Package Reference'!D6)/2,0)</f>
        <v>1275</v>
      </c>
      <c r="D11" s="193" t="n">
        <f aca="false">ROUND(('Package Reference'!E6+'Package Reference'!F6)/2,0)</f>
        <v>300</v>
      </c>
      <c r="E11" s="193" t="n">
        <f aca="false">ROUND(C11*$C$7,0)</f>
        <v>1658</v>
      </c>
      <c r="F11" s="193" t="n">
        <f aca="false">ROUND(D11*12*$C$6,0)</f>
        <v>1800</v>
      </c>
      <c r="G11" s="193" t="n">
        <f aca="false">ROUND(F11/12,0)</f>
        <v>150</v>
      </c>
      <c r="H11" s="193" t="n">
        <f aca="false">ROUND(C11+$C$8*12*D11,0)</f>
        <v>10275</v>
      </c>
      <c r="I11" s="193" t="n">
        <v>0</v>
      </c>
    </row>
    <row r="12" customFormat="false" ht="15" hidden="false" customHeight="true" outlineLevel="0" collapsed="false">
      <c r="B12" s="194" t="str">
        <f aca="false">'Package Reference'!B7</f>
        <v>Basic+ AI Triage</v>
      </c>
      <c r="C12" s="195" t="n">
        <f aca="false">ROUND(('Package Reference'!C7+'Package Reference'!D7)/2,0)</f>
        <v>2500</v>
      </c>
      <c r="D12" s="195" t="n">
        <f aca="false">ROUND(('Package Reference'!E7+'Package Reference'!F7)/2,0)</f>
        <v>525</v>
      </c>
      <c r="E12" s="195" t="n">
        <f aca="false">ROUND(C12*$C$7,0)</f>
        <v>3250</v>
      </c>
      <c r="F12" s="195" t="n">
        <f aca="false">ROUND(D12*12*$C$6,0)</f>
        <v>3150</v>
      </c>
      <c r="G12" s="195" t="n">
        <f aca="false">ROUND(F12/12,0)</f>
        <v>263</v>
      </c>
      <c r="H12" s="195" t="n">
        <f aca="false">ROUND(C12+$C$8*12*D12,0)</f>
        <v>18250</v>
      </c>
      <c r="I12" s="195" t="n">
        <v>0</v>
      </c>
    </row>
    <row r="13" customFormat="false" ht="15" hidden="false" customHeight="true" outlineLevel="0" collapsed="false">
      <c r="B13" s="192" t="str">
        <f aca="false">'Package Reference'!B8</f>
        <v>Pro Multi-Channel</v>
      </c>
      <c r="C13" s="193" t="n">
        <f aca="false">ROUND(('Package Reference'!C8+'Package Reference'!D8)/2,0)</f>
        <v>5500</v>
      </c>
      <c r="D13" s="193" t="n">
        <f aca="false">ROUND(('Package Reference'!E8+'Package Reference'!F8)/2,0)</f>
        <v>1125</v>
      </c>
      <c r="E13" s="193" t="n">
        <f aca="false">ROUND(C13*$C$7,0)</f>
        <v>7150</v>
      </c>
      <c r="F13" s="193" t="n">
        <f aca="false">ROUND(D13*12*$C$6,0)</f>
        <v>6750</v>
      </c>
      <c r="G13" s="193" t="n">
        <f aca="false">ROUND(F13/12,0)</f>
        <v>563</v>
      </c>
      <c r="H13" s="193" t="n">
        <f aca="false">ROUND(C13+$C$8*12*D13,0)</f>
        <v>39250</v>
      </c>
      <c r="I13" s="193" t="n">
        <v>0</v>
      </c>
    </row>
    <row r="14" customFormat="false" ht="15" hidden="false" customHeight="true" outlineLevel="0" collapsed="false">
      <c r="B14" s="194" t="str">
        <f aca="false">'Package Reference'!B9</f>
        <v>Managed Operations</v>
      </c>
      <c r="C14" s="195" t="n">
        <f aca="false">ROUND(('Package Reference'!C9+'Package Reference'!D9)/2,0)</f>
        <v>11250</v>
      </c>
      <c r="D14" s="195" t="n">
        <f aca="false">ROUND(('Package Reference'!E9+'Package Reference'!F9)/2,0)</f>
        <v>2500</v>
      </c>
      <c r="E14" s="195" t="n">
        <f aca="false">ROUND(C14*$C$7,0)</f>
        <v>14625</v>
      </c>
      <c r="F14" s="195" t="n">
        <f aca="false">ROUND(D14*12*$C$6,0)</f>
        <v>15000</v>
      </c>
      <c r="G14" s="195" t="n">
        <f aca="false">ROUND(F14/12,0)</f>
        <v>1250</v>
      </c>
      <c r="H14" s="195" t="n">
        <f aca="false">ROUND(C14+$C$8*12*D14,0)</f>
        <v>86250</v>
      </c>
      <c r="I14" s="195" t="n">
        <v>0</v>
      </c>
    </row>
    <row r="15" customFormat="false" ht="15" hidden="false" customHeight="true" outlineLevel="0" collapsed="false">
      <c r="B15" s="192" t="str">
        <f aca="false">'Package Reference'!B10</f>
        <v>Agentic Automation</v>
      </c>
      <c r="C15" s="193" t="n">
        <f aca="false">ROUND(('Package Reference'!C10+'Package Reference'!D10)/2,0)</f>
        <v>21000</v>
      </c>
      <c r="D15" s="193" t="n">
        <f aca="false">ROUND(('Package Reference'!E10+'Package Reference'!F10)/2,0)</f>
        <v>4250</v>
      </c>
      <c r="E15" s="193" t="n">
        <f aca="false">ROUND(C15*$C$7,0)</f>
        <v>27300</v>
      </c>
      <c r="F15" s="193" t="n">
        <f aca="false">ROUND(D15*12*$C$6,0)</f>
        <v>25500</v>
      </c>
      <c r="G15" s="193" t="n">
        <f aca="false">ROUND(F15/12,0)</f>
        <v>2125</v>
      </c>
      <c r="H15" s="193" t="n">
        <f aca="false">ROUND(C15+$C$8*12*D15,0)</f>
        <v>148500</v>
      </c>
      <c r="I15" s="193" t="n">
        <v>0</v>
      </c>
    </row>
    <row r="17" customFormat="false" ht="15" hidden="false" customHeight="true" outlineLevel="0" collapsed="false">
      <c r="B17" s="185" t="s">
        <v>859</v>
      </c>
      <c r="C17" s="185"/>
      <c r="D17" s="185"/>
      <c r="E17" s="185"/>
      <c r="F17" s="185"/>
      <c r="G17" s="185"/>
      <c r="H17" s="185"/>
      <c r="I17" s="185"/>
    </row>
    <row r="18" customFormat="false" ht="13.5" hidden="false" customHeight="true" outlineLevel="0" collapsed="false">
      <c r="B18" s="188" t="s">
        <v>860</v>
      </c>
      <c r="C18" s="188"/>
      <c r="D18" s="188"/>
      <c r="E18" s="188"/>
      <c r="F18" s="188"/>
      <c r="G18" s="188"/>
      <c r="H18" s="188"/>
      <c r="I18" s="188"/>
    </row>
    <row r="19" customFormat="false" ht="24" hidden="false" customHeight="true" outlineLevel="0" collapsed="false">
      <c r="B19" s="188" t="s">
        <v>861</v>
      </c>
      <c r="C19" s="188"/>
      <c r="D19" s="188"/>
      <c r="E19" s="188"/>
      <c r="F19" s="188"/>
      <c r="G19" s="188"/>
      <c r="H19" s="188"/>
      <c r="I19" s="188"/>
    </row>
    <row r="20" customFormat="false" ht="24" hidden="false" customHeight="true" outlineLevel="0" collapsed="false">
      <c r="B20" s="188" t="s">
        <v>862</v>
      </c>
      <c r="C20" s="188"/>
      <c r="D20" s="188"/>
      <c r="E20" s="188"/>
      <c r="F20" s="188"/>
      <c r="G20" s="188"/>
      <c r="H20" s="188"/>
      <c r="I20" s="188"/>
    </row>
    <row r="21" customFormat="false" ht="13.5" hidden="false" customHeight="true" outlineLevel="0" collapsed="false">
      <c r="B21" s="188" t="s">
        <v>863</v>
      </c>
      <c r="C21" s="188"/>
      <c r="D21" s="188"/>
      <c r="E21" s="188"/>
      <c r="F21" s="188"/>
      <c r="G21" s="188"/>
      <c r="H21" s="188"/>
      <c r="I21" s="188"/>
    </row>
    <row r="22" customFormat="false" ht="13.5" hidden="false" customHeight="true" outlineLevel="0" collapsed="false">
      <c r="B22" s="188" t="s">
        <v>864</v>
      </c>
      <c r="C22" s="188"/>
      <c r="D22" s="188"/>
      <c r="E22" s="188"/>
      <c r="F22" s="188"/>
      <c r="G22" s="188"/>
      <c r="H22" s="188"/>
      <c r="I22" s="188"/>
    </row>
    <row r="24" customFormat="false" ht="15" hidden="false" customHeight="true" outlineLevel="0" collapsed="false">
      <c r="B24" s="196" t="s">
        <v>865</v>
      </c>
      <c r="C24" s="196"/>
      <c r="D24" s="196"/>
      <c r="E24" s="196"/>
      <c r="F24" s="196"/>
      <c r="G24" s="196"/>
      <c r="H24" s="196"/>
      <c r="I24" s="196"/>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97" t="s">
        <v>866</v>
      </c>
      <c r="C2" s="197"/>
      <c r="D2" s="197"/>
      <c r="E2" s="197"/>
      <c r="F2" s="197"/>
    </row>
    <row r="3" customFormat="false" ht="39.75" hidden="false" customHeight="true" outlineLevel="0" collapsed="false">
      <c r="B3" s="198" t="s">
        <v>867</v>
      </c>
      <c r="C3" s="198"/>
      <c r="D3" s="198"/>
      <c r="E3" s="198"/>
      <c r="F3" s="198"/>
    </row>
    <row r="5" customFormat="false" ht="15" hidden="false" customHeight="true" outlineLevel="0" collapsed="false">
      <c r="B5" s="199" t="s">
        <v>868</v>
      </c>
      <c r="C5" s="199"/>
      <c r="D5" s="199"/>
      <c r="E5" s="199"/>
      <c r="F5" s="199"/>
    </row>
    <row r="6" customFormat="false" ht="15" hidden="false" customHeight="true" outlineLevel="0" collapsed="false">
      <c r="B6" s="200" t="s">
        <v>251</v>
      </c>
      <c r="C6" s="200" t="s">
        <v>869</v>
      </c>
      <c r="D6" s="200" t="s">
        <v>870</v>
      </c>
    </row>
    <row r="7" customFormat="false" ht="15" hidden="false" customHeight="true" outlineLevel="0" collapsed="false">
      <c r="B7" s="1" t="str">
        <f aca="false">'Access &amp; Licence Pricing'!B11</f>
        <v>Basic Intake</v>
      </c>
      <c r="C7" s="201" t="n">
        <f aca="false">'Access &amp; Licence Pricing'!D11</f>
        <v>300</v>
      </c>
      <c r="D7" s="202" t="n">
        <v>0.3</v>
      </c>
    </row>
    <row r="8" customFormat="false" ht="15" hidden="false" customHeight="true" outlineLevel="0" collapsed="false">
      <c r="B8" s="1" t="str">
        <f aca="false">'Access &amp; Licence Pricing'!B12</f>
        <v>Basic+ AI Triage</v>
      </c>
      <c r="C8" s="201" t="n">
        <f aca="false">'Access &amp; Licence Pricing'!D12</f>
        <v>525</v>
      </c>
      <c r="D8" s="202" t="n">
        <v>0.35</v>
      </c>
    </row>
    <row r="9" customFormat="false" ht="15" hidden="false" customHeight="true" outlineLevel="0" collapsed="false">
      <c r="B9" s="1" t="str">
        <f aca="false">'Access &amp; Licence Pricing'!B13</f>
        <v>Pro Multi-Channel</v>
      </c>
      <c r="C9" s="201" t="n">
        <f aca="false">'Access &amp; Licence Pricing'!D13</f>
        <v>1125</v>
      </c>
      <c r="D9" s="202" t="n">
        <v>0.25</v>
      </c>
    </row>
    <row r="10" customFormat="false" ht="15" hidden="false" customHeight="true" outlineLevel="0" collapsed="false">
      <c r="B10" s="1" t="str">
        <f aca="false">'Access &amp; Licence Pricing'!B14</f>
        <v>Managed Operations</v>
      </c>
      <c r="C10" s="201" t="n">
        <f aca="false">'Access &amp; Licence Pricing'!D14</f>
        <v>2500</v>
      </c>
      <c r="D10" s="202" t="n">
        <v>0.08</v>
      </c>
    </row>
    <row r="11" customFormat="false" ht="15" hidden="false" customHeight="true" outlineLevel="0" collapsed="false">
      <c r="B11" s="1" t="str">
        <f aca="false">'Access &amp; Licence Pricing'!B15</f>
        <v>Agentic Automation</v>
      </c>
      <c r="C11" s="201" t="n">
        <f aca="false">'Access &amp; Licence Pricing'!D15</f>
        <v>4250</v>
      </c>
      <c r="D11" s="202" t="n">
        <v>0.02</v>
      </c>
    </row>
    <row r="12" customFormat="false" ht="15" hidden="false" customHeight="true" outlineLevel="0" collapsed="false">
      <c r="B12" s="165" t="s">
        <v>871</v>
      </c>
      <c r="C12" s="203" t="n">
        <f aca="false">SUM(D7:D11)</f>
        <v>1</v>
      </c>
      <c r="D12" s="165" t="str">
        <f aca="false">IF(ABS(SUM(D7:D11)-1)&lt;0.001,"OK","FIX WEIGHTS — must total 100%")</f>
        <v>OK</v>
      </c>
    </row>
    <row r="13" customFormat="false" ht="15" hidden="false" customHeight="true" outlineLevel="0" collapsed="false">
      <c r="B13" s="165" t="s">
        <v>872</v>
      </c>
      <c r="C13" s="201" t="n">
        <f aca="false">SUMPRODUCT(C7:C11,D7:D11)</f>
        <v>840</v>
      </c>
      <c r="D13" s="165"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9" t="s">
        <v>873</v>
      </c>
      <c r="C15" s="199"/>
      <c r="D15" s="199"/>
      <c r="E15" s="199"/>
      <c r="F15" s="199"/>
    </row>
    <row r="16" customFormat="false" ht="15" hidden="false" customHeight="true" outlineLevel="0" collapsed="false">
      <c r="B16" s="1" t="s">
        <v>874</v>
      </c>
      <c r="C16" s="158" t="n">
        <v>6000</v>
      </c>
    </row>
    <row r="17" customFormat="false" ht="15" hidden="false" customHeight="true" outlineLevel="0" collapsed="false">
      <c r="B17" s="1" t="s">
        <v>875</v>
      </c>
      <c r="C17" s="158" t="n">
        <v>500</v>
      </c>
    </row>
    <row r="18" customFormat="false" ht="41.25" hidden="false" customHeight="true" outlineLevel="0" collapsed="false">
      <c r="B18" s="1" t="s">
        <v>876</v>
      </c>
      <c r="C18" s="202" t="n">
        <v>0.85</v>
      </c>
      <c r="D18" s="204" t="s">
        <v>877</v>
      </c>
    </row>
    <row r="19" customFormat="false" ht="15" hidden="false" customHeight="true" outlineLevel="0" collapsed="false">
      <c r="B19" s="165" t="s">
        <v>878</v>
      </c>
      <c r="C19" s="201" t="n">
        <f aca="false">C16+C17</f>
        <v>6500</v>
      </c>
    </row>
    <row r="20" customFormat="false" ht="15" hidden="false" customHeight="true" outlineLevel="0" collapsed="false">
      <c r="B20" s="165" t="s">
        <v>879</v>
      </c>
      <c r="C20" s="201" t="n">
        <f aca="false">C13*C18</f>
        <v>714</v>
      </c>
    </row>
    <row r="22" customFormat="false" ht="15" hidden="false" customHeight="true" outlineLevel="0" collapsed="false">
      <c r="B22" s="199" t="s">
        <v>880</v>
      </c>
      <c r="C22" s="199"/>
      <c r="D22" s="199"/>
      <c r="E22" s="199"/>
      <c r="F22" s="199"/>
    </row>
    <row r="23" customFormat="false" ht="15" hidden="false" customHeight="true" outlineLevel="0" collapsed="false">
      <c r="B23" s="165" t="s">
        <v>881</v>
      </c>
      <c r="C23" s="165" t="n">
        <f aca="false">IF(C20&lt;=0,"n/a",ROUNDUP(C19/C20,0))</f>
        <v>10</v>
      </c>
    </row>
    <row r="24" customFormat="false" ht="15" hidden="false" customHeight="true" outlineLevel="0" collapsed="false">
      <c r="B24" s="165" t="s">
        <v>882</v>
      </c>
      <c r="C24" s="201" t="n">
        <f aca="false">IF(ISNUMBER(C23),C23*C13,"n/a")</f>
        <v>8400</v>
      </c>
    </row>
    <row r="25" customFormat="false" ht="15" hidden="false" customHeight="true" outlineLevel="0" collapsed="false">
      <c r="B25" s="165" t="s">
        <v>883</v>
      </c>
      <c r="C25" s="165" t="str">
        <f aca="false">IF(ISNUMBER(C23),IF(AND(C23&gt;=6,C23&lt;=8),"OK — matches deck","CHECK — model says "&amp;C23&amp;" clients, deck says 6-8"),"n/a")</f>
        <v>CHECK — model says 10 clients, deck says 6-8</v>
      </c>
    </row>
    <row r="27" customFormat="false" ht="15" hidden="false" customHeight="true" outlineLevel="0" collapsed="false">
      <c r="B27" s="199" t="s">
        <v>884</v>
      </c>
      <c r="C27" s="199"/>
      <c r="D27" s="199"/>
      <c r="E27" s="199"/>
      <c r="F27" s="199"/>
    </row>
    <row r="28" customFormat="false" ht="15" hidden="false" customHeight="true" outlineLevel="0" collapsed="false">
      <c r="B28" s="1" t="s">
        <v>885</v>
      </c>
      <c r="C28" s="158" t="n">
        <v>0</v>
      </c>
    </row>
    <row r="29" customFormat="false" ht="15" hidden="false" customHeight="true" outlineLevel="0" collapsed="false">
      <c r="B29" s="165" t="s">
        <v>886</v>
      </c>
      <c r="C29" s="165" t="str">
        <f aca="false">IF(C28&lt;=0,"enter starting cash",IF(C19&lt;=0,"n/a — zero fixed costs",ROUND(C28/C19,1)))</f>
        <v>enter starting cash</v>
      </c>
    </row>
    <row r="31" customFormat="false" ht="15" hidden="false" customHeight="true" outlineLevel="0" collapsed="false">
      <c r="B31" s="199" t="s">
        <v>887</v>
      </c>
      <c r="C31" s="199"/>
      <c r="D31" s="199"/>
      <c r="E31" s="199"/>
      <c r="F31" s="199"/>
    </row>
    <row r="32" customFormat="false" ht="15" hidden="false" customHeight="true" outlineLevel="0" collapsed="false">
      <c r="B32" s="200" t="s">
        <v>888</v>
      </c>
      <c r="C32" s="200" t="s">
        <v>889</v>
      </c>
    </row>
    <row r="33" customFormat="false" ht="15" hidden="false" customHeight="true" outlineLevel="0" collapsed="false">
      <c r="B33" s="1" t="s">
        <v>890</v>
      </c>
      <c r="C33" s="165" t="n">
        <f aca="false">IF(C20&lt;=0,"n/a",ROUNDUP((4000+C17)/C20,0))</f>
        <v>7</v>
      </c>
    </row>
    <row r="34" customFormat="false" ht="15" hidden="false" customHeight="true" outlineLevel="0" collapsed="false">
      <c r="B34" s="1" t="s">
        <v>891</v>
      </c>
      <c r="C34" s="165" t="n">
        <f aca="false">IF(C20&lt;=0,"n/a",ROUNDUP((C16+C17)/C20,0))</f>
        <v>10</v>
      </c>
    </row>
    <row r="35" customFormat="false" ht="15" hidden="false" customHeight="true" outlineLevel="0" collapsed="false">
      <c r="B35" s="1" t="s">
        <v>892</v>
      </c>
      <c r="C35" s="165" t="n">
        <f aca="false">IF(C20&lt;=0,"n/a",ROUNDUP((8000+C17)/C20,0))</f>
        <v>12</v>
      </c>
    </row>
    <row r="37" customFormat="false" ht="15" hidden="false" customHeight="true" outlineLevel="0" collapsed="false">
      <c r="B37" s="205" t="s">
        <v>893</v>
      </c>
      <c r="C37" s="205"/>
      <c r="D37" s="205"/>
      <c r="E37" s="205"/>
      <c r="F37" s="205"/>
    </row>
    <row r="38" customFormat="false" ht="15" hidden="false" customHeight="true" outlineLevel="0" collapsed="false">
      <c r="B38" s="205"/>
      <c r="C38" s="205"/>
      <c r="D38" s="205"/>
      <c r="E38" s="205"/>
      <c r="F38" s="205"/>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206" width="2.83"/>
    <col collapsed="false" customWidth="true" hidden="false" outlineLevel="0" max="2" min="2" style="206" width="21.83"/>
    <col collapsed="false" customWidth="false" hidden="false" outlineLevel="0" max="5" min="3" style="206" width="8.83"/>
    <col collapsed="false" customWidth="true" hidden="false" outlineLevel="0" max="6" min="6" style="206" width="21.83"/>
    <col collapsed="false" customWidth="false" hidden="false" outlineLevel="0" max="16384" min="7" style="206" width="8.83"/>
  </cols>
  <sheetData>
    <row r="2" customFormat="false" ht="33.75" hidden="false" customHeight="true" outlineLevel="0" collapsed="false">
      <c r="B2" s="207" t="s">
        <v>894</v>
      </c>
      <c r="C2" s="207"/>
      <c r="D2" s="207"/>
      <c r="E2" s="207"/>
      <c r="F2" s="207"/>
      <c r="G2" s="207"/>
      <c r="H2" s="207"/>
      <c r="I2" s="207"/>
      <c r="J2" s="207"/>
    </row>
    <row r="3" customFormat="false" ht="54" hidden="false" customHeight="true" outlineLevel="0" collapsed="false">
      <c r="B3" s="208" t="s">
        <v>895</v>
      </c>
      <c r="C3" s="208"/>
      <c r="D3" s="208"/>
      <c r="E3" s="208"/>
      <c r="F3" s="208"/>
      <c r="G3" s="208"/>
      <c r="H3" s="208"/>
      <c r="I3" s="208"/>
    </row>
    <row r="5" customFormat="false" ht="15" hidden="false" customHeight="true" outlineLevel="0" collapsed="false">
      <c r="B5" s="209" t="s">
        <v>896</v>
      </c>
      <c r="C5" s="209"/>
      <c r="D5" s="209"/>
      <c r="E5" s="209"/>
      <c r="F5" s="209"/>
      <c r="G5" s="209"/>
      <c r="H5" s="209"/>
      <c r="I5" s="209"/>
      <c r="J5" s="209"/>
    </row>
    <row r="6" customFormat="false" ht="15" hidden="false" customHeight="true" outlineLevel="0" collapsed="false">
      <c r="B6" s="210" t="s">
        <v>897</v>
      </c>
      <c r="C6" s="211" t="s">
        <v>898</v>
      </c>
      <c r="D6" s="211"/>
      <c r="E6" s="211"/>
      <c r="F6" s="211"/>
      <c r="G6" s="211"/>
      <c r="H6" s="211"/>
      <c r="I6" s="211"/>
    </row>
    <row r="7" customFormat="false" ht="31.5" hidden="false" customHeight="true" outlineLevel="0" collapsed="false">
      <c r="B7" s="212" t="s">
        <v>251</v>
      </c>
      <c r="C7" s="212" t="s">
        <v>899</v>
      </c>
      <c r="D7" s="212" t="s">
        <v>899</v>
      </c>
      <c r="E7" s="212" t="s">
        <v>899</v>
      </c>
      <c r="F7" s="212" t="s">
        <v>900</v>
      </c>
      <c r="G7" s="212" t="s">
        <v>29</v>
      </c>
      <c r="H7" s="212" t="s">
        <v>402</v>
      </c>
      <c r="I7" s="212" t="s">
        <v>901</v>
      </c>
      <c r="J7" s="212"/>
    </row>
    <row r="8" customFormat="false" ht="15.75" hidden="false" customHeight="true" outlineLevel="0" collapsed="false">
      <c r="B8" s="212"/>
      <c r="C8" s="212" t="s">
        <v>902</v>
      </c>
      <c r="D8" s="212" t="s">
        <v>903</v>
      </c>
      <c r="E8" s="212" t="s">
        <v>904</v>
      </c>
      <c r="F8" s="212"/>
      <c r="G8" s="212" t="s">
        <v>905</v>
      </c>
      <c r="H8" s="212" t="s">
        <v>906</v>
      </c>
      <c r="I8" s="212"/>
      <c r="J8" s="212"/>
    </row>
    <row r="9" customFormat="false" ht="30" hidden="false" customHeight="true" outlineLevel="0" collapsed="false">
      <c r="B9" s="213" t="s">
        <v>907</v>
      </c>
      <c r="C9" s="214" t="n">
        <v>0</v>
      </c>
      <c r="D9" s="214" t="n">
        <v>250</v>
      </c>
      <c r="E9" s="215" t="s">
        <v>908</v>
      </c>
      <c r="F9" s="216" t="s">
        <v>909</v>
      </c>
      <c r="G9" s="217" t="s">
        <v>910</v>
      </c>
      <c r="H9" s="218" t="s">
        <v>911</v>
      </c>
      <c r="I9" s="219" t="s">
        <v>912</v>
      </c>
      <c r="J9" s="217"/>
    </row>
    <row r="10" customFormat="false" ht="30" hidden="false" customHeight="true" outlineLevel="0" collapsed="false">
      <c r="B10" s="213" t="s">
        <v>913</v>
      </c>
      <c r="C10" s="214" t="n">
        <v>2500</v>
      </c>
      <c r="D10" s="214" t="n">
        <v>5000</v>
      </c>
      <c r="E10" s="215" t="s">
        <v>914</v>
      </c>
      <c r="F10" s="216" t="s">
        <v>915</v>
      </c>
      <c r="G10" s="217" t="s">
        <v>916</v>
      </c>
      <c r="H10" s="218" t="s">
        <v>911</v>
      </c>
      <c r="I10" s="219" t="s">
        <v>917</v>
      </c>
      <c r="J10" s="217"/>
    </row>
    <row r="11" customFormat="false" ht="30" hidden="false" customHeight="true" outlineLevel="0" collapsed="false">
      <c r="B11" s="213" t="s">
        <v>794</v>
      </c>
      <c r="C11" s="214" t="n">
        <v>500</v>
      </c>
      <c r="D11" s="214" t="n">
        <v>1000</v>
      </c>
      <c r="E11" s="215" t="s">
        <v>918</v>
      </c>
      <c r="F11" s="216" t="s">
        <v>919</v>
      </c>
      <c r="G11" s="217" t="s">
        <v>920</v>
      </c>
      <c r="H11" s="218" t="s">
        <v>921</v>
      </c>
      <c r="I11" s="219" t="s">
        <v>922</v>
      </c>
      <c r="J11" s="217"/>
    </row>
    <row r="12" customFormat="false" ht="15" hidden="false" customHeight="true" outlineLevel="0" collapsed="false">
      <c r="B12" s="220" t="s">
        <v>923</v>
      </c>
    </row>
    <row r="14" customFormat="false" ht="15" hidden="false" customHeight="true" outlineLevel="0" collapsed="false">
      <c r="B14" s="209" t="s">
        <v>924</v>
      </c>
      <c r="C14" s="209"/>
      <c r="D14" s="209"/>
      <c r="E14" s="209"/>
      <c r="F14" s="209"/>
      <c r="G14" s="209"/>
      <c r="H14" s="209"/>
      <c r="I14" s="209"/>
      <c r="J14" s="209"/>
    </row>
    <row r="15" customFormat="false" ht="15" hidden="false" customHeight="true" outlineLevel="0" collapsed="false">
      <c r="B15" s="221" t="s">
        <v>925</v>
      </c>
    </row>
    <row r="16" customFormat="false" ht="15" hidden="false" customHeight="true" outlineLevel="0" collapsed="false">
      <c r="B16" s="222" t="s">
        <v>926</v>
      </c>
      <c r="C16" s="222"/>
      <c r="D16" s="222"/>
      <c r="E16" s="222"/>
      <c r="F16" s="222"/>
      <c r="G16" s="222"/>
      <c r="H16" s="222"/>
      <c r="I16" s="222"/>
      <c r="J16" s="222"/>
    </row>
    <row r="17" customFormat="false" ht="31.5" hidden="false" customHeight="true" outlineLevel="0" collapsed="false">
      <c r="B17" s="212" t="s">
        <v>927</v>
      </c>
      <c r="C17" s="212"/>
      <c r="D17" s="212"/>
      <c r="E17" s="212"/>
      <c r="F17" s="212" t="s">
        <v>928</v>
      </c>
      <c r="G17" s="212" t="s">
        <v>929</v>
      </c>
      <c r="H17" s="223" t="s">
        <v>930</v>
      </c>
      <c r="I17" s="223"/>
      <c r="J17" s="223"/>
    </row>
    <row r="18" customFormat="false" ht="30" hidden="false" customHeight="true" outlineLevel="0" collapsed="false">
      <c r="B18" s="213" t="s">
        <v>931</v>
      </c>
      <c r="F18" s="216" t="s">
        <v>932</v>
      </c>
      <c r="G18" s="217" t="s">
        <v>933</v>
      </c>
      <c r="H18" s="224" t="s">
        <v>934</v>
      </c>
    </row>
    <row r="19" customFormat="false" ht="30" hidden="false" customHeight="true" outlineLevel="0" collapsed="false">
      <c r="B19" s="213" t="s">
        <v>935</v>
      </c>
      <c r="F19" s="216" t="s">
        <v>936</v>
      </c>
      <c r="G19" s="217" t="s">
        <v>933</v>
      </c>
      <c r="H19" s="224" t="s">
        <v>937</v>
      </c>
    </row>
    <row r="20" customFormat="false" ht="30" hidden="false" customHeight="true" outlineLevel="0" collapsed="false">
      <c r="B20" s="213" t="s">
        <v>938</v>
      </c>
      <c r="F20" s="216" t="s">
        <v>939</v>
      </c>
      <c r="G20" s="217" t="s">
        <v>940</v>
      </c>
      <c r="H20" s="224" t="s">
        <v>941</v>
      </c>
    </row>
    <row r="21" customFormat="false" ht="30" hidden="false" customHeight="true" outlineLevel="0" collapsed="false">
      <c r="B21" s="213" t="s">
        <v>942</v>
      </c>
      <c r="F21" s="216" t="s">
        <v>943</v>
      </c>
      <c r="G21" s="217" t="s">
        <v>944</v>
      </c>
      <c r="H21" s="224" t="s">
        <v>945</v>
      </c>
    </row>
    <row r="22" customFormat="false" ht="15" hidden="false" customHeight="true" outlineLevel="0" collapsed="false">
      <c r="B22" s="222" t="s">
        <v>946</v>
      </c>
      <c r="C22" s="222"/>
      <c r="D22" s="222"/>
      <c r="E22" s="222"/>
      <c r="F22" s="222"/>
      <c r="G22" s="222"/>
      <c r="H22" s="222"/>
      <c r="I22" s="222"/>
      <c r="J22" s="222"/>
    </row>
    <row r="23" customFormat="false" ht="15.75" hidden="false" customHeight="true" outlineLevel="0" collapsed="false">
      <c r="B23" s="213" t="s">
        <v>947</v>
      </c>
      <c r="C23" s="225" t="s">
        <v>948</v>
      </c>
      <c r="D23" s="226"/>
      <c r="E23" s="226"/>
      <c r="F23" s="226"/>
      <c r="G23" s="227"/>
    </row>
    <row r="24" customFormat="false" ht="15" hidden="false" customHeight="true" outlineLevel="0" collapsed="false">
      <c r="B24" s="213" t="s">
        <v>949</v>
      </c>
      <c r="C24" s="225" t="s">
        <v>950</v>
      </c>
      <c r="D24" s="226"/>
      <c r="E24" s="226"/>
      <c r="F24" s="226"/>
      <c r="G24" s="227"/>
    </row>
    <row r="25" customFormat="false" ht="15" hidden="false" customHeight="true" outlineLevel="0" collapsed="false">
      <c r="B25" s="213" t="s">
        <v>951</v>
      </c>
      <c r="C25" s="225" t="s">
        <v>952</v>
      </c>
      <c r="D25" s="226"/>
      <c r="E25" s="226"/>
      <c r="F25" s="226"/>
      <c r="G25" s="227"/>
    </row>
    <row r="26" customFormat="false" ht="15" hidden="false" customHeight="true" outlineLevel="0" collapsed="false">
      <c r="B26" s="220" t="s">
        <v>953</v>
      </c>
    </row>
    <row r="28" customFormat="false" ht="15" hidden="false" customHeight="true" outlineLevel="0" collapsed="false">
      <c r="B28" s="228" t="s">
        <v>954</v>
      </c>
      <c r="C28" s="228"/>
      <c r="D28" s="228"/>
      <c r="E28" s="228"/>
      <c r="F28" s="228"/>
      <c r="G28" s="228"/>
      <c r="H28" s="228"/>
      <c r="I28" s="228"/>
      <c r="J28" s="228"/>
    </row>
    <row r="29" customFormat="false" ht="31.5" hidden="false" customHeight="true" outlineLevel="0" collapsed="false">
      <c r="B29" s="212" t="s">
        <v>955</v>
      </c>
      <c r="C29" s="212" t="s">
        <v>899</v>
      </c>
      <c r="D29" s="212" t="s">
        <v>899</v>
      </c>
      <c r="E29" s="212" t="s">
        <v>899</v>
      </c>
      <c r="F29" s="212" t="s">
        <v>900</v>
      </c>
      <c r="G29" s="212" t="s">
        <v>956</v>
      </c>
      <c r="H29" s="212" t="s">
        <v>402</v>
      </c>
      <c r="I29" s="212" t="s">
        <v>901</v>
      </c>
      <c r="J29" s="212"/>
    </row>
    <row r="30" customFormat="false" ht="15.75" hidden="false" customHeight="true" outlineLevel="0" collapsed="false">
      <c r="B30" s="212"/>
      <c r="C30" s="212" t="s">
        <v>902</v>
      </c>
      <c r="D30" s="212" t="s">
        <v>903</v>
      </c>
      <c r="E30" s="212" t="s">
        <v>904</v>
      </c>
      <c r="F30" s="212"/>
      <c r="G30" s="212" t="s">
        <v>957</v>
      </c>
      <c r="H30" s="212" t="s">
        <v>906</v>
      </c>
      <c r="I30" s="212"/>
      <c r="J30" s="212"/>
    </row>
    <row r="31" customFormat="false" ht="30" hidden="false" customHeight="true" outlineLevel="0" collapsed="false">
      <c r="B31" s="213" t="s">
        <v>958</v>
      </c>
      <c r="C31" s="214" t="n">
        <v>0</v>
      </c>
      <c r="D31" s="214" t="n">
        <v>0</v>
      </c>
      <c r="E31" s="215" t="s">
        <v>908</v>
      </c>
      <c r="F31" s="216" t="s">
        <v>959</v>
      </c>
      <c r="G31" s="217" t="s">
        <v>960</v>
      </c>
      <c r="H31" s="218" t="s">
        <v>911</v>
      </c>
      <c r="I31" s="219" t="s">
        <v>961</v>
      </c>
    </row>
    <row r="32" customFormat="false" ht="30" hidden="false" customHeight="true" outlineLevel="0" collapsed="false">
      <c r="B32" s="213" t="s">
        <v>913</v>
      </c>
      <c r="C32" s="214" t="n">
        <v>1500</v>
      </c>
      <c r="D32" s="214" t="n">
        <v>3500</v>
      </c>
      <c r="E32" s="215" t="s">
        <v>914</v>
      </c>
      <c r="F32" s="216" t="s">
        <v>962</v>
      </c>
      <c r="G32" s="217" t="s">
        <v>963</v>
      </c>
      <c r="H32" s="218" t="s">
        <v>911</v>
      </c>
      <c r="I32" s="219" t="s">
        <v>964</v>
      </c>
    </row>
    <row r="33" customFormat="false" ht="30" hidden="false" customHeight="true" outlineLevel="0" collapsed="false">
      <c r="B33" s="213" t="s">
        <v>965</v>
      </c>
      <c r="C33" s="214" t="n">
        <v>300</v>
      </c>
      <c r="D33" s="214" t="n">
        <v>800</v>
      </c>
      <c r="E33" s="215" t="s">
        <v>966</v>
      </c>
      <c r="F33" s="216" t="s">
        <v>967</v>
      </c>
      <c r="G33" s="217" t="s">
        <v>968</v>
      </c>
      <c r="H33" s="218" t="s">
        <v>911</v>
      </c>
      <c r="I33" s="219" t="s">
        <v>969</v>
      </c>
    </row>
    <row r="34" customFormat="false" ht="30" hidden="false" customHeight="true" outlineLevel="0" collapsed="false">
      <c r="B34" s="213" t="s">
        <v>794</v>
      </c>
      <c r="C34" s="214" t="n">
        <v>300</v>
      </c>
      <c r="D34" s="214" t="n">
        <v>700</v>
      </c>
      <c r="E34" s="215" t="s">
        <v>918</v>
      </c>
      <c r="F34" s="216" t="s">
        <v>970</v>
      </c>
      <c r="G34" s="217" t="s">
        <v>971</v>
      </c>
      <c r="H34" s="218" t="s">
        <v>921</v>
      </c>
      <c r="I34" s="219" t="s">
        <v>972</v>
      </c>
    </row>
    <row r="36" customFormat="false" ht="15" hidden="false" customHeight="true" outlineLevel="0" collapsed="false">
      <c r="B36" s="229" t="s">
        <v>973</v>
      </c>
      <c r="C36" s="229"/>
      <c r="D36" s="229"/>
      <c r="E36" s="229"/>
      <c r="F36" s="229"/>
      <c r="G36" s="229"/>
      <c r="H36" s="229"/>
      <c r="I36" s="229"/>
      <c r="J36" s="229"/>
    </row>
    <row r="37" customFormat="false" ht="15" hidden="false" customHeight="true" outlineLevel="0" collapsed="false">
      <c r="B37" s="230" t="s">
        <v>974</v>
      </c>
      <c r="C37" s="230"/>
      <c r="D37" s="230"/>
      <c r="E37" s="230"/>
      <c r="F37" s="230"/>
      <c r="G37" s="230"/>
    </row>
    <row r="38" customFormat="false" ht="15" hidden="false" customHeight="true" outlineLevel="0" collapsed="false">
      <c r="B38" s="230" t="s">
        <v>975</v>
      </c>
      <c r="C38" s="230"/>
      <c r="D38" s="230"/>
      <c r="E38" s="230"/>
      <c r="F38" s="230"/>
      <c r="G38" s="230"/>
    </row>
    <row r="39" customFormat="false" ht="15" hidden="false" customHeight="true" outlineLevel="0" collapsed="false">
      <c r="B39" s="230" t="s">
        <v>976</v>
      </c>
      <c r="C39" s="230"/>
      <c r="D39" s="230"/>
      <c r="E39" s="230"/>
      <c r="F39" s="230"/>
      <c r="G39" s="230"/>
    </row>
    <row r="40" customFormat="false" ht="15" hidden="false" customHeight="true" outlineLevel="0" collapsed="false">
      <c r="B40" s="230" t="s">
        <v>977</v>
      </c>
      <c r="C40" s="230"/>
      <c r="D40" s="230"/>
      <c r="E40" s="230"/>
      <c r="F40" s="230"/>
      <c r="G40" s="230"/>
    </row>
    <row r="41" customFormat="false" ht="15" hidden="false" customHeight="true" outlineLevel="0" collapsed="false">
      <c r="B41" s="231" t="s">
        <v>978</v>
      </c>
      <c r="C41" s="231"/>
      <c r="D41" s="231"/>
      <c r="E41" s="231"/>
      <c r="F41" s="231"/>
      <c r="G41" s="231"/>
    </row>
    <row r="43" customFormat="false" ht="15" hidden="false" customHeight="true" outlineLevel="0" collapsed="false">
      <c r="B43" s="229" t="s">
        <v>979</v>
      </c>
      <c r="C43" s="229"/>
      <c r="D43" s="229"/>
      <c r="E43" s="229"/>
      <c r="F43" s="229"/>
      <c r="G43" s="229"/>
      <c r="H43" s="229"/>
      <c r="I43" s="229"/>
      <c r="J43" s="229"/>
    </row>
    <row r="44" customFormat="false" ht="27.75" hidden="false" customHeight="true" outlineLevel="0" collapsed="false">
      <c r="B44" s="232" t="s">
        <v>980</v>
      </c>
      <c r="C44" s="232"/>
      <c r="D44" s="232"/>
      <c r="E44" s="232"/>
      <c r="F44" s="232"/>
      <c r="G44" s="232"/>
    </row>
    <row r="45" customFormat="false" ht="15" hidden="false" customHeight="true" outlineLevel="0" collapsed="false">
      <c r="B45" s="209" t="s">
        <v>981</v>
      </c>
      <c r="C45" s="209"/>
      <c r="D45" s="209"/>
      <c r="E45" s="209"/>
      <c r="F45" s="209"/>
      <c r="G45" s="209"/>
      <c r="H45" s="209"/>
      <c r="I45" s="209"/>
      <c r="J45" s="209"/>
    </row>
    <row r="46" customFormat="false" ht="15.75" hidden="false" customHeight="true" outlineLevel="0" collapsed="false">
      <c r="B46" s="212" t="s">
        <v>955</v>
      </c>
      <c r="C46" s="212" t="s">
        <v>982</v>
      </c>
      <c r="D46" s="212" t="s">
        <v>982</v>
      </c>
      <c r="E46" s="212" t="s">
        <v>982</v>
      </c>
      <c r="F46" s="212" t="s">
        <v>983</v>
      </c>
      <c r="G46" s="212" t="s">
        <v>984</v>
      </c>
      <c r="H46" s="212" t="s">
        <v>984</v>
      </c>
      <c r="I46" s="212" t="s">
        <v>984</v>
      </c>
      <c r="J46" s="223" t="s">
        <v>985</v>
      </c>
    </row>
    <row r="47" customFormat="false" ht="15.75" hidden="false" customHeight="true" outlineLevel="0" collapsed="false">
      <c r="B47" s="212"/>
      <c r="C47" s="212" t="s">
        <v>902</v>
      </c>
      <c r="D47" s="212" t="s">
        <v>903</v>
      </c>
      <c r="E47" s="212" t="s">
        <v>904</v>
      </c>
      <c r="F47" s="212" t="s">
        <v>986</v>
      </c>
      <c r="G47" s="212" t="s">
        <v>902</v>
      </c>
      <c r="H47" s="212" t="s">
        <v>903</v>
      </c>
      <c r="I47" s="212" t="s">
        <v>904</v>
      </c>
      <c r="J47" s="223"/>
    </row>
    <row r="48" customFormat="false" ht="30" hidden="false" customHeight="true" outlineLevel="0" collapsed="false">
      <c r="B48" s="213" t="s">
        <v>987</v>
      </c>
      <c r="C48" s="214" t="n">
        <v>0</v>
      </c>
      <c r="D48" s="214" t="n">
        <v>250</v>
      </c>
      <c r="E48" s="215" t="s">
        <v>908</v>
      </c>
      <c r="F48" s="216" t="s">
        <v>988</v>
      </c>
      <c r="G48" s="214" t="n">
        <v>50</v>
      </c>
      <c r="H48" s="214" t="n">
        <v>1000</v>
      </c>
      <c r="I48" s="233" t="s">
        <v>918</v>
      </c>
      <c r="J48" s="219" t="s">
        <v>989</v>
      </c>
    </row>
    <row r="49" customFormat="false" ht="30" hidden="false" customHeight="true" outlineLevel="0" collapsed="false">
      <c r="B49" s="213" t="s">
        <v>990</v>
      </c>
      <c r="C49" s="214" t="n">
        <v>2500</v>
      </c>
      <c r="D49" s="214" t="n">
        <v>5000</v>
      </c>
      <c r="E49" s="215" t="s">
        <v>908</v>
      </c>
      <c r="F49" s="216" t="s">
        <v>991</v>
      </c>
      <c r="G49" s="214" t="n">
        <v>1500</v>
      </c>
      <c r="H49" s="214" t="n">
        <v>5000</v>
      </c>
      <c r="I49" s="233" t="s">
        <v>992</v>
      </c>
      <c r="J49" s="219" t="s">
        <v>993</v>
      </c>
    </row>
    <row r="50" customFormat="false" ht="30" hidden="false" customHeight="true" outlineLevel="0" collapsed="false">
      <c r="B50" s="213" t="s">
        <v>994</v>
      </c>
      <c r="C50" s="214" t="n">
        <v>500</v>
      </c>
      <c r="D50" s="214" t="n">
        <v>1000</v>
      </c>
      <c r="E50" s="215" t="s">
        <v>908</v>
      </c>
      <c r="F50" s="216" t="s">
        <v>995</v>
      </c>
      <c r="G50" s="214" t="n">
        <v>3000</v>
      </c>
      <c r="H50" s="214" t="n">
        <v>6000</v>
      </c>
      <c r="I50" s="233" t="s">
        <v>996</v>
      </c>
      <c r="J50" s="219" t="s">
        <v>997</v>
      </c>
    </row>
    <row r="51" customFormat="false" ht="30" hidden="false" customHeight="true" outlineLevel="0" collapsed="false">
      <c r="B51" s="213" t="s">
        <v>998</v>
      </c>
      <c r="C51" s="214" t="s">
        <v>908</v>
      </c>
      <c r="D51" s="214" t="s">
        <v>908</v>
      </c>
      <c r="E51" s="215" t="s">
        <v>999</v>
      </c>
      <c r="F51" s="216" t="s">
        <v>1000</v>
      </c>
      <c r="G51" s="214" t="n">
        <v>10000</v>
      </c>
      <c r="H51" s="214" t="n">
        <v>30000</v>
      </c>
      <c r="I51" s="206" t="s">
        <v>918</v>
      </c>
      <c r="J51" s="219" t="s">
        <v>1001</v>
      </c>
    </row>
    <row r="52" customFormat="false" ht="15" hidden="false" customHeight="true" outlineLevel="0" collapsed="false">
      <c r="B52" s="234" t="s">
        <v>1002</v>
      </c>
      <c r="C52" s="234"/>
      <c r="D52" s="234"/>
      <c r="E52" s="234"/>
      <c r="F52" s="234"/>
      <c r="G52" s="234"/>
      <c r="H52" s="234"/>
      <c r="I52" s="234"/>
    </row>
    <row r="53" customFormat="false" ht="15" hidden="false" customHeight="true" outlineLevel="0" collapsed="false">
      <c r="L53" s="206" t="s">
        <v>1003</v>
      </c>
      <c r="M53" s="206" t="s">
        <v>1004</v>
      </c>
      <c r="N53" s="206" t="s">
        <v>1005</v>
      </c>
      <c r="O53" s="206" t="s">
        <v>1005</v>
      </c>
      <c r="P53" s="206" t="s">
        <v>1003</v>
      </c>
      <c r="Q53" s="206" t="s">
        <v>1004</v>
      </c>
      <c r="R53" s="206" t="s">
        <v>1005</v>
      </c>
      <c r="S53" s="206" t="s">
        <v>1005</v>
      </c>
    </row>
    <row r="54" customFormat="false" ht="15" hidden="false" customHeight="true" outlineLevel="0" collapsed="false">
      <c r="B54" s="209" t="s">
        <v>217</v>
      </c>
      <c r="C54" s="209"/>
      <c r="D54" s="209"/>
      <c r="E54" s="209"/>
      <c r="F54" s="209"/>
      <c r="G54" s="209"/>
      <c r="H54" s="209"/>
      <c r="I54" s="209"/>
      <c r="J54" s="209"/>
      <c r="M54" s="206" t="s">
        <v>455</v>
      </c>
      <c r="N54" s="206" t="s">
        <v>455</v>
      </c>
      <c r="O54" s="206" t="s">
        <v>1006</v>
      </c>
      <c r="Q54" s="206" t="s">
        <v>455</v>
      </c>
      <c r="R54" s="206" t="s">
        <v>455</v>
      </c>
      <c r="S54" s="206" t="s">
        <v>1006</v>
      </c>
    </row>
    <row r="55" customFormat="false" ht="15.75" hidden="false" customHeight="true" outlineLevel="0" collapsed="false">
      <c r="B55" s="212" t="s">
        <v>955</v>
      </c>
      <c r="C55" s="212" t="s">
        <v>982</v>
      </c>
      <c r="D55" s="212" t="s">
        <v>982</v>
      </c>
      <c r="E55" s="212" t="s">
        <v>982</v>
      </c>
      <c r="F55" s="212" t="s">
        <v>983</v>
      </c>
      <c r="G55" s="212" t="s">
        <v>984</v>
      </c>
      <c r="H55" s="212" t="s">
        <v>984</v>
      </c>
      <c r="I55" s="212" t="s">
        <v>984</v>
      </c>
      <c r="J55" s="223" t="s">
        <v>985</v>
      </c>
      <c r="L55" s="206" t="s">
        <v>1007</v>
      </c>
      <c r="M55" s="235" t="n">
        <v>0.85</v>
      </c>
      <c r="N55" s="235" t="n">
        <v>0.94</v>
      </c>
      <c r="P55" s="206" t="s">
        <v>1007</v>
      </c>
      <c r="Q55" s="235" t="n">
        <v>0.85</v>
      </c>
      <c r="R55" s="235" t="n">
        <v>0.94</v>
      </c>
    </row>
    <row r="56" customFormat="false" ht="15.75" hidden="false" customHeight="true" outlineLevel="0" collapsed="false">
      <c r="B56" s="212"/>
      <c r="C56" s="212" t="s">
        <v>902</v>
      </c>
      <c r="D56" s="212" t="s">
        <v>903</v>
      </c>
      <c r="E56" s="212" t="s">
        <v>904</v>
      </c>
      <c r="F56" s="212" t="s">
        <v>986</v>
      </c>
      <c r="G56" s="212" t="s">
        <v>902</v>
      </c>
      <c r="H56" s="212" t="s">
        <v>903</v>
      </c>
      <c r="I56" s="212" t="s">
        <v>904</v>
      </c>
      <c r="J56" s="223"/>
      <c r="L56" s="206" t="s">
        <v>902</v>
      </c>
      <c r="M56" s="206" t="s">
        <v>1004</v>
      </c>
      <c r="N56" s="206" t="s">
        <v>455</v>
      </c>
      <c r="O56" s="206" t="s">
        <v>902</v>
      </c>
      <c r="P56" s="206" t="s">
        <v>903</v>
      </c>
      <c r="Q56" s="206" t="s">
        <v>1004</v>
      </c>
      <c r="R56" s="206" t="s">
        <v>455</v>
      </c>
      <c r="S56" s="206" t="s">
        <v>903</v>
      </c>
    </row>
    <row r="57" customFormat="false" ht="30" hidden="false" customHeight="true" outlineLevel="0" collapsed="false">
      <c r="B57" s="213" t="s">
        <v>958</v>
      </c>
      <c r="C57" s="214" t="n">
        <v>0</v>
      </c>
      <c r="D57" s="214" t="n">
        <v>0</v>
      </c>
      <c r="E57" s="215" t="s">
        <v>908</v>
      </c>
      <c r="F57" s="216" t="s">
        <v>1008</v>
      </c>
      <c r="G57" s="214" t="n">
        <v>1000</v>
      </c>
      <c r="H57" s="214" t="n">
        <v>1000</v>
      </c>
      <c r="I57" s="206" t="s">
        <v>1006</v>
      </c>
      <c r="J57" s="219" t="s">
        <v>1009</v>
      </c>
      <c r="K57" s="217"/>
      <c r="L57" s="217"/>
    </row>
    <row r="58" customFormat="false" ht="30" hidden="false" customHeight="true" outlineLevel="0" collapsed="false">
      <c r="B58" s="213" t="s">
        <v>1010</v>
      </c>
      <c r="C58" s="214" t="n">
        <v>1500</v>
      </c>
      <c r="D58" s="214" t="n">
        <v>3500</v>
      </c>
      <c r="E58" s="215" t="s">
        <v>908</v>
      </c>
      <c r="F58" s="216" t="s">
        <v>1011</v>
      </c>
      <c r="G58" s="214" t="n">
        <v>4000</v>
      </c>
      <c r="H58" s="214" t="n">
        <v>10000</v>
      </c>
      <c r="I58" s="233" t="s">
        <v>1012</v>
      </c>
      <c r="J58" s="219" t="s">
        <v>1013</v>
      </c>
      <c r="K58" s="217"/>
      <c r="L58" s="217"/>
    </row>
    <row r="59" customFormat="false" ht="30" hidden="false" customHeight="true" outlineLevel="0" collapsed="false">
      <c r="B59" s="213" t="s">
        <v>1014</v>
      </c>
      <c r="C59" s="214" t="n">
        <v>300</v>
      </c>
      <c r="D59" s="214" t="n">
        <v>800</v>
      </c>
      <c r="E59" s="215" t="s">
        <v>966</v>
      </c>
      <c r="F59" s="216" t="s">
        <v>1015</v>
      </c>
      <c r="G59" s="215" t="s">
        <v>908</v>
      </c>
      <c r="H59" s="215" t="s">
        <v>908</v>
      </c>
      <c r="I59" s="215" t="s">
        <v>908</v>
      </c>
      <c r="J59" s="219" t="s">
        <v>1016</v>
      </c>
      <c r="K59" s="217"/>
      <c r="L59" s="217"/>
    </row>
    <row r="60" customFormat="false" ht="30" hidden="false" customHeight="true" outlineLevel="0" collapsed="false">
      <c r="B60" s="213" t="s">
        <v>994</v>
      </c>
      <c r="C60" s="214" t="n">
        <v>300</v>
      </c>
      <c r="D60" s="214" t="n">
        <v>700</v>
      </c>
      <c r="E60" s="215" t="s">
        <v>918</v>
      </c>
      <c r="F60" s="216" t="s">
        <v>1017</v>
      </c>
      <c r="G60" s="214" t="n">
        <f aca="false">M60</f>
        <v>3318</v>
      </c>
      <c r="H60" s="214" t="n">
        <f aca="false">Q60</f>
        <v>8847</v>
      </c>
      <c r="I60" s="233" t="s">
        <v>1018</v>
      </c>
      <c r="J60" s="219" t="s">
        <v>1019</v>
      </c>
      <c r="K60" s="217"/>
      <c r="L60" s="236" t="n">
        <f aca="false">ROUND(M60/12,0)</f>
        <v>277</v>
      </c>
      <c r="M60" s="237" t="n">
        <f aca="false">ROUND(N60/M55,0)</f>
        <v>3318</v>
      </c>
      <c r="N60" s="214" t="n">
        <f aca="false">O60*N55</f>
        <v>2820</v>
      </c>
      <c r="O60" s="238" t="n">
        <v>3000</v>
      </c>
      <c r="P60" s="236" t="n">
        <f aca="false">ROUND(Q60/12,0)</f>
        <v>737</v>
      </c>
      <c r="Q60" s="237" t="n">
        <f aca="false">ROUND(R60/Q55,0)</f>
        <v>8847</v>
      </c>
      <c r="R60" s="214" t="n">
        <f aca="false">S60*R55</f>
        <v>7520</v>
      </c>
      <c r="S60" s="238" t="n">
        <v>8000</v>
      </c>
    </row>
    <row r="61" customFormat="false" ht="30" hidden="false" customHeight="true" outlineLevel="0" collapsed="false">
      <c r="B61" s="213" t="s">
        <v>1020</v>
      </c>
      <c r="C61" s="214" t="s">
        <v>908</v>
      </c>
      <c r="D61" s="214" t="s">
        <v>908</v>
      </c>
      <c r="E61" s="215" t="s">
        <v>999</v>
      </c>
      <c r="F61" s="216" t="s">
        <v>1021</v>
      </c>
      <c r="G61" s="214" t="n">
        <v>5000</v>
      </c>
      <c r="H61" s="214" t="n">
        <v>30000</v>
      </c>
      <c r="J61" s="219" t="s">
        <v>1022</v>
      </c>
      <c r="K61" s="217"/>
      <c r="L61" s="217"/>
    </row>
    <row r="62" customFormat="false" ht="15" hidden="false" customHeight="true" outlineLevel="0" collapsed="false">
      <c r="B62" s="234" t="s">
        <v>1023</v>
      </c>
      <c r="C62" s="234"/>
      <c r="D62" s="234"/>
      <c r="E62" s="234"/>
      <c r="F62" s="234"/>
      <c r="J62" s="234"/>
      <c r="K62" s="234"/>
      <c r="L62" s="234"/>
    </row>
    <row r="64" customFormat="false" ht="15" hidden="false" customHeight="true" outlineLevel="0" collapsed="false">
      <c r="B64" s="222" t="s">
        <v>1024</v>
      </c>
      <c r="C64" s="222"/>
      <c r="D64" s="222"/>
      <c r="E64" s="222"/>
      <c r="F64" s="222"/>
      <c r="G64" s="222"/>
      <c r="H64" s="222"/>
      <c r="I64" s="222"/>
      <c r="J64" s="222"/>
    </row>
    <row r="65" customFormat="false" ht="15" hidden="false" customHeight="true" outlineLevel="0" collapsed="false">
      <c r="B65" s="230" t="s">
        <v>1025</v>
      </c>
      <c r="C65" s="230"/>
      <c r="D65" s="230"/>
      <c r="E65" s="230"/>
      <c r="F65" s="230"/>
      <c r="G65" s="230"/>
      <c r="H65" s="230"/>
      <c r="I65" s="230"/>
    </row>
    <row r="66" customFormat="false" ht="15" hidden="false" customHeight="true" outlineLevel="0" collapsed="false">
      <c r="B66" s="230" t="s">
        <v>1026</v>
      </c>
      <c r="C66" s="230"/>
      <c r="D66" s="230"/>
      <c r="E66" s="230"/>
      <c r="F66" s="230"/>
      <c r="G66" s="230"/>
      <c r="H66" s="230"/>
      <c r="I66" s="230"/>
    </row>
    <row r="67" customFormat="false" ht="15" hidden="false" customHeight="true" outlineLevel="0" collapsed="false">
      <c r="B67" s="230" t="s">
        <v>1027</v>
      </c>
      <c r="C67" s="230"/>
      <c r="D67" s="230"/>
      <c r="E67" s="230"/>
      <c r="F67" s="230"/>
      <c r="G67" s="230"/>
      <c r="H67" s="230"/>
      <c r="I67" s="230"/>
    </row>
    <row r="68" customFormat="false" ht="15" hidden="false" customHeight="true" outlineLevel="0" collapsed="false">
      <c r="B68" s="230" t="s">
        <v>1028</v>
      </c>
      <c r="C68" s="230"/>
      <c r="D68" s="230"/>
      <c r="E68" s="230"/>
      <c r="F68" s="230"/>
      <c r="G68" s="230"/>
      <c r="H68" s="230"/>
      <c r="I68" s="230"/>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1029</v>
      </c>
      <c r="C2" s="2"/>
      <c r="D2" s="2"/>
      <c r="E2" s="2"/>
      <c r="F2" s="2"/>
      <c r="G2" s="2"/>
    </row>
    <row r="4" customFormat="false" ht="15" hidden="false" customHeight="true" outlineLevel="0" collapsed="false">
      <c r="B4" s="239" t="s">
        <v>1030</v>
      </c>
      <c r="C4" s="1" t="s">
        <v>1031</v>
      </c>
    </row>
    <row r="5" customFormat="false" ht="15" hidden="false" customHeight="true" outlineLevel="0" collapsed="false">
      <c r="B5" s="239" t="s">
        <v>1032</v>
      </c>
      <c r="C5" s="1" t="s">
        <v>1033</v>
      </c>
    </row>
    <row r="6" customFormat="false" ht="15" hidden="false" customHeight="true" outlineLevel="0" collapsed="false">
      <c r="B6" s="239" t="s">
        <v>1034</v>
      </c>
      <c r="C6" s="1" t="s">
        <v>1035</v>
      </c>
    </row>
    <row r="7" customFormat="false" ht="15" hidden="false" customHeight="true" outlineLevel="0" collapsed="false">
      <c r="B7" s="239" t="s">
        <v>1036</v>
      </c>
      <c r="C7" s="1" t="s">
        <v>1037</v>
      </c>
    </row>
    <row r="8" customFormat="false" ht="15" hidden="false" customHeight="true" outlineLevel="0" collapsed="false">
      <c r="B8" s="239" t="s">
        <v>1038</v>
      </c>
      <c r="C8" s="1" t="s">
        <v>1039</v>
      </c>
    </row>
    <row r="9" customFormat="false" ht="15" hidden="false" customHeight="true" outlineLevel="0" collapsed="false">
      <c r="B9" s="239" t="s">
        <v>1040</v>
      </c>
      <c r="C9" s="1" t="s">
        <v>1041</v>
      </c>
    </row>
    <row r="10" customFormat="false" ht="15" hidden="false" customHeight="true" outlineLevel="0" collapsed="false">
      <c r="B10" s="239" t="s">
        <v>1042</v>
      </c>
      <c r="C10" s="1" t="s">
        <v>1043</v>
      </c>
    </row>
    <row r="11" customFormat="false" ht="15" hidden="false" customHeight="true" outlineLevel="0" collapsed="false">
      <c r="B11" s="239" t="s">
        <v>258</v>
      </c>
      <c r="C11" s="1" t="s">
        <v>1044</v>
      </c>
    </row>
    <row r="12" customFormat="false" ht="15" hidden="false" customHeight="true" outlineLevel="0" collapsed="false">
      <c r="B12" s="239" t="s">
        <v>1045</v>
      </c>
      <c r="C12" s="1" t="s">
        <v>1046</v>
      </c>
    </row>
    <row r="13" customFormat="false" ht="15" hidden="false" customHeight="true" outlineLevel="0" collapsed="false">
      <c r="B13" s="239" t="s">
        <v>1047</v>
      </c>
      <c r="C13" s="1" t="s">
        <v>1048</v>
      </c>
    </row>
    <row r="14" customFormat="false" ht="15" hidden="false" customHeight="true" outlineLevel="0" collapsed="false">
      <c r="B14" s="239" t="s">
        <v>1049</v>
      </c>
      <c r="C14" s="1" t="s">
        <v>1050</v>
      </c>
    </row>
    <row r="15" customFormat="false" ht="15" hidden="false" customHeight="true" outlineLevel="0" collapsed="false">
      <c r="B15" s="239" t="s">
        <v>282</v>
      </c>
      <c r="C15" s="1" t="s">
        <v>1051</v>
      </c>
    </row>
    <row r="16" customFormat="false" ht="15" hidden="false" customHeight="true" outlineLevel="0" collapsed="false">
      <c r="B16" s="239"/>
    </row>
    <row r="17" customFormat="false" ht="15" hidden="false" customHeight="true" outlineLevel="0" collapsed="false">
      <c r="B17" s="239" t="s">
        <v>1052</v>
      </c>
      <c r="C17" s="1" t="s">
        <v>1053</v>
      </c>
    </row>
    <row r="18" customFormat="false" ht="15" hidden="false" customHeight="true" outlineLevel="0" collapsed="false">
      <c r="B18" s="239" t="s">
        <v>1054</v>
      </c>
      <c r="C18" s="1" t="s">
        <v>1055</v>
      </c>
    </row>
    <row r="19" customFormat="false" ht="15" hidden="false" customHeight="true" outlineLevel="0" collapsed="false">
      <c r="B19" s="239" t="s">
        <v>730</v>
      </c>
      <c r="C19" s="1" t="s">
        <v>1056</v>
      </c>
    </row>
    <row r="20" customFormat="false" ht="15" hidden="false" customHeight="true" outlineLevel="0" collapsed="false">
      <c r="B20" s="239" t="s">
        <v>1057</v>
      </c>
      <c r="C20" s="1" t="s">
        <v>1058</v>
      </c>
    </row>
    <row r="21" customFormat="false" ht="15" hidden="false" customHeight="true" outlineLevel="0" collapsed="false">
      <c r="B21" s="240" t="s">
        <v>1059</v>
      </c>
    </row>
    <row r="22" customFormat="false" ht="15" hidden="false" customHeight="true" outlineLevel="0" collapsed="false">
      <c r="B22" s="239" t="s">
        <v>247</v>
      </c>
      <c r="C22" s="165" t="str">
        <f aca="false">'Quote Calculator'!F6</f>
        <v>Basic Intake</v>
      </c>
    </row>
    <row r="23" customFormat="false" ht="15" hidden="false" customHeight="true" outlineLevel="0" collapsed="false">
      <c r="B23" s="239" t="s">
        <v>255</v>
      </c>
      <c r="C23" s="165" t="str">
        <f aca="false">'Quote Calculator'!F7</f>
        <v>Managed service</v>
      </c>
    </row>
    <row r="24" customFormat="false" ht="15" hidden="false" customHeight="true" outlineLevel="0" collapsed="false">
      <c r="B24" s="239" t="s">
        <v>238</v>
      </c>
      <c r="C24" s="165" t="str">
        <f aca="false">'Quote Calculator'!F8</f>
        <v>Normal managed support</v>
      </c>
    </row>
    <row r="25" customFormat="false" ht="15" hidden="false" customHeight="true" outlineLevel="0" collapsed="false">
      <c r="B25" s="239" t="s">
        <v>1060</v>
      </c>
      <c r="C25" s="165" t="n">
        <f aca="false">'Quote Calculator'!F39</f>
        <v>5500</v>
      </c>
    </row>
    <row r="26" customFormat="false" ht="15" hidden="false" customHeight="true" outlineLevel="0" collapsed="false">
      <c r="B26" s="239" t="s">
        <v>1061</v>
      </c>
      <c r="C26" s="165"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41"/>
    </row>
    <row r="2" customFormat="false" ht="33.75" hidden="false" customHeight="true" outlineLevel="0" collapsed="false">
      <c r="B2" s="2" t="s">
        <v>1062</v>
      </c>
      <c r="C2" s="2"/>
      <c r="D2" s="2"/>
      <c r="E2" s="2"/>
      <c r="F2" s="2"/>
    </row>
    <row r="3" customFormat="false" ht="15" hidden="false" customHeight="true" outlineLevel="0" collapsed="false">
      <c r="B3" s="242" t="s">
        <v>1063</v>
      </c>
    </row>
    <row r="4" customFormat="false" ht="15" hidden="false" customHeight="true" outlineLevel="0" collapsed="false">
      <c r="B4" s="243"/>
    </row>
    <row r="5" customFormat="false" ht="54.75" hidden="false" customHeight="true" outlineLevel="0" collapsed="false">
      <c r="B5" s="244" t="s">
        <v>68</v>
      </c>
      <c r="C5" s="244" t="s">
        <v>1064</v>
      </c>
      <c r="D5" s="244" t="s">
        <v>1065</v>
      </c>
      <c r="E5" s="244" t="s">
        <v>544</v>
      </c>
      <c r="F5" s="244" t="s">
        <v>1066</v>
      </c>
    </row>
    <row r="6" customFormat="false" ht="54.75" hidden="false" customHeight="true" outlineLevel="0" collapsed="false">
      <c r="B6" s="144" t="s">
        <v>1067</v>
      </c>
      <c r="C6" s="144" t="s">
        <v>1068</v>
      </c>
      <c r="D6" s="144" t="s">
        <v>1069</v>
      </c>
      <c r="E6" s="144" t="s">
        <v>1070</v>
      </c>
      <c r="F6" s="144" t="s">
        <v>1071</v>
      </c>
    </row>
    <row r="7" customFormat="false" ht="54.75" hidden="false" customHeight="true" outlineLevel="0" collapsed="false">
      <c r="B7" s="144" t="s">
        <v>1072</v>
      </c>
      <c r="C7" s="144" t="s">
        <v>1073</v>
      </c>
      <c r="D7" s="144" t="s">
        <v>1074</v>
      </c>
      <c r="E7" s="144" t="s">
        <v>1075</v>
      </c>
      <c r="F7" s="144" t="s">
        <v>1076</v>
      </c>
    </row>
    <row r="8" customFormat="false" ht="54.75" hidden="false" customHeight="true" outlineLevel="0" collapsed="false">
      <c r="B8" s="144" t="s">
        <v>1077</v>
      </c>
      <c r="C8" s="144" t="s">
        <v>1078</v>
      </c>
      <c r="D8" s="144" t="s">
        <v>1079</v>
      </c>
      <c r="E8" s="144" t="s">
        <v>1080</v>
      </c>
      <c r="F8" s="144" t="s">
        <v>1081</v>
      </c>
    </row>
    <row r="9" customFormat="false" ht="54.75" hidden="false" customHeight="true" outlineLevel="0" collapsed="false">
      <c r="B9" s="144" t="s">
        <v>1082</v>
      </c>
      <c r="C9" s="144" t="s">
        <v>1083</v>
      </c>
      <c r="D9" s="144" t="s">
        <v>1084</v>
      </c>
      <c r="E9" s="144" t="s">
        <v>1085</v>
      </c>
      <c r="F9" s="144" t="s">
        <v>1086</v>
      </c>
    </row>
    <row r="10" customFormat="false" ht="54.75" hidden="false" customHeight="true" outlineLevel="0" collapsed="false">
      <c r="B10" s="144" t="s">
        <v>1087</v>
      </c>
      <c r="C10" s="144" t="s">
        <v>1088</v>
      </c>
      <c r="D10" s="144" t="s">
        <v>1089</v>
      </c>
      <c r="E10" s="144" t="s">
        <v>1090</v>
      </c>
      <c r="F10" s="144" t="s">
        <v>1091</v>
      </c>
    </row>
    <row r="11" customFormat="false" ht="54.75" hidden="false" customHeight="true" outlineLevel="0" collapsed="false">
      <c r="B11" s="144" t="s">
        <v>1092</v>
      </c>
      <c r="C11" s="144" t="s">
        <v>1093</v>
      </c>
      <c r="D11" s="144" t="s">
        <v>1094</v>
      </c>
      <c r="E11" s="144" t="s">
        <v>1095</v>
      </c>
      <c r="F11" s="144" t="s">
        <v>1096</v>
      </c>
    </row>
    <row r="12" customFormat="false" ht="54.75" hidden="false" customHeight="true" outlineLevel="0" collapsed="false">
      <c r="B12" s="144" t="s">
        <v>1097</v>
      </c>
      <c r="C12" s="144" t="s">
        <v>1098</v>
      </c>
      <c r="D12" s="144" t="s">
        <v>1099</v>
      </c>
      <c r="E12" s="144" t="s">
        <v>1100</v>
      </c>
      <c r="F12" s="144" t="s">
        <v>1101</v>
      </c>
    </row>
    <row r="13" customFormat="false" ht="48" hidden="false" customHeight="true" outlineLevel="0" collapsed="false">
      <c r="B13" s="245" t="s">
        <v>1102</v>
      </c>
      <c r="C13" s="245" t="s">
        <v>1103</v>
      </c>
      <c r="D13" s="245" t="s">
        <v>1104</v>
      </c>
      <c r="E13" s="245" t="s">
        <v>1105</v>
      </c>
      <c r="F13" s="245" t="s">
        <v>1106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1107</v>
      </c>
      <c r="C2" s="2"/>
      <c r="D2" s="2"/>
      <c r="E2" s="2"/>
      <c r="F2" s="2"/>
      <c r="G2" s="2"/>
    </row>
    <row r="3" customFormat="false" ht="21" hidden="false" customHeight="true" outlineLevel="0" collapsed="false">
      <c r="B3" s="246" t="s">
        <v>1108</v>
      </c>
      <c r="C3" s="247" t="s">
        <v>1109</v>
      </c>
      <c r="D3" s="166"/>
      <c r="E3" s="166"/>
      <c r="F3" s="166"/>
      <c r="G3" s="166"/>
    </row>
    <row r="4" customFormat="false" ht="21" hidden="false" customHeight="true" outlineLevel="0" collapsed="false">
      <c r="B4" s="246" t="s">
        <v>1110</v>
      </c>
      <c r="C4" s="247" t="s">
        <v>1111</v>
      </c>
      <c r="D4" s="166"/>
      <c r="E4" s="166"/>
      <c r="F4" s="166"/>
      <c r="G4" s="166"/>
    </row>
    <row r="5" customFormat="false" ht="21" hidden="false" customHeight="true" outlineLevel="0" collapsed="false">
      <c r="B5" s="166"/>
      <c r="C5" s="166"/>
      <c r="D5" s="166"/>
      <c r="E5" s="166"/>
      <c r="F5" s="166"/>
      <c r="G5" s="166"/>
    </row>
    <row r="6" customFormat="false" ht="33.75" hidden="false" customHeight="true" outlineLevel="0" collapsed="false">
      <c r="B6" s="248" t="s">
        <v>1112</v>
      </c>
      <c r="C6" s="248" t="s">
        <v>360</v>
      </c>
      <c r="D6" s="248" t="s">
        <v>361</v>
      </c>
      <c r="E6" s="248" t="s">
        <v>1113</v>
      </c>
      <c r="F6" s="248" t="s">
        <v>1114</v>
      </c>
      <c r="G6" s="248" t="s">
        <v>1115</v>
      </c>
    </row>
    <row r="7" customFormat="false" ht="54.75" hidden="false" customHeight="true" outlineLevel="0" collapsed="false">
      <c r="B7" s="166" t="s">
        <v>1116</v>
      </c>
      <c r="C7" s="166" t="s">
        <v>1117</v>
      </c>
      <c r="D7" s="166" t="s">
        <v>1118</v>
      </c>
      <c r="E7" s="166" t="s">
        <v>1119</v>
      </c>
      <c r="F7" s="166" t="s">
        <v>1120</v>
      </c>
      <c r="G7" s="166" t="s">
        <v>577</v>
      </c>
    </row>
    <row r="8" customFormat="false" ht="54.75" hidden="false" customHeight="true" outlineLevel="0" collapsed="false">
      <c r="B8" s="166" t="s">
        <v>1121</v>
      </c>
      <c r="C8" s="166" t="s">
        <v>1122</v>
      </c>
      <c r="D8" s="166" t="s">
        <v>1123</v>
      </c>
      <c r="E8" s="166" t="s">
        <v>1124</v>
      </c>
      <c r="F8" s="166" t="s">
        <v>1125</v>
      </c>
      <c r="G8" s="166" t="s">
        <v>577</v>
      </c>
    </row>
    <row r="9" customFormat="false" ht="54.75" hidden="false" customHeight="true" outlineLevel="0" collapsed="false">
      <c r="B9" s="166" t="s">
        <v>532</v>
      </c>
      <c r="C9" s="166" t="s">
        <v>1126</v>
      </c>
      <c r="D9" s="166" t="s">
        <v>1127</v>
      </c>
      <c r="E9" s="166" t="s">
        <v>1128</v>
      </c>
      <c r="F9" s="166" t="s">
        <v>1129</v>
      </c>
      <c r="G9" s="166" t="s">
        <v>598</v>
      </c>
    </row>
    <row r="10" customFormat="false" ht="54.75" hidden="false" customHeight="true" outlineLevel="0" collapsed="false">
      <c r="B10" s="166" t="s">
        <v>1130</v>
      </c>
      <c r="C10" s="166" t="s">
        <v>1131</v>
      </c>
      <c r="D10" s="166" t="s">
        <v>1132</v>
      </c>
      <c r="E10" s="166" t="s">
        <v>1133</v>
      </c>
      <c r="F10" s="166" t="s">
        <v>1134</v>
      </c>
      <c r="G10" s="166" t="s">
        <v>598</v>
      </c>
    </row>
    <row r="11" customFormat="false" ht="54.75" hidden="false" customHeight="true" outlineLevel="0" collapsed="false">
      <c r="B11" s="166" t="s">
        <v>1135</v>
      </c>
      <c r="C11" s="166" t="s">
        <v>1131</v>
      </c>
      <c r="D11" s="166" t="s">
        <v>1136</v>
      </c>
      <c r="E11" s="166" t="s">
        <v>1137</v>
      </c>
      <c r="F11" s="166" t="s">
        <v>1138</v>
      </c>
      <c r="G11" s="166" t="s">
        <v>598</v>
      </c>
    </row>
    <row r="12" customFormat="false" ht="54.75" hidden="false" customHeight="true" outlineLevel="0" collapsed="false">
      <c r="B12" s="166" t="s">
        <v>1139</v>
      </c>
      <c r="C12" s="166" t="s">
        <v>1131</v>
      </c>
      <c r="D12" s="166" t="s">
        <v>1140</v>
      </c>
      <c r="E12" s="166" t="s">
        <v>1141</v>
      </c>
      <c r="F12" s="166" t="s">
        <v>1142</v>
      </c>
      <c r="G12" s="166" t="s">
        <v>577</v>
      </c>
    </row>
    <row r="13" customFormat="false" ht="54.75" hidden="false" customHeight="true" outlineLevel="0" collapsed="false">
      <c r="B13" s="166" t="s">
        <v>40</v>
      </c>
      <c r="C13" s="166" t="s">
        <v>1131</v>
      </c>
      <c r="D13" s="166" t="s">
        <v>1143</v>
      </c>
      <c r="E13" s="166" t="s">
        <v>1144</v>
      </c>
      <c r="F13" s="166" t="s">
        <v>1145</v>
      </c>
      <c r="G13" s="166" t="s">
        <v>598</v>
      </c>
    </row>
    <row r="14" customFormat="false" ht="54.75" hidden="false" customHeight="true" outlineLevel="0" collapsed="false">
      <c r="B14" s="166" t="s">
        <v>1146</v>
      </c>
      <c r="C14" s="166" t="s">
        <v>1147</v>
      </c>
      <c r="D14" s="166" t="s">
        <v>1148</v>
      </c>
      <c r="E14" s="166" t="s">
        <v>1149</v>
      </c>
      <c r="F14" s="166" t="s">
        <v>1150</v>
      </c>
      <c r="G14" s="166" t="s">
        <v>557</v>
      </c>
    </row>
    <row r="15" customFormat="false" ht="54.75" hidden="false" customHeight="true" outlineLevel="0" collapsed="false">
      <c r="B15" s="166" t="s">
        <v>48</v>
      </c>
      <c r="C15" s="166" t="s">
        <v>1147</v>
      </c>
      <c r="D15" s="166" t="s">
        <v>1151</v>
      </c>
      <c r="E15" s="166" t="s">
        <v>1152</v>
      </c>
      <c r="F15" s="166" t="s">
        <v>1153</v>
      </c>
      <c r="G15" s="166" t="s">
        <v>557</v>
      </c>
    </row>
    <row r="16" customFormat="false" ht="54.75" hidden="false" customHeight="true" outlineLevel="0" collapsed="false">
      <c r="B16" s="166" t="s">
        <v>1154</v>
      </c>
      <c r="C16" s="166" t="s">
        <v>1147</v>
      </c>
      <c r="D16" s="166" t="s">
        <v>1155</v>
      </c>
      <c r="E16" s="166" t="s">
        <v>1156</v>
      </c>
      <c r="F16" s="166" t="s">
        <v>1157</v>
      </c>
      <c r="G16" s="166" t="s">
        <v>577</v>
      </c>
    </row>
    <row r="17" customFormat="false" ht="21" hidden="false" customHeight="true" outlineLevel="0" collapsed="false">
      <c r="B17" s="166"/>
      <c r="C17" s="166"/>
      <c r="D17" s="166"/>
      <c r="E17" s="166"/>
      <c r="F17" s="166"/>
      <c r="G17" s="166"/>
    </row>
    <row r="18" customFormat="false" ht="30" hidden="false" customHeight="true" outlineLevel="0" collapsed="false">
      <c r="B18" s="249" t="s">
        <v>1158</v>
      </c>
      <c r="C18" s="249" t="s">
        <v>232</v>
      </c>
      <c r="D18" s="249"/>
      <c r="E18" s="249"/>
      <c r="F18" s="249"/>
      <c r="G18" s="249"/>
    </row>
    <row r="19" customFormat="false" ht="21" hidden="false" customHeight="true" outlineLevel="0" collapsed="false">
      <c r="B19" s="166" t="s">
        <v>1159</v>
      </c>
      <c r="C19" s="166" t="s">
        <v>505</v>
      </c>
      <c r="D19" s="166"/>
      <c r="E19" s="166"/>
      <c r="F19" s="166"/>
      <c r="G19" s="166"/>
    </row>
    <row r="20" customFormat="false" ht="21" hidden="false" customHeight="true" outlineLevel="0" collapsed="false">
      <c r="B20" s="166" t="s">
        <v>1160</v>
      </c>
      <c r="C20" s="166" t="s">
        <v>259</v>
      </c>
      <c r="D20" s="166"/>
      <c r="E20" s="166"/>
      <c r="F20" s="166"/>
      <c r="G20" s="166"/>
    </row>
    <row r="21" customFormat="false" ht="21" hidden="false" customHeight="true" outlineLevel="0" collapsed="false">
      <c r="B21" s="166" t="s">
        <v>1161</v>
      </c>
      <c r="C21" s="166" t="n">
        <v>0</v>
      </c>
      <c r="D21" s="166"/>
      <c r="E21" s="166"/>
      <c r="F21" s="166"/>
      <c r="G21" s="166"/>
    </row>
    <row r="22" customFormat="false" ht="21" hidden="false" customHeight="true" outlineLevel="0" collapsed="false">
      <c r="B22" s="166" t="s">
        <v>1162</v>
      </c>
      <c r="C22" s="166" t="n">
        <v>1</v>
      </c>
      <c r="D22" s="166"/>
      <c r="E22" s="166"/>
      <c r="F22" s="166"/>
      <c r="G22" s="166"/>
    </row>
    <row r="23" customFormat="false" ht="21" hidden="false" customHeight="true" outlineLevel="0" collapsed="false">
      <c r="B23" s="166" t="s">
        <v>1163</v>
      </c>
      <c r="C23" s="166" t="n">
        <v>1</v>
      </c>
      <c r="D23" s="166"/>
      <c r="E23" s="166"/>
      <c r="F23" s="166"/>
      <c r="G23" s="166"/>
    </row>
    <row r="24" customFormat="false" ht="21" hidden="false" customHeight="true" outlineLevel="0" collapsed="false">
      <c r="B24" s="166" t="s">
        <v>1164</v>
      </c>
      <c r="C24" s="166" t="n">
        <v>1</v>
      </c>
      <c r="D24" s="166"/>
      <c r="E24" s="166"/>
      <c r="F24" s="166"/>
      <c r="G24" s="166"/>
    </row>
    <row r="25" customFormat="false" ht="21" hidden="false" customHeight="true" outlineLevel="0" collapsed="false">
      <c r="B25" s="166" t="s">
        <v>1165</v>
      </c>
      <c r="C25" s="166" t="n">
        <v>0</v>
      </c>
      <c r="D25" s="166"/>
      <c r="E25" s="166"/>
      <c r="F25" s="166"/>
      <c r="G25" s="166"/>
    </row>
    <row r="26" customFormat="false" ht="21" hidden="false" customHeight="true" outlineLevel="0" collapsed="false">
      <c r="B26" s="166" t="s">
        <v>1166</v>
      </c>
      <c r="C26" s="166" t="n">
        <v>1</v>
      </c>
      <c r="D26" s="166"/>
      <c r="E26" s="166"/>
      <c r="F26" s="166"/>
      <c r="G26" s="166"/>
    </row>
    <row r="27" customFormat="false" ht="21" hidden="false" customHeight="true" outlineLevel="0" collapsed="false">
      <c r="B27" s="166" t="s">
        <v>1167</v>
      </c>
      <c r="C27" s="166" t="n">
        <v>1</v>
      </c>
      <c r="D27" s="166"/>
      <c r="E27" s="166"/>
      <c r="F27" s="166"/>
      <c r="G27" s="166"/>
    </row>
    <row r="28" customFormat="false" ht="21" hidden="false" customHeight="true" outlineLevel="0" collapsed="false">
      <c r="B28" s="166"/>
      <c r="C28" s="250"/>
      <c r="D28" s="250"/>
      <c r="E28" s="250"/>
      <c r="F28" s="250"/>
      <c r="G28" s="166"/>
    </row>
    <row r="29" customFormat="false" ht="30" hidden="false" customHeight="true" outlineLevel="0" collapsed="false">
      <c r="B29" s="249" t="s">
        <v>1168</v>
      </c>
      <c r="C29" s="249" t="s">
        <v>1169</v>
      </c>
      <c r="D29" s="249" t="s">
        <v>1170</v>
      </c>
      <c r="E29" s="249" t="s">
        <v>1171</v>
      </c>
      <c r="F29" s="249" t="s">
        <v>1172</v>
      </c>
      <c r="G29" s="249" t="s">
        <v>1173</v>
      </c>
    </row>
    <row r="30" customFormat="false" ht="21" hidden="false" customHeight="true" outlineLevel="0" collapsed="false">
      <c r="B30" s="166" t="s">
        <v>1174</v>
      </c>
      <c r="C30" s="250" t="n">
        <v>3500</v>
      </c>
      <c r="D30" s="250" t="n">
        <v>10000</v>
      </c>
      <c r="E30" s="250" t="n">
        <v>800</v>
      </c>
      <c r="F30" s="250" t="n">
        <v>2350</v>
      </c>
      <c r="G30" s="166" t="s">
        <v>1175</v>
      </c>
    </row>
    <row r="31" customFormat="false" ht="21" hidden="false" customHeight="true" outlineLevel="0" collapsed="false">
      <c r="B31" s="166"/>
      <c r="C31" s="166"/>
      <c r="D31" s="166"/>
      <c r="E31" s="166"/>
      <c r="F31" s="166"/>
      <c r="G31" s="166"/>
    </row>
    <row r="32" customFormat="false" ht="30" hidden="false" customHeight="true" outlineLevel="0" collapsed="false">
      <c r="B32" s="249" t="s">
        <v>1176</v>
      </c>
      <c r="C32" s="249" t="s">
        <v>1169</v>
      </c>
      <c r="D32" s="249" t="s">
        <v>1170</v>
      </c>
      <c r="E32" s="249" t="s">
        <v>1171</v>
      </c>
      <c r="F32" s="249" t="s">
        <v>1172</v>
      </c>
      <c r="G32" s="249" t="s">
        <v>1173</v>
      </c>
    </row>
    <row r="33" customFormat="false" ht="21" hidden="false" customHeight="true" outlineLevel="0" collapsed="false">
      <c r="B33" s="166" t="s">
        <v>244</v>
      </c>
      <c r="C33" s="250" t="n">
        <v>3000</v>
      </c>
      <c r="D33" s="250" t="n">
        <v>9750</v>
      </c>
      <c r="E33" s="250" t="n">
        <v>0</v>
      </c>
      <c r="F33" s="250" t="n">
        <v>0</v>
      </c>
      <c r="G33" s="166" t="s">
        <v>1177</v>
      </c>
    </row>
    <row r="34" customFormat="false" ht="21" hidden="false" customHeight="true" outlineLevel="0" collapsed="false">
      <c r="B34" s="166" t="s">
        <v>252</v>
      </c>
      <c r="C34" s="250" t="n">
        <v>3000</v>
      </c>
      <c r="D34" s="250" t="n">
        <v>9750</v>
      </c>
      <c r="E34" s="250" t="n">
        <v>250</v>
      </c>
      <c r="F34" s="250" t="n">
        <v>800</v>
      </c>
      <c r="G34" s="166" t="s">
        <v>1178</v>
      </c>
    </row>
    <row r="35" customFormat="false" ht="21" hidden="false" customHeight="true" outlineLevel="0" collapsed="false">
      <c r="B35" s="166" t="s">
        <v>259</v>
      </c>
      <c r="C35" s="250" t="n">
        <v>2000</v>
      </c>
      <c r="D35" s="250" t="n">
        <v>6500</v>
      </c>
      <c r="E35" s="250" t="n">
        <v>500</v>
      </c>
      <c r="F35" s="250" t="n">
        <v>1600</v>
      </c>
      <c r="G35" s="166" t="s">
        <v>1179</v>
      </c>
    </row>
    <row r="36" customFormat="false" ht="21" hidden="false" customHeight="true" outlineLevel="0" collapsed="false">
      <c r="B36" s="166" t="s">
        <v>698</v>
      </c>
      <c r="C36" s="250" t="n">
        <v>3000</v>
      </c>
      <c r="D36" s="250" t="n">
        <v>9750</v>
      </c>
      <c r="E36" s="250" t="n">
        <v>750</v>
      </c>
      <c r="F36" s="250" t="n">
        <v>2400</v>
      </c>
      <c r="G36" s="166" t="s">
        <v>1180</v>
      </c>
    </row>
    <row r="37" customFormat="false" ht="21" hidden="false" customHeight="true" outlineLevel="0" collapsed="false">
      <c r="B37" s="166" t="s">
        <v>267</v>
      </c>
      <c r="C37" s="250" t="n">
        <v>4000</v>
      </c>
      <c r="D37" s="250" t="n">
        <v>13000</v>
      </c>
      <c r="E37" s="250" t="n">
        <v>1000</v>
      </c>
      <c r="F37" s="250" t="n">
        <v>3200</v>
      </c>
      <c r="G37" s="166" t="s">
        <v>1181</v>
      </c>
    </row>
    <row r="38" customFormat="false" ht="21" hidden="false" customHeight="true" outlineLevel="0" collapsed="false">
      <c r="B38" s="166" t="s">
        <v>272</v>
      </c>
      <c r="C38" s="250" t="n">
        <v>6000</v>
      </c>
      <c r="D38" s="250" t="n">
        <v>19500</v>
      </c>
      <c r="E38" s="250" t="n">
        <v>1500</v>
      </c>
      <c r="F38" s="250" t="n">
        <v>4800</v>
      </c>
      <c r="G38" s="166" t="s">
        <v>1182</v>
      </c>
    </row>
    <row r="39" customFormat="false" ht="21" hidden="false" customHeight="true" outlineLevel="0" collapsed="false">
      <c r="B39" s="166"/>
      <c r="C39" s="250"/>
      <c r="D39" s="250"/>
      <c r="E39" s="250"/>
      <c r="F39" s="250"/>
      <c r="G39" s="166"/>
    </row>
    <row r="40" customFormat="false" ht="30" hidden="false" customHeight="true" outlineLevel="0" collapsed="false">
      <c r="B40" s="249" t="s">
        <v>1183</v>
      </c>
      <c r="C40" s="249" t="s">
        <v>1169</v>
      </c>
      <c r="D40" s="249" t="s">
        <v>1170</v>
      </c>
      <c r="E40" s="249" t="s">
        <v>1171</v>
      </c>
      <c r="F40" s="249" t="s">
        <v>1172</v>
      </c>
      <c r="G40" s="249" t="s">
        <v>1173</v>
      </c>
    </row>
    <row r="41" customFormat="false" ht="21" hidden="false" customHeight="true" outlineLevel="0" collapsed="false">
      <c r="B41" s="166" t="s">
        <v>244</v>
      </c>
      <c r="C41" s="250" t="n">
        <v>0</v>
      </c>
      <c r="D41" s="250" t="n">
        <v>0</v>
      </c>
      <c r="E41" s="250" t="n">
        <v>0</v>
      </c>
      <c r="F41" s="250" t="n">
        <v>0</v>
      </c>
      <c r="G41" s="166" t="s">
        <v>1184</v>
      </c>
    </row>
    <row r="42" customFormat="false" ht="21" hidden="false" customHeight="true" outlineLevel="0" collapsed="false">
      <c r="B42" s="166" t="s">
        <v>252</v>
      </c>
      <c r="C42" s="250" t="n">
        <v>0</v>
      </c>
      <c r="D42" s="250" t="n">
        <v>0</v>
      </c>
      <c r="E42" s="250" t="n">
        <v>0</v>
      </c>
      <c r="F42" s="250" t="n">
        <v>0</v>
      </c>
      <c r="G42" s="166" t="s">
        <v>1184</v>
      </c>
    </row>
    <row r="43" customFormat="false" ht="21" hidden="false" customHeight="true" outlineLevel="0" collapsed="false">
      <c r="B43" s="166" t="s">
        <v>259</v>
      </c>
      <c r="C43" s="250" t="n">
        <v>0</v>
      </c>
      <c r="D43" s="250" t="n">
        <v>0</v>
      </c>
      <c r="E43" s="250" t="n">
        <v>0</v>
      </c>
      <c r="F43" s="250" t="n">
        <v>0</v>
      </c>
      <c r="G43" s="166" t="s">
        <v>1184</v>
      </c>
    </row>
    <row r="44" customFormat="false" ht="21" hidden="false" customHeight="true" outlineLevel="0" collapsed="false">
      <c r="B44" s="166" t="s">
        <v>698</v>
      </c>
      <c r="C44" s="250" t="n">
        <v>0</v>
      </c>
      <c r="D44" s="250" t="n">
        <v>0</v>
      </c>
      <c r="E44" s="250" t="n">
        <v>0</v>
      </c>
      <c r="F44" s="250" t="n">
        <v>0</v>
      </c>
      <c r="G44" s="166" t="s">
        <v>1184</v>
      </c>
    </row>
    <row r="45" customFormat="false" ht="21" hidden="false" customHeight="true" outlineLevel="0" collapsed="false">
      <c r="B45" s="166" t="s">
        <v>267</v>
      </c>
      <c r="C45" s="250" t="n">
        <v>0</v>
      </c>
      <c r="D45" s="250" t="n">
        <v>0</v>
      </c>
      <c r="E45" s="250" t="n">
        <v>0</v>
      </c>
      <c r="F45" s="250" t="n">
        <v>0</v>
      </c>
      <c r="G45" s="166" t="s">
        <v>1184</v>
      </c>
    </row>
    <row r="46" customFormat="false" ht="21" hidden="false" customHeight="true" outlineLevel="0" collapsed="false">
      <c r="B46" s="166" t="s">
        <v>272</v>
      </c>
      <c r="C46" s="250" t="n">
        <v>0</v>
      </c>
      <c r="D46" s="250" t="n">
        <v>0</v>
      </c>
      <c r="E46" s="250" t="n">
        <v>0</v>
      </c>
      <c r="F46" s="250" t="n">
        <v>0</v>
      </c>
      <c r="G46" s="166" t="s">
        <v>1184</v>
      </c>
    </row>
    <row r="47" customFormat="false" ht="21" hidden="false" customHeight="true" outlineLevel="0" collapsed="false">
      <c r="B47" s="166"/>
      <c r="C47" s="250"/>
      <c r="D47" s="250"/>
      <c r="E47" s="250"/>
      <c r="F47" s="250"/>
      <c r="G47" s="166"/>
    </row>
    <row r="48" customFormat="false" ht="30" hidden="false" customHeight="true" outlineLevel="0" collapsed="false">
      <c r="B48" s="249" t="s">
        <v>1185</v>
      </c>
      <c r="C48" s="249"/>
      <c r="D48" s="249"/>
      <c r="E48" s="249"/>
      <c r="F48" s="249"/>
      <c r="G48" s="249"/>
    </row>
    <row r="49" customFormat="false" ht="21" hidden="false" customHeight="true" outlineLevel="0" collapsed="false">
      <c r="B49" s="246" t="s">
        <v>1186</v>
      </c>
      <c r="C49" s="251" t="s">
        <v>1187</v>
      </c>
      <c r="D49" s="251"/>
      <c r="E49" s="251"/>
      <c r="F49" s="251"/>
      <c r="G49" s="246"/>
    </row>
    <row r="50" customFormat="false" ht="21" hidden="false" customHeight="true" outlineLevel="0" collapsed="false">
      <c r="B50" s="246" t="s">
        <v>1188</v>
      </c>
      <c r="C50" s="251" t="s">
        <v>1189</v>
      </c>
      <c r="D50" s="251"/>
      <c r="E50" s="251"/>
      <c r="F50" s="251"/>
      <c r="G50" s="246"/>
    </row>
    <row r="51" customFormat="false" ht="21" hidden="false" customHeight="true" outlineLevel="0" collapsed="false">
      <c r="B51" s="246" t="s">
        <v>1190</v>
      </c>
      <c r="C51" s="251" t="s">
        <v>1191</v>
      </c>
      <c r="D51" s="251"/>
      <c r="E51" s="251"/>
      <c r="F51" s="251"/>
      <c r="G51" s="246"/>
    </row>
    <row r="52" customFormat="false" ht="21" hidden="false" customHeight="true" outlineLevel="0" collapsed="false">
      <c r="B52" s="166"/>
      <c r="C52" s="166"/>
      <c r="D52" s="166"/>
      <c r="E52" s="166"/>
      <c r="F52" s="166"/>
      <c r="G52" s="166"/>
    </row>
    <row r="53" customFormat="false" ht="21" hidden="false" customHeight="true" outlineLevel="0" collapsed="false">
      <c r="B53" s="166"/>
      <c r="C53" s="166"/>
      <c r="D53" s="166"/>
      <c r="E53" s="166"/>
      <c r="F53" s="166"/>
      <c r="G53" s="166"/>
    </row>
    <row r="54" customFormat="false" ht="21" hidden="false" customHeight="true" outlineLevel="0" collapsed="false">
      <c r="B54" s="166"/>
      <c r="C54" s="166"/>
      <c r="D54" s="166"/>
      <c r="E54" s="166"/>
      <c r="F54" s="166"/>
      <c r="G54" s="166"/>
    </row>
    <row r="55" customFormat="false" ht="21" hidden="false" customHeight="true" outlineLevel="0" collapsed="false">
      <c r="B55" s="166"/>
      <c r="C55" s="166"/>
      <c r="D55" s="166"/>
      <c r="E55" s="166"/>
      <c r="F55" s="166"/>
      <c r="G55" s="166"/>
    </row>
    <row r="56" customFormat="false" ht="21" hidden="false" customHeight="true" outlineLevel="0" collapsed="false">
      <c r="B56" s="166"/>
      <c r="C56" s="166"/>
      <c r="D56" s="166"/>
      <c r="E56" s="166"/>
      <c r="F56" s="166"/>
      <c r="G56" s="166"/>
    </row>
    <row r="57" customFormat="false" ht="21" hidden="false" customHeight="true" outlineLevel="0" collapsed="false">
      <c r="B57" s="166"/>
      <c r="C57" s="166"/>
      <c r="D57" s="166"/>
      <c r="E57" s="166"/>
      <c r="F57" s="166"/>
      <c r="G57" s="166"/>
    </row>
    <row r="58" customFormat="false" ht="21" hidden="false" customHeight="true" outlineLevel="0" collapsed="false">
      <c r="B58" s="166"/>
      <c r="C58" s="166"/>
      <c r="D58" s="166"/>
      <c r="E58" s="166"/>
      <c r="F58" s="166"/>
      <c r="G58" s="166"/>
    </row>
    <row r="59" customFormat="false" ht="21" hidden="false" customHeight="true" outlineLevel="0" collapsed="false">
      <c r="B59" s="166"/>
      <c r="C59" s="166"/>
      <c r="D59" s="166"/>
      <c r="E59" s="166"/>
      <c r="F59" s="166"/>
      <c r="G59" s="166"/>
    </row>
    <row r="60" customFormat="false" ht="21" hidden="false" customHeight="true" outlineLevel="0" collapsed="false">
      <c r="B60" s="166"/>
      <c r="C60" s="166"/>
      <c r="D60" s="166"/>
      <c r="E60" s="166"/>
      <c r="F60" s="166"/>
      <c r="G60" s="166"/>
    </row>
    <row r="61" customFormat="false" ht="21" hidden="false" customHeight="true" outlineLevel="0" collapsed="false">
      <c r="B61" s="166"/>
      <c r="C61" s="166"/>
      <c r="D61" s="166"/>
      <c r="E61" s="166"/>
      <c r="F61" s="166"/>
      <c r="G61" s="166"/>
    </row>
    <row r="62" customFormat="false" ht="21" hidden="false" customHeight="true" outlineLevel="0" collapsed="false">
      <c r="B62" s="166"/>
      <c r="C62" s="166"/>
      <c r="D62" s="166"/>
      <c r="E62" s="166"/>
      <c r="F62" s="166"/>
      <c r="G62" s="166"/>
    </row>
    <row r="63" customFormat="false" ht="21" hidden="false" customHeight="true" outlineLevel="0" collapsed="false">
      <c r="B63" s="166"/>
      <c r="C63" s="166"/>
      <c r="D63" s="166"/>
      <c r="E63" s="166"/>
      <c r="F63" s="166"/>
      <c r="G63" s="166"/>
    </row>
    <row r="64" customFormat="false" ht="21" hidden="false" customHeight="true" outlineLevel="0" collapsed="false">
      <c r="B64" s="166"/>
      <c r="C64" s="166"/>
      <c r="D64" s="166"/>
      <c r="E64" s="166"/>
      <c r="F64" s="166"/>
      <c r="G64" s="166"/>
    </row>
    <row r="65" customFormat="false" ht="21" hidden="false" customHeight="true" outlineLevel="0" collapsed="false">
      <c r="B65" s="166"/>
      <c r="C65" s="166"/>
      <c r="D65" s="166"/>
      <c r="E65" s="166"/>
      <c r="F65" s="166"/>
      <c r="G65" s="166"/>
    </row>
    <row r="66" customFormat="false" ht="21" hidden="false" customHeight="true" outlineLevel="0" collapsed="false">
      <c r="B66" s="166"/>
      <c r="C66" s="166"/>
      <c r="D66" s="166"/>
      <c r="E66" s="166"/>
      <c r="F66" s="166"/>
      <c r="G66" s="166"/>
    </row>
    <row r="67" customFormat="false" ht="21" hidden="false" customHeight="true" outlineLevel="0" collapsed="false">
      <c r="B67" s="166"/>
      <c r="C67" s="166"/>
      <c r="D67" s="166"/>
      <c r="E67" s="166"/>
      <c r="F67" s="166"/>
      <c r="G67" s="166"/>
    </row>
    <row r="68" customFormat="false" ht="21" hidden="false" customHeight="true" outlineLevel="0" collapsed="false">
      <c r="B68" s="166"/>
      <c r="C68" s="166"/>
      <c r="D68" s="166"/>
      <c r="E68" s="166"/>
      <c r="F68" s="166"/>
      <c r="G68" s="166"/>
    </row>
    <row r="69" customFormat="false" ht="21" hidden="false" customHeight="true" outlineLevel="0" collapsed="false">
      <c r="B69" s="166"/>
      <c r="C69" s="166"/>
      <c r="D69" s="166"/>
      <c r="E69" s="166"/>
      <c r="F69" s="166"/>
      <c r="G69" s="166"/>
    </row>
    <row r="70" customFormat="false" ht="21" hidden="false" customHeight="true" outlineLevel="0" collapsed="false">
      <c r="B70" s="166"/>
      <c r="C70" s="166"/>
      <c r="D70" s="166"/>
      <c r="E70" s="166"/>
      <c r="F70" s="166"/>
      <c r="G70" s="166"/>
    </row>
    <row r="71" customFormat="false" ht="21" hidden="false" customHeight="true" outlineLevel="0" collapsed="false">
      <c r="B71" s="166"/>
      <c r="C71" s="166"/>
      <c r="D71" s="166"/>
      <c r="E71" s="166"/>
      <c r="F71" s="166"/>
      <c r="G71" s="166"/>
    </row>
    <row r="72" customFormat="false" ht="21" hidden="false" customHeight="true" outlineLevel="0" collapsed="false">
      <c r="B72" s="166"/>
      <c r="C72" s="166"/>
      <c r="D72" s="166"/>
      <c r="E72" s="166"/>
      <c r="F72" s="166"/>
      <c r="G72" s="166"/>
    </row>
    <row r="73" customFormat="false" ht="21" hidden="false" customHeight="true" outlineLevel="0" collapsed="false">
      <c r="B73" s="166"/>
      <c r="C73" s="166"/>
      <c r="D73" s="166"/>
      <c r="E73" s="166"/>
      <c r="F73" s="166"/>
      <c r="G73" s="166"/>
    </row>
    <row r="74" customFormat="false" ht="21" hidden="false" customHeight="true" outlineLevel="0" collapsed="false">
      <c r="B74" s="166"/>
      <c r="C74" s="166"/>
      <c r="D74" s="166"/>
      <c r="E74" s="166"/>
      <c r="F74" s="166"/>
      <c r="G74" s="166"/>
    </row>
    <row r="75" customFormat="false" ht="21" hidden="false" customHeight="true" outlineLevel="0" collapsed="false">
      <c r="B75" s="166"/>
      <c r="C75" s="166"/>
      <c r="D75" s="166"/>
      <c r="E75" s="166"/>
      <c r="F75" s="166"/>
      <c r="G75" s="166"/>
    </row>
    <row r="76" customFormat="false" ht="21" hidden="false" customHeight="true" outlineLevel="0" collapsed="false">
      <c r="B76" s="166"/>
      <c r="C76" s="166"/>
      <c r="D76" s="166"/>
      <c r="E76" s="166"/>
      <c r="F76" s="166"/>
      <c r="G76" s="166"/>
    </row>
    <row r="77" customFormat="false" ht="21" hidden="false" customHeight="true" outlineLevel="0" collapsed="false">
      <c r="B77" s="166"/>
      <c r="C77" s="166"/>
      <c r="D77" s="166"/>
      <c r="E77" s="166"/>
      <c r="F77" s="166"/>
      <c r="G77" s="166"/>
    </row>
    <row r="78" customFormat="false" ht="21" hidden="false" customHeight="true" outlineLevel="0" collapsed="false">
      <c r="B78" s="166"/>
      <c r="C78" s="166"/>
      <c r="D78" s="166"/>
      <c r="E78" s="166"/>
      <c r="F78" s="166"/>
      <c r="G78" s="166"/>
    </row>
    <row r="79" customFormat="false" ht="21" hidden="false" customHeight="true" outlineLevel="0" collapsed="false">
      <c r="B79" s="166"/>
      <c r="C79" s="166"/>
      <c r="D79" s="166"/>
      <c r="E79" s="166"/>
      <c r="F79" s="166"/>
      <c r="G79" s="166"/>
    </row>
    <row r="80" customFormat="false" ht="21" hidden="false" customHeight="true" outlineLevel="0" collapsed="false">
      <c r="B80" s="166"/>
      <c r="C80" s="166"/>
      <c r="D80" s="166"/>
      <c r="E80" s="166"/>
      <c r="F80" s="166"/>
      <c r="G80" s="166"/>
    </row>
    <row r="81" customFormat="false" ht="21" hidden="false" customHeight="true" outlineLevel="0" collapsed="false">
      <c r="B81" s="166"/>
      <c r="C81" s="166"/>
      <c r="D81" s="166"/>
      <c r="E81" s="166"/>
      <c r="F81" s="166"/>
      <c r="G81" s="16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52" t="s">
        <v>1192</v>
      </c>
    </row>
    <row r="4" customFormat="false" ht="15" hidden="false" customHeight="true" outlineLevel="0" collapsed="false">
      <c r="B4" s="33" t="s">
        <v>1193</v>
      </c>
      <c r="C4" s="253" t="s">
        <v>1194</v>
      </c>
    </row>
    <row r="5" customFormat="false" ht="15" hidden="false" customHeight="true" outlineLevel="0" collapsed="false">
      <c r="B5" s="33" t="s">
        <v>1195</v>
      </c>
      <c r="C5" s="253" t="s">
        <v>1196</v>
      </c>
    </row>
    <row r="6" customFormat="false" ht="15" hidden="false" customHeight="true" outlineLevel="0" collapsed="false">
      <c r="B6" s="254" t="s">
        <v>1197</v>
      </c>
      <c r="C6" s="255" t="s">
        <v>1198</v>
      </c>
    </row>
    <row r="7" customFormat="false" ht="15" hidden="false" customHeight="true" outlineLevel="0" collapsed="false">
      <c r="B7" s="254"/>
      <c r="C7" s="255"/>
    </row>
    <row r="8" customFormat="false" ht="21" hidden="false" customHeight="true" outlineLevel="0" collapsed="false">
      <c r="B8" s="256" t="s">
        <v>1199</v>
      </c>
    </row>
    <row r="9" customFormat="false" ht="21" hidden="false" customHeight="true" outlineLevel="0" collapsed="false">
      <c r="B9" s="2" t="s">
        <v>1200</v>
      </c>
      <c r="C9" s="2"/>
      <c r="D9" s="2"/>
      <c r="E9" s="2"/>
      <c r="F9" s="2"/>
      <c r="G9" s="2"/>
    </row>
    <row r="10" customFormat="false" ht="21" hidden="false" customHeight="true" outlineLevel="0" collapsed="false">
      <c r="B10" s="146" t="s">
        <v>1201</v>
      </c>
      <c r="C10" s="149"/>
      <c r="D10" s="149"/>
      <c r="E10" s="149"/>
      <c r="F10" s="149"/>
      <c r="G10" s="149"/>
    </row>
    <row r="11" customFormat="false" ht="21" hidden="false" customHeight="true" outlineLevel="0" collapsed="false">
      <c r="B11" s="257" t="s">
        <v>238</v>
      </c>
      <c r="C11" s="257" t="s">
        <v>1202</v>
      </c>
      <c r="D11" s="257" t="s">
        <v>1203</v>
      </c>
      <c r="E11" s="257" t="s">
        <v>1204</v>
      </c>
      <c r="F11" s="257" t="s">
        <v>1205</v>
      </c>
      <c r="G11" s="257" t="s">
        <v>1206</v>
      </c>
    </row>
    <row r="12" customFormat="false" ht="30" hidden="false" customHeight="true" outlineLevel="0" collapsed="false">
      <c r="B12" s="149" t="s">
        <v>244</v>
      </c>
      <c r="C12" s="149" t="s">
        <v>1207</v>
      </c>
      <c r="D12" s="149" t="s">
        <v>1208</v>
      </c>
      <c r="E12" s="149" t="s">
        <v>1209</v>
      </c>
      <c r="F12" s="149" t="s">
        <v>1208</v>
      </c>
      <c r="G12" s="149" t="s">
        <v>1208</v>
      </c>
    </row>
    <row r="13" customFormat="false" ht="30" hidden="false" customHeight="true" outlineLevel="0" collapsed="false">
      <c r="B13" s="149" t="s">
        <v>252</v>
      </c>
      <c r="C13" s="149" t="s">
        <v>1207</v>
      </c>
      <c r="D13" s="149" t="s">
        <v>1210</v>
      </c>
      <c r="E13" s="149" t="s">
        <v>1211</v>
      </c>
      <c r="F13" s="149" t="s">
        <v>1208</v>
      </c>
      <c r="G13" s="149" t="s">
        <v>1208</v>
      </c>
    </row>
    <row r="14" customFormat="false" ht="30" hidden="false" customHeight="true" outlineLevel="0" collapsed="false">
      <c r="B14" s="149" t="s">
        <v>259</v>
      </c>
      <c r="C14" s="149" t="s">
        <v>1212</v>
      </c>
      <c r="D14" s="149" t="s">
        <v>1213</v>
      </c>
      <c r="E14" s="149" t="s">
        <v>1214</v>
      </c>
      <c r="F14" s="149" t="s">
        <v>1208</v>
      </c>
      <c r="G14" s="149" t="s">
        <v>1208</v>
      </c>
    </row>
    <row r="15" customFormat="false" ht="30" hidden="false" customHeight="true" outlineLevel="0" collapsed="false">
      <c r="B15" s="149" t="s">
        <v>698</v>
      </c>
      <c r="C15" s="149" t="s">
        <v>1207</v>
      </c>
      <c r="D15" s="149" t="s">
        <v>1215</v>
      </c>
      <c r="E15" s="149" t="s">
        <v>1216</v>
      </c>
      <c r="F15" s="149" t="s">
        <v>1208</v>
      </c>
      <c r="G15" s="149" t="s">
        <v>1208</v>
      </c>
    </row>
    <row r="16" customFormat="false" ht="30" hidden="false" customHeight="true" outlineLevel="0" collapsed="false">
      <c r="B16" s="149" t="s">
        <v>267</v>
      </c>
      <c r="C16" s="149" t="s">
        <v>1217</v>
      </c>
      <c r="D16" s="149" t="s">
        <v>1218</v>
      </c>
      <c r="E16" s="149" t="s">
        <v>1219</v>
      </c>
      <c r="F16" s="149" t="s">
        <v>1208</v>
      </c>
      <c r="G16" s="149" t="s">
        <v>1208</v>
      </c>
    </row>
    <row r="17" customFormat="false" ht="30" hidden="false" customHeight="true" outlineLevel="0" collapsed="false">
      <c r="B17" s="149" t="s">
        <v>272</v>
      </c>
      <c r="C17" s="149" t="s">
        <v>1220</v>
      </c>
      <c r="D17" s="149" t="s">
        <v>1221</v>
      </c>
      <c r="E17" s="149" t="s">
        <v>1222</v>
      </c>
      <c r="F17" s="149" t="s">
        <v>1208</v>
      </c>
      <c r="G17" s="149" t="s">
        <v>1208</v>
      </c>
    </row>
    <row r="18" customFormat="false" ht="15" hidden="false" customHeight="true" outlineLevel="0" collapsed="false">
      <c r="B18" s="149"/>
      <c r="C18" s="149"/>
      <c r="D18" s="149"/>
      <c r="E18" s="149"/>
      <c r="F18" s="149"/>
      <c r="G18" s="149"/>
    </row>
    <row r="19" customFormat="false" ht="15" hidden="false" customHeight="true" outlineLevel="0" collapsed="false">
      <c r="B19" s="1" t="s">
        <v>1223</v>
      </c>
      <c r="C19" s="1" t="s">
        <v>1224</v>
      </c>
      <c r="D19" s="149"/>
      <c r="E19" s="149"/>
      <c r="F19" s="149"/>
      <c r="G19" s="149"/>
    </row>
    <row r="20" customFormat="false" ht="15" hidden="false" customHeight="true" outlineLevel="0" collapsed="false">
      <c r="B20" s="1" t="s">
        <v>1223</v>
      </c>
      <c r="C20" s="1" t="s">
        <v>1225</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1226</v>
      </c>
      <c r="C2" s="2"/>
      <c r="D2" s="2"/>
      <c r="E2" s="2"/>
      <c r="F2" s="2"/>
      <c r="G2" s="2"/>
      <c r="H2" s="2"/>
      <c r="I2" s="2"/>
      <c r="J2" s="2"/>
    </row>
    <row r="3" customFormat="false" ht="30" hidden="false" customHeight="true" outlineLevel="0" collapsed="false">
      <c r="B3" s="242" t="s">
        <v>1063</v>
      </c>
    </row>
    <row r="5" customFormat="false" ht="15" hidden="false" customHeight="true" outlineLevel="0" collapsed="false">
      <c r="A5" s="1" t="s">
        <v>1227</v>
      </c>
      <c r="B5" s="1" t="s">
        <v>1228</v>
      </c>
    </row>
    <row r="6" customFormat="false" ht="15" hidden="false" customHeight="true" outlineLevel="0" collapsed="false">
      <c r="A6" s="1" t="s">
        <v>1229</v>
      </c>
      <c r="B6" s="1" t="s">
        <v>1230</v>
      </c>
    </row>
    <row r="7" customFormat="false" ht="15" hidden="false" customHeight="true" outlineLevel="0" collapsed="false">
      <c r="B7" s="1" t="s">
        <v>1231</v>
      </c>
    </row>
    <row r="9" customFormat="false" ht="24" hidden="false" customHeight="true" outlineLevel="0" collapsed="false">
      <c r="B9" s="258" t="s">
        <v>1232</v>
      </c>
    </row>
    <row r="11" customFormat="false" ht="16.5" hidden="false" customHeight="true" outlineLevel="0" collapsed="false">
      <c r="B11" s="259" t="s">
        <v>1233</v>
      </c>
    </row>
    <row r="13" customFormat="false" ht="15" hidden="false" customHeight="true" outlineLevel="0" collapsed="false">
      <c r="B13" s="1" t="s">
        <v>1234</v>
      </c>
    </row>
    <row r="14" customFormat="false" ht="15" hidden="false" customHeight="true" outlineLevel="0" collapsed="false">
      <c r="B14" s="1" t="s">
        <v>1235</v>
      </c>
    </row>
    <row r="15" customFormat="false" ht="15" hidden="false" customHeight="true" outlineLevel="0" collapsed="false">
      <c r="B15" s="1" t="s">
        <v>1236</v>
      </c>
    </row>
    <row r="17" customFormat="false" ht="16.5" hidden="false" customHeight="true" outlineLevel="0" collapsed="false">
      <c r="B17" s="259" t="s">
        <v>1237</v>
      </c>
    </row>
    <row r="19" customFormat="false" ht="15" hidden="false" customHeight="true" outlineLevel="0" collapsed="false">
      <c r="B19" s="1" t="s">
        <v>1238</v>
      </c>
    </row>
    <row r="20" customFormat="false" ht="15" hidden="false" customHeight="true" outlineLevel="0" collapsed="false">
      <c r="B20" s="1" t="s">
        <v>1239</v>
      </c>
    </row>
    <row r="21" customFormat="false" ht="15" hidden="false" customHeight="true" outlineLevel="0" collapsed="false">
      <c r="B21" s="1" t="s">
        <v>1240</v>
      </c>
    </row>
    <row r="22" customFormat="false" ht="15" hidden="false" customHeight="true" outlineLevel="0" collapsed="false">
      <c r="B22" s="1" t="s">
        <v>1241</v>
      </c>
    </row>
    <row r="23" customFormat="false" ht="15" hidden="false" customHeight="true" outlineLevel="0" collapsed="false">
      <c r="B23" s="1" t="s">
        <v>1242</v>
      </c>
    </row>
    <row r="24" customFormat="false" ht="15" hidden="false" customHeight="true" outlineLevel="0" collapsed="false">
      <c r="B24" s="1" t="s">
        <v>1243</v>
      </c>
    </row>
    <row r="25" customFormat="false" ht="15" hidden="false" customHeight="true" outlineLevel="0" collapsed="false">
      <c r="B25" s="1" t="s">
        <v>1244</v>
      </c>
    </row>
    <row r="26" customFormat="false" ht="15" hidden="false" customHeight="true" outlineLevel="0" collapsed="false">
      <c r="B26" s="1" t="s">
        <v>1245</v>
      </c>
    </row>
    <row r="27" customFormat="false" ht="15" hidden="false" customHeight="true" outlineLevel="0" collapsed="false">
      <c r="B27" s="1" t="s">
        <v>1246</v>
      </c>
    </row>
    <row r="28" customFormat="false" ht="15" hidden="false" customHeight="true" outlineLevel="0" collapsed="false">
      <c r="B28" s="1" t="s">
        <v>1247</v>
      </c>
    </row>
    <row r="29" customFormat="false" ht="15" hidden="false" customHeight="true" outlineLevel="0" collapsed="false">
      <c r="B29" s="1" t="s">
        <v>1248</v>
      </c>
    </row>
    <row r="31" customFormat="false" ht="16.5" hidden="false" customHeight="true" outlineLevel="0" collapsed="false">
      <c r="B31" s="259" t="s">
        <v>1249</v>
      </c>
    </row>
    <row r="33" customFormat="false" ht="15" hidden="false" customHeight="true" outlineLevel="0" collapsed="false">
      <c r="B33" s="1" t="s">
        <v>1250</v>
      </c>
    </row>
    <row r="34" customFormat="false" ht="15" hidden="false" customHeight="true" outlineLevel="0" collapsed="false">
      <c r="B34" s="1" t="s">
        <v>1251</v>
      </c>
    </row>
    <row r="35" customFormat="false" ht="15" hidden="false" customHeight="true" outlineLevel="0" collapsed="false">
      <c r="B35" s="1" t="s">
        <v>1252</v>
      </c>
    </row>
    <row r="36" customFormat="false" ht="15" hidden="false" customHeight="true" outlineLevel="0" collapsed="false">
      <c r="B36" s="1" t="s">
        <v>1253</v>
      </c>
    </row>
    <row r="37" customFormat="false" ht="15" hidden="false" customHeight="true" outlineLevel="0" collapsed="false">
      <c r="B37" s="1" t="s">
        <v>1254</v>
      </c>
    </row>
    <row r="38" customFormat="false" ht="15" hidden="false" customHeight="true" outlineLevel="0" collapsed="false">
      <c r="B38" s="1" t="s">
        <v>1255</v>
      </c>
    </row>
    <row r="39" customFormat="false" ht="15" hidden="false" customHeight="true" outlineLevel="0" collapsed="false">
      <c r="B39" s="1" t="s">
        <v>1256</v>
      </c>
    </row>
    <row r="40" customFormat="false" ht="15" hidden="false" customHeight="true" outlineLevel="0" collapsed="false">
      <c r="B40" s="1" t="s">
        <v>1257</v>
      </c>
    </row>
    <row r="41" customFormat="false" ht="15" hidden="false" customHeight="true" outlineLevel="0" collapsed="false">
      <c r="B41" s="1" t="s">
        <v>1258</v>
      </c>
    </row>
    <row r="43" customFormat="false" ht="24" hidden="false" customHeight="true" outlineLevel="0" collapsed="false">
      <c r="B43" s="258" t="s">
        <v>1259</v>
      </c>
    </row>
    <row r="45" customFormat="false" ht="15" hidden="false" customHeight="true" outlineLevel="0" collapsed="false">
      <c r="B45" s="1" t="s">
        <v>1260</v>
      </c>
    </row>
    <row r="47" customFormat="false" ht="15" hidden="false" customHeight="true" outlineLevel="0" collapsed="false">
      <c r="B47" s="260" t="s">
        <v>1261</v>
      </c>
      <c r="C47" s="260" t="s">
        <v>1262</v>
      </c>
    </row>
    <row r="48" customFormat="false" ht="15" hidden="false" customHeight="true" outlineLevel="0" collapsed="false">
      <c r="B48" s="1" t="s">
        <v>1263</v>
      </c>
      <c r="C48" s="1" t="s">
        <v>1264</v>
      </c>
    </row>
    <row r="49" customFormat="false" ht="15" hidden="false" customHeight="true" outlineLevel="0" collapsed="false">
      <c r="B49" s="1" t="s">
        <v>1265</v>
      </c>
      <c r="C49" s="1" t="s">
        <v>1266</v>
      </c>
    </row>
    <row r="50" customFormat="false" ht="15" hidden="false" customHeight="true" outlineLevel="0" collapsed="false">
      <c r="B50" s="1" t="s">
        <v>1267</v>
      </c>
      <c r="C50" s="1" t="s">
        <v>1268</v>
      </c>
    </row>
    <row r="51" customFormat="false" ht="15" hidden="false" customHeight="true" outlineLevel="0" collapsed="false">
      <c r="B51" s="1" t="s">
        <v>1269</v>
      </c>
      <c r="C51" s="1" t="s">
        <v>1270</v>
      </c>
    </row>
    <row r="52" customFormat="false" ht="15" hidden="false" customHeight="true" outlineLevel="0" collapsed="false">
      <c r="B52" s="1" t="s">
        <v>1271</v>
      </c>
      <c r="C52" s="1" t="s">
        <v>1272</v>
      </c>
    </row>
    <row r="54" customFormat="false" ht="24" hidden="false" customHeight="true" outlineLevel="0" collapsed="false">
      <c r="B54" s="258" t="s">
        <v>1273</v>
      </c>
    </row>
    <row r="56" customFormat="false" ht="15" hidden="false" customHeight="true" outlineLevel="0" collapsed="false">
      <c r="B56" s="1" t="s">
        <v>1274</v>
      </c>
    </row>
    <row r="57" customFormat="false" ht="15" hidden="false" customHeight="true" outlineLevel="0" collapsed="false">
      <c r="B57" s="1" t="s">
        <v>1275</v>
      </c>
    </row>
    <row r="58" customFormat="false" ht="15" hidden="false" customHeight="true" outlineLevel="0" collapsed="false">
      <c r="B58" s="1" t="s">
        <v>1276</v>
      </c>
    </row>
    <row r="60" customFormat="false" ht="24" hidden="false" customHeight="true" outlineLevel="0" collapsed="false">
      <c r="B60" s="258" t="s">
        <v>1277</v>
      </c>
    </row>
    <row r="62" customFormat="false" ht="15" hidden="false" customHeight="true" outlineLevel="0" collapsed="false">
      <c r="B62" s="1" t="s">
        <v>1278</v>
      </c>
    </row>
    <row r="64" customFormat="false" ht="15" hidden="false" customHeight="true" outlineLevel="0" collapsed="false">
      <c r="B64" s="1" t="s">
        <v>1279</v>
      </c>
    </row>
    <row r="65" customFormat="false" ht="15" hidden="false" customHeight="true" outlineLevel="0" collapsed="false">
      <c r="B65" s="1" t="s">
        <v>1280</v>
      </c>
    </row>
    <row r="66" customFormat="false" ht="15" hidden="false" customHeight="true" outlineLevel="0" collapsed="false">
      <c r="B66" s="1" t="s">
        <v>1281</v>
      </c>
    </row>
    <row r="68" customFormat="false" ht="15" hidden="false" customHeight="true" outlineLevel="0" collapsed="false">
      <c r="B68" s="1" t="s">
        <v>1282</v>
      </c>
    </row>
    <row r="70" customFormat="false" ht="33.75" hidden="false" customHeight="true" outlineLevel="0" collapsed="false">
      <c r="B70" s="2" t="s">
        <v>1283</v>
      </c>
      <c r="C70" s="2"/>
      <c r="D70" s="2"/>
      <c r="E70" s="2"/>
      <c r="F70" s="2"/>
      <c r="G70" s="2"/>
      <c r="H70" s="2"/>
      <c r="I70" s="2"/>
      <c r="J70" s="2"/>
    </row>
    <row r="71" customFormat="false" ht="15" hidden="false" customHeight="true" outlineLevel="0" collapsed="false">
      <c r="B71" s="244" t="s">
        <v>2</v>
      </c>
      <c r="C71" s="244" t="s">
        <v>1284</v>
      </c>
      <c r="D71" s="244" t="s">
        <v>1285</v>
      </c>
      <c r="E71" s="244" t="s">
        <v>1285</v>
      </c>
      <c r="F71" s="244" t="s">
        <v>1286</v>
      </c>
      <c r="G71" s="244" t="s">
        <v>1287</v>
      </c>
      <c r="H71" s="244" t="s">
        <v>1287</v>
      </c>
      <c r="I71" s="244" t="s">
        <v>1287</v>
      </c>
      <c r="J71" s="244" t="s">
        <v>1288</v>
      </c>
    </row>
    <row r="72" customFormat="false" ht="15" hidden="false" customHeight="true" outlineLevel="0" collapsed="false">
      <c r="B72" s="244"/>
      <c r="C72" s="244"/>
      <c r="D72" s="244" t="s">
        <v>902</v>
      </c>
      <c r="E72" s="244" t="s">
        <v>903</v>
      </c>
      <c r="F72" s="244" t="s">
        <v>901</v>
      </c>
      <c r="G72" s="244" t="s">
        <v>902</v>
      </c>
      <c r="H72" s="244" t="s">
        <v>903</v>
      </c>
      <c r="I72" s="244" t="s">
        <v>901</v>
      </c>
      <c r="J72" s="244"/>
    </row>
    <row r="73" customFormat="false" ht="30" hidden="false" customHeight="true" outlineLevel="0" collapsed="false">
      <c r="B73" s="144" t="s">
        <v>1289</v>
      </c>
      <c r="C73" s="144" t="s">
        <v>1290</v>
      </c>
      <c r="D73" s="261" t="n">
        <v>500</v>
      </c>
      <c r="E73" s="261" t="n">
        <v>900</v>
      </c>
      <c r="F73" s="155" t="s">
        <v>908</v>
      </c>
      <c r="G73" s="261" t="n">
        <v>100</v>
      </c>
      <c r="H73" s="261" t="n">
        <v>200</v>
      </c>
      <c r="I73" s="262" t="s">
        <v>908</v>
      </c>
      <c r="J73" s="144" t="s">
        <v>1291</v>
      </c>
    </row>
    <row r="74" customFormat="false" ht="30" hidden="false" customHeight="true" outlineLevel="0" collapsed="false">
      <c r="B74" s="144" t="s">
        <v>1292</v>
      </c>
      <c r="C74" s="144" t="s">
        <v>1293</v>
      </c>
      <c r="D74" s="261" t="n">
        <v>900</v>
      </c>
      <c r="E74" s="261" t="n">
        <v>1500</v>
      </c>
      <c r="F74" s="155" t="s">
        <v>908</v>
      </c>
      <c r="G74" s="261" t="n">
        <v>150</v>
      </c>
      <c r="H74" s="261" t="n">
        <v>300</v>
      </c>
      <c r="I74" s="262" t="s">
        <v>908</v>
      </c>
      <c r="J74" s="144" t="s">
        <v>1294</v>
      </c>
    </row>
    <row r="75" customFormat="false" ht="30" hidden="false" customHeight="true" outlineLevel="0" collapsed="false">
      <c r="B75" s="144" t="s">
        <v>1295</v>
      </c>
      <c r="C75" s="144" t="s">
        <v>1296</v>
      </c>
      <c r="D75" s="261" t="n">
        <v>1500</v>
      </c>
      <c r="E75" s="261" t="n">
        <v>2500</v>
      </c>
      <c r="F75" s="155" t="s">
        <v>908</v>
      </c>
      <c r="G75" s="261" t="n">
        <v>300</v>
      </c>
      <c r="H75" s="261" t="n">
        <v>500</v>
      </c>
      <c r="I75" s="262" t="s">
        <v>908</v>
      </c>
      <c r="J75" s="144" t="s">
        <v>1297</v>
      </c>
    </row>
    <row r="76" customFormat="false" ht="30" hidden="false" customHeight="true" outlineLevel="0" collapsed="false">
      <c r="B76" s="245" t="s">
        <v>1298</v>
      </c>
      <c r="C76" s="245" t="s">
        <v>1299</v>
      </c>
      <c r="D76" s="263" t="n">
        <v>900</v>
      </c>
      <c r="E76" s="263" t="n">
        <v>1500</v>
      </c>
      <c r="F76" s="264" t="s">
        <v>1300</v>
      </c>
      <c r="G76" s="263" t="n">
        <v>150</v>
      </c>
      <c r="H76" s="263" t="n">
        <v>300</v>
      </c>
      <c r="I76" s="245" t="s">
        <v>1301</v>
      </c>
      <c r="J76" s="245" t="s">
        <v>1302</v>
      </c>
    </row>
    <row r="77" customFormat="false" ht="30" hidden="false" customHeight="true" outlineLevel="0" collapsed="false">
      <c r="B77" s="245" t="s">
        <v>1303</v>
      </c>
      <c r="C77" s="245" t="s">
        <v>1304</v>
      </c>
      <c r="D77" s="263" t="s">
        <v>908</v>
      </c>
      <c r="E77" s="263" t="s">
        <v>908</v>
      </c>
      <c r="F77" s="264" t="s">
        <v>908</v>
      </c>
      <c r="G77" s="264" t="s">
        <v>908</v>
      </c>
      <c r="H77" s="264" t="s">
        <v>908</v>
      </c>
      <c r="I77" s="265" t="s">
        <v>908</v>
      </c>
      <c r="J77" s="245" t="s">
        <v>1305</v>
      </c>
    </row>
    <row r="81" customFormat="false" ht="15" hidden="false" customHeight="true" outlineLevel="0" collapsed="false">
      <c r="A81" s="155" t="s">
        <v>1227</v>
      </c>
      <c r="B81" s="155" t="s">
        <v>1306</v>
      </c>
    </row>
    <row r="82" customFormat="false" ht="15" hidden="false" customHeight="true" outlineLevel="0" collapsed="false">
      <c r="A82" s="155" t="s">
        <v>1229</v>
      </c>
      <c r="B82" s="155" t="s">
        <v>1307</v>
      </c>
    </row>
    <row r="84" customFormat="false" ht="15" hidden="false" customHeight="true" outlineLevel="0" collapsed="false">
      <c r="B84" s="260" t="s">
        <v>1308</v>
      </c>
    </row>
    <row r="86" customFormat="false" ht="15" hidden="false" customHeight="true" outlineLevel="0" collapsed="false">
      <c r="B86" s="260" t="s">
        <v>1309</v>
      </c>
      <c r="C86" s="260" t="s">
        <v>251</v>
      </c>
    </row>
    <row r="87" customFormat="false" ht="15" hidden="false" customHeight="true" outlineLevel="0" collapsed="false">
      <c r="B87" s="155" t="s">
        <v>1310</v>
      </c>
      <c r="C87" s="155" t="s">
        <v>248</v>
      </c>
    </row>
    <row r="88" customFormat="false" ht="15" hidden="false" customHeight="true" outlineLevel="0" collapsed="false">
      <c r="B88" s="155" t="s">
        <v>1311</v>
      </c>
      <c r="C88" s="155" t="s">
        <v>505</v>
      </c>
    </row>
    <row r="89" customFormat="false" ht="15" hidden="false" customHeight="true" outlineLevel="0" collapsed="false">
      <c r="B89" s="155" t="s">
        <v>1312</v>
      </c>
      <c r="C89" s="155" t="s">
        <v>512</v>
      </c>
    </row>
    <row r="90" customFormat="false" ht="15" hidden="false" customHeight="true" outlineLevel="0" collapsed="false">
      <c r="B90" s="155" t="s">
        <v>1313</v>
      </c>
      <c r="C90" s="155" t="s">
        <v>519</v>
      </c>
    </row>
    <row r="91" customFormat="false" ht="15" hidden="false" customHeight="true" outlineLevel="0" collapsed="false">
      <c r="B91" s="155" t="s">
        <v>1314</v>
      </c>
      <c r="C91" s="155" t="s">
        <v>266</v>
      </c>
    </row>
    <row r="93" customFormat="false" ht="15" hidden="false" customHeight="true" outlineLevel="0" collapsed="false">
      <c r="B93" s="260" t="s">
        <v>1315</v>
      </c>
    </row>
    <row r="95" customFormat="false" ht="15" hidden="false" customHeight="true" outlineLevel="0" collapsed="false">
      <c r="B95" s="155" t="s">
        <v>1316</v>
      </c>
    </row>
    <row r="97" customFormat="false" ht="15" hidden="false" customHeight="true" outlineLevel="0" collapsed="false">
      <c r="B97" s="260" t="s">
        <v>1317</v>
      </c>
    </row>
    <row r="98" customFormat="false" ht="15" hidden="false" customHeight="true" outlineLevel="0" collapsed="false">
      <c r="B98" s="260" t="s">
        <v>1318</v>
      </c>
    </row>
    <row r="99" customFormat="false" ht="15" hidden="false" customHeight="true" outlineLevel="0" collapsed="false">
      <c r="B99" s="260" t="s">
        <v>1319</v>
      </c>
    </row>
    <row r="100" customFormat="false" ht="15" hidden="false" customHeight="true" outlineLevel="0" collapsed="false">
      <c r="B100" s="260" t="s">
        <v>1320</v>
      </c>
    </row>
    <row r="101" customFormat="false" ht="15" hidden="false" customHeight="true" outlineLevel="0" collapsed="false">
      <c r="B101" s="260" t="s">
        <v>1321</v>
      </c>
    </row>
    <row r="103" customFormat="false" ht="15" hidden="false" customHeight="true" outlineLevel="0" collapsed="false">
      <c r="B103" s="260" t="s">
        <v>1322</v>
      </c>
    </row>
    <row r="105" customFormat="false" ht="15" hidden="false" customHeight="true" outlineLevel="0" collapsed="false">
      <c r="B105" s="155" t="s">
        <v>1323</v>
      </c>
    </row>
    <row r="107" customFormat="false" ht="15" hidden="false" customHeight="true" outlineLevel="0" collapsed="false">
      <c r="B107" s="260" t="s">
        <v>1324</v>
      </c>
    </row>
    <row r="109" customFormat="false" ht="15" hidden="false" customHeight="true" outlineLevel="0" collapsed="false">
      <c r="B109" s="155" t="s">
        <v>1325</v>
      </c>
    </row>
    <row r="110" customFormat="false" ht="15" hidden="false" customHeight="true" outlineLevel="0" collapsed="false">
      <c r="B110" s="155" t="s">
        <v>1326</v>
      </c>
    </row>
    <row r="112" customFormat="false" ht="15" hidden="false" customHeight="true" outlineLevel="0" collapsed="false">
      <c r="B112" s="260" t="s">
        <v>1327</v>
      </c>
    </row>
    <row r="114" customFormat="false" ht="15" hidden="false" customHeight="true" outlineLevel="0" collapsed="false">
      <c r="B114" s="155" t="s">
        <v>1328</v>
      </c>
    </row>
    <row r="118" customFormat="false" ht="15" hidden="false" customHeight="true" outlineLevel="0" collapsed="false">
      <c r="B118" s="260" t="s">
        <v>1329</v>
      </c>
    </row>
    <row r="120" customFormat="false" ht="15" hidden="false" customHeight="true" outlineLevel="0" collapsed="false">
      <c r="B120" s="260" t="s">
        <v>231</v>
      </c>
      <c r="C120" s="260" t="s">
        <v>1330</v>
      </c>
      <c r="D120" s="260" t="s">
        <v>1331</v>
      </c>
      <c r="E120" s="260" t="s">
        <v>1332</v>
      </c>
      <c r="F120" s="260" t="s">
        <v>1333</v>
      </c>
    </row>
    <row r="121" customFormat="false" ht="15" hidden="false" customHeight="true" outlineLevel="0" collapsed="false">
      <c r="B121" s="155" t="s">
        <v>1334</v>
      </c>
      <c r="C121" s="146" t="s">
        <v>248</v>
      </c>
      <c r="D121" s="146" t="s">
        <v>505</v>
      </c>
      <c r="E121" s="146" t="s">
        <v>248</v>
      </c>
      <c r="F121" s="266" t="s">
        <v>505</v>
      </c>
      <c r="H121" s="267" t="s">
        <v>1335</v>
      </c>
    </row>
    <row r="122" customFormat="false" ht="15" hidden="false" customHeight="true" outlineLevel="0" collapsed="false">
      <c r="B122" s="155" t="s">
        <v>1336</v>
      </c>
      <c r="C122" s="268" t="n">
        <v>0</v>
      </c>
      <c r="D122" s="268" t="n">
        <v>0</v>
      </c>
      <c r="E122" s="268" t="n">
        <v>1</v>
      </c>
      <c r="F122" s="268" t="n">
        <v>0</v>
      </c>
    </row>
    <row r="123" customFormat="false" ht="15" hidden="false" customHeight="true" outlineLevel="0" collapsed="false">
      <c r="B123" s="155" t="s">
        <v>1337</v>
      </c>
      <c r="C123" s="268" t="n">
        <v>0</v>
      </c>
      <c r="D123" s="268" t="n">
        <v>1</v>
      </c>
      <c r="E123" s="268" t="n">
        <v>0</v>
      </c>
      <c r="F123" s="268" t="n">
        <v>1</v>
      </c>
    </row>
    <row r="124" customFormat="false" ht="15" hidden="false" customHeight="true" outlineLevel="0" collapsed="false">
      <c r="B124" s="155" t="s">
        <v>1338</v>
      </c>
      <c r="C124" s="268" t="n">
        <v>0</v>
      </c>
      <c r="D124" s="268" t="n">
        <v>0</v>
      </c>
      <c r="E124" s="268" t="n">
        <v>0</v>
      </c>
      <c r="F124" s="268" t="n">
        <v>1</v>
      </c>
    </row>
    <row r="125" customFormat="false" ht="15" hidden="false" customHeight="true" outlineLevel="0" collapsed="false">
      <c r="B125" s="155" t="s">
        <v>1339</v>
      </c>
      <c r="C125" s="268" t="n">
        <v>0</v>
      </c>
      <c r="D125" s="268" t="n">
        <v>1</v>
      </c>
      <c r="E125" s="268" t="n">
        <v>0</v>
      </c>
      <c r="F125" s="268" t="n">
        <v>1</v>
      </c>
    </row>
    <row r="126" customFormat="false" ht="15" hidden="false" customHeight="true" outlineLevel="0" collapsed="false">
      <c r="B126" s="155" t="s">
        <v>1340</v>
      </c>
      <c r="C126" s="268" t="n">
        <v>0</v>
      </c>
      <c r="D126" s="268" t="n">
        <v>0</v>
      </c>
      <c r="E126" s="268" t="n">
        <v>0</v>
      </c>
      <c r="F126" s="268" t="n">
        <v>0</v>
      </c>
    </row>
    <row r="127" customFormat="false" ht="15" hidden="false" customHeight="true" outlineLevel="0" collapsed="false">
      <c r="B127" s="155" t="s">
        <v>1341</v>
      </c>
      <c r="C127" s="146" t="s">
        <v>1342</v>
      </c>
      <c r="D127" s="146" t="s">
        <v>1343</v>
      </c>
      <c r="E127" s="146" t="s">
        <v>1344</v>
      </c>
      <c r="F127" s="146" t="s">
        <v>414</v>
      </c>
    </row>
    <row r="129" customFormat="false" ht="15" hidden="false" customHeight="true" outlineLevel="0" collapsed="false">
      <c r="B129" s="155" t="s">
        <v>1345</v>
      </c>
      <c r="F129" s="269"/>
    </row>
    <row r="178" customFormat="false" ht="15" hidden="false" customHeight="true" outlineLevel="0" collapsed="false">
      <c r="A178" s="155" t="s">
        <v>1227</v>
      </c>
      <c r="B178" s="155" t="s">
        <v>1346</v>
      </c>
    </row>
    <row r="179" customFormat="false" ht="15" hidden="false" customHeight="true" outlineLevel="0" collapsed="false">
      <c r="A179" s="155" t="s">
        <v>1229</v>
      </c>
      <c r="B179" s="155" t="s">
        <v>1347</v>
      </c>
    </row>
    <row r="181" customFormat="false" ht="24" hidden="false" customHeight="true" outlineLevel="0" collapsed="false">
      <c r="B181" s="258" t="s">
        <v>1348</v>
      </c>
    </row>
    <row r="183" customFormat="false" ht="15" hidden="false" customHeight="true" outlineLevel="0" collapsed="false">
      <c r="B183" s="155" t="s">
        <v>1349</v>
      </c>
    </row>
    <row r="185" customFormat="false" ht="15" hidden="false" customHeight="true" outlineLevel="0" collapsed="false">
      <c r="B185" s="260" t="s">
        <v>1350</v>
      </c>
    </row>
    <row r="186" customFormat="false" ht="15" hidden="false" customHeight="true" outlineLevel="0" collapsed="false">
      <c r="B186" s="260" t="s">
        <v>1351</v>
      </c>
    </row>
    <row r="187" customFormat="false" ht="15" hidden="false" customHeight="true" outlineLevel="0" collapsed="false">
      <c r="B187" s="260" t="s">
        <v>1352</v>
      </c>
    </row>
    <row r="188" customFormat="false" ht="15" hidden="false" customHeight="true" outlineLevel="0" collapsed="false">
      <c r="B188" s="260" t="s">
        <v>1353</v>
      </c>
    </row>
    <row r="190" customFormat="false" ht="15" hidden="false" customHeight="true" outlineLevel="0" collapsed="false">
      <c r="B190" s="155" t="s">
        <v>1354</v>
      </c>
    </row>
    <row r="192" customFormat="false" ht="24" hidden="false" customHeight="true" outlineLevel="0" collapsed="false">
      <c r="B192" s="258" t="s">
        <v>1355</v>
      </c>
    </row>
    <row r="194" customFormat="false" ht="15" hidden="false" customHeight="true" outlineLevel="0" collapsed="false">
      <c r="B194" s="155" t="s">
        <v>1356</v>
      </c>
    </row>
    <row r="195" customFormat="false" ht="15" hidden="false" customHeight="true" outlineLevel="0" collapsed="false">
      <c r="B195" s="270" t="s">
        <v>1357</v>
      </c>
    </row>
    <row r="196" customFormat="false" ht="15" hidden="false" customHeight="true" outlineLevel="0" collapsed="false">
      <c r="B196" s="155" t="s">
        <v>1358</v>
      </c>
    </row>
    <row r="197" customFormat="false" ht="15" hidden="false" customHeight="true" outlineLevel="0" collapsed="false">
      <c r="B197" s="155" t="s">
        <v>1359</v>
      </c>
    </row>
    <row r="199" customFormat="false" ht="24" hidden="false" customHeight="true" outlineLevel="0" collapsed="false">
      <c r="B199" s="258" t="s">
        <v>1360</v>
      </c>
    </row>
    <row r="201" customFormat="false" ht="15" hidden="false" customHeight="true" outlineLevel="0" collapsed="false">
      <c r="B201" s="155" t="s">
        <v>1361</v>
      </c>
    </row>
    <row r="202" customFormat="false" ht="15" hidden="false" customHeight="true" outlineLevel="0" collapsed="false">
      <c r="B202" s="260" t="s">
        <v>1362</v>
      </c>
    </row>
    <row r="203" customFormat="false" ht="15" hidden="false" customHeight="true" outlineLevel="0" collapsed="false">
      <c r="B203" s="260" t="s">
        <v>1363</v>
      </c>
    </row>
    <row r="204" customFormat="false" ht="15" hidden="false" customHeight="true" outlineLevel="0" collapsed="false">
      <c r="B204" s="260" t="s">
        <v>1364</v>
      </c>
    </row>
    <row r="206" customFormat="false" ht="24" hidden="false" customHeight="true" outlineLevel="0" collapsed="false">
      <c r="B206" s="258" t="s">
        <v>1365</v>
      </c>
    </row>
    <row r="208" customFormat="false" ht="15" hidden="false" customHeight="true" outlineLevel="0" collapsed="false">
      <c r="B208" s="155" t="s">
        <v>1366</v>
      </c>
    </row>
    <row r="209" customFormat="false" ht="15" hidden="false" customHeight="true" outlineLevel="0" collapsed="false">
      <c r="B209" s="260" t="s">
        <v>1367</v>
      </c>
    </row>
    <row r="210" customFormat="false" ht="15" hidden="false" customHeight="true" outlineLevel="0" collapsed="false">
      <c r="B210" s="260" t="s">
        <v>1368</v>
      </c>
    </row>
    <row r="211" customFormat="false" ht="15" hidden="false" customHeight="true" outlineLevel="0" collapsed="false">
      <c r="B211" s="260" t="s">
        <v>1369</v>
      </c>
    </row>
    <row r="213" customFormat="false" ht="24" hidden="false" customHeight="true" outlineLevel="0" collapsed="false">
      <c r="B213" s="258" t="s">
        <v>1370</v>
      </c>
    </row>
    <row r="215" customFormat="false" ht="15" hidden="false" customHeight="true" outlineLevel="0" collapsed="false">
      <c r="B215" s="155" t="s">
        <v>1371</v>
      </c>
    </row>
    <row r="216" customFormat="false" ht="15" hidden="false" customHeight="true" outlineLevel="0" collapsed="false">
      <c r="B216" s="270" t="s">
        <v>1372</v>
      </c>
    </row>
    <row r="218" customFormat="false" ht="24" hidden="false" customHeight="true" outlineLevel="0" collapsed="false">
      <c r="B218" s="258" t="s">
        <v>1373</v>
      </c>
    </row>
    <row r="220" customFormat="false" ht="15" hidden="false" customHeight="true" outlineLevel="0" collapsed="false">
      <c r="B220" s="260" t="s">
        <v>1374</v>
      </c>
    </row>
    <row r="221" customFormat="false" ht="15" hidden="false" customHeight="true" outlineLevel="0" collapsed="false">
      <c r="B221" s="260" t="s">
        <v>1375</v>
      </c>
    </row>
    <row r="222" customFormat="false" ht="15" hidden="false" customHeight="true" outlineLevel="0" collapsed="false">
      <c r="B222" s="260" t="s">
        <v>1376</v>
      </c>
    </row>
    <row r="224" customFormat="false" ht="24" hidden="false" customHeight="true" outlineLevel="0" collapsed="false">
      <c r="B224" s="258" t="s">
        <v>1377</v>
      </c>
    </row>
    <row r="226" customFormat="false" ht="15" hidden="false" customHeight="true" outlineLevel="0" collapsed="false">
      <c r="B226" s="155" t="s">
        <v>1378</v>
      </c>
    </row>
    <row r="227" customFormat="false" ht="15" hidden="false" customHeight="true" outlineLevel="0" collapsed="false">
      <c r="B227" s="271" t="s">
        <v>1379</v>
      </c>
    </row>
    <row r="228" customFormat="false" ht="15" hidden="false" customHeight="true" outlineLevel="0" collapsed="false">
      <c r="B228" s="155" t="s">
        <v>1380</v>
      </c>
    </row>
    <row r="231" customFormat="false" ht="15" hidden="false" customHeight="true" outlineLevel="0" collapsed="false">
      <c r="A231" s="155" t="s">
        <v>1227</v>
      </c>
      <c r="B231" s="155" t="s">
        <v>1381</v>
      </c>
    </row>
    <row r="232" customFormat="false" ht="15" hidden="false" customHeight="true" outlineLevel="0" collapsed="false">
      <c r="A232" s="155" t="s">
        <v>1229</v>
      </c>
      <c r="B232" s="155" t="s">
        <v>1382</v>
      </c>
    </row>
    <row r="234" customFormat="false" ht="15" hidden="false" customHeight="true" outlineLevel="0" collapsed="false">
      <c r="B234" s="155" t="s">
        <v>1383</v>
      </c>
    </row>
    <row r="235" customFormat="false" ht="15" hidden="false" customHeight="true" outlineLevel="0" collapsed="false">
      <c r="B235" s="260" t="s">
        <v>1384</v>
      </c>
    </row>
    <row r="236" customFormat="false" ht="15" hidden="false" customHeight="true" outlineLevel="0" collapsed="false">
      <c r="B236" s="260" t="s">
        <v>1385</v>
      </c>
    </row>
    <row r="237" customFormat="false" ht="15" hidden="false" customHeight="true" outlineLevel="0" collapsed="false">
      <c r="B237" s="155" t="s">
        <v>1386</v>
      </c>
    </row>
    <row r="239" customFormat="false" ht="15" hidden="false" customHeight="true" outlineLevel="0" collapsed="false">
      <c r="B239" s="155" t="s">
        <v>1387</v>
      </c>
    </row>
    <row r="242" customFormat="false" ht="15" hidden="false" customHeight="true" outlineLevel="0" collapsed="false">
      <c r="A242" s="155" t="s">
        <v>1227</v>
      </c>
      <c r="B242" s="155" t="s">
        <v>1388</v>
      </c>
    </row>
    <row r="243" customFormat="false" ht="15" hidden="false" customHeight="true" outlineLevel="0" collapsed="false">
      <c r="A243" s="155" t="s">
        <v>1229</v>
      </c>
      <c r="B243" s="155" t="s">
        <v>1389</v>
      </c>
    </row>
    <row r="245" customFormat="false" ht="15" hidden="false" customHeight="true" outlineLevel="0" collapsed="false">
      <c r="B245" s="260" t="s">
        <v>1390</v>
      </c>
    </row>
    <row r="246" customFormat="false" ht="15" hidden="false" customHeight="true" outlineLevel="0" collapsed="false">
      <c r="B246" s="260" t="s">
        <v>1391</v>
      </c>
    </row>
    <row r="248" customFormat="false" ht="15" hidden="false" customHeight="true" outlineLevel="0" collapsed="false">
      <c r="B248" s="155" t="s">
        <v>1392</v>
      </c>
    </row>
    <row r="249" customFormat="false" ht="15" hidden="false" customHeight="true" outlineLevel="0" collapsed="false">
      <c r="B249" s="260" t="s">
        <v>1393</v>
      </c>
    </row>
    <row r="250" customFormat="false" ht="15" hidden="false" customHeight="true" outlineLevel="0" collapsed="false">
      <c r="B250" s="260" t="s">
        <v>1394</v>
      </c>
    </row>
    <row r="252" customFormat="false" ht="15" hidden="false" customHeight="true" outlineLevel="0" collapsed="false">
      <c r="B252" s="260" t="s">
        <v>1395</v>
      </c>
    </row>
    <row r="253" customFormat="false" ht="15" hidden="false" customHeight="true" outlineLevel="0" collapsed="false">
      <c r="B253" s="260" t="s">
        <v>1396</v>
      </c>
    </row>
    <row r="254" customFormat="false" ht="15" hidden="false" customHeight="true" outlineLevel="0" collapsed="false">
      <c r="B254" s="260" t="s">
        <v>1397</v>
      </c>
    </row>
    <row r="255" customFormat="false" ht="15" hidden="false" customHeight="true" outlineLevel="0" collapsed="false">
      <c r="B255" s="260" t="s">
        <v>1398</v>
      </c>
    </row>
    <row r="258" customFormat="false" ht="15" hidden="false" customHeight="true" outlineLevel="0" collapsed="false">
      <c r="A258" s="155" t="s">
        <v>1227</v>
      </c>
      <c r="B258" s="155" t="s">
        <v>1399</v>
      </c>
    </row>
    <row r="259" customFormat="false" ht="15" hidden="false" customHeight="true" outlineLevel="0" collapsed="false">
      <c r="A259" s="155" t="s">
        <v>1229</v>
      </c>
      <c r="B259" s="155" t="s">
        <v>1400</v>
      </c>
    </row>
    <row r="263" customFormat="false" ht="24" hidden="false" customHeight="true" outlineLevel="0" collapsed="false">
      <c r="B263" s="258" t="s">
        <v>1401</v>
      </c>
    </row>
    <row r="265" customFormat="false" ht="15" hidden="false" customHeight="true" outlineLevel="0" collapsed="false">
      <c r="B265" s="155" t="s">
        <v>1402</v>
      </c>
    </row>
    <row r="266" customFormat="false" ht="15" hidden="false" customHeight="true" outlineLevel="0" collapsed="false">
      <c r="B266" s="155" t="s">
        <v>1403</v>
      </c>
    </row>
    <row r="267" customFormat="false" ht="15" hidden="false" customHeight="true" outlineLevel="0" collapsed="false">
      <c r="B267" s="155" t="s">
        <v>1404</v>
      </c>
    </row>
    <row r="269" customFormat="false" ht="24" hidden="false" customHeight="true" outlineLevel="0" collapsed="false">
      <c r="B269" s="258" t="s">
        <v>1405</v>
      </c>
    </row>
    <row r="271" customFormat="false" ht="15" hidden="false" customHeight="true" outlineLevel="0" collapsed="false">
      <c r="B271" s="260" t="s">
        <v>1406</v>
      </c>
    </row>
    <row r="272" customFormat="false" ht="15" hidden="false" customHeight="true" outlineLevel="0" collapsed="false">
      <c r="B272" s="270" t="s">
        <v>1407</v>
      </c>
    </row>
    <row r="273" customFormat="false" ht="15" hidden="false" customHeight="true" outlineLevel="0" collapsed="false">
      <c r="B273" s="155" t="s">
        <v>1408</v>
      </c>
    </row>
    <row r="275" customFormat="false" ht="15" hidden="false" customHeight="true" outlineLevel="0" collapsed="false">
      <c r="B275" s="260" t="s">
        <v>1409</v>
      </c>
    </row>
    <row r="277" customFormat="false" ht="15" hidden="false" customHeight="true" outlineLevel="0" collapsed="false">
      <c r="B277" s="155" t="s">
        <v>1410</v>
      </c>
    </row>
    <row r="279" customFormat="false" ht="15" hidden="false" customHeight="true" outlineLevel="0" collapsed="false">
      <c r="B279" s="260" t="s">
        <v>1411</v>
      </c>
      <c r="C279" s="260" t="s">
        <v>1412</v>
      </c>
      <c r="D279" s="260" t="s">
        <v>1413</v>
      </c>
    </row>
    <row r="280" customFormat="false" ht="15" hidden="false" customHeight="true" outlineLevel="0" collapsed="false">
      <c r="B280" s="155" t="s">
        <v>1414</v>
      </c>
      <c r="C280" s="155" t="s">
        <v>1415</v>
      </c>
      <c r="D280" s="155" t="s">
        <v>1416</v>
      </c>
    </row>
    <row r="281" customFormat="false" ht="15" hidden="false" customHeight="true" outlineLevel="0" collapsed="false">
      <c r="B281" s="155" t="s">
        <v>1417</v>
      </c>
      <c r="C281" s="155" t="s">
        <v>1418</v>
      </c>
      <c r="D281" s="155" t="s">
        <v>1419</v>
      </c>
    </row>
    <row r="282" customFormat="false" ht="15" hidden="false" customHeight="true" outlineLevel="0" collapsed="false">
      <c r="B282" s="155" t="s">
        <v>1420</v>
      </c>
      <c r="C282" s="155" t="s">
        <v>1421</v>
      </c>
      <c r="D282" s="155" t="s">
        <v>1422</v>
      </c>
    </row>
    <row r="283" customFormat="false" ht="15" hidden="false" customHeight="true" outlineLevel="0" collapsed="false">
      <c r="B283" s="155" t="s">
        <v>1423</v>
      </c>
      <c r="C283" s="155" t="s">
        <v>1424</v>
      </c>
      <c r="D283" s="155" t="s">
        <v>1425</v>
      </c>
    </row>
    <row r="284" customFormat="false" ht="15" hidden="false" customHeight="true" outlineLevel="0" collapsed="false">
      <c r="B284" s="155" t="s">
        <v>1426</v>
      </c>
      <c r="C284" s="155" t="s">
        <v>1427</v>
      </c>
      <c r="D284" s="155" t="s">
        <v>1428</v>
      </c>
    </row>
    <row r="287" customFormat="false" ht="24" hidden="false" customHeight="true" outlineLevel="0" collapsed="false">
      <c r="B287" s="258" t="s">
        <v>1429</v>
      </c>
    </row>
    <row r="289" customFormat="false" ht="15" hidden="false" customHeight="true" outlineLevel="0" collapsed="false">
      <c r="B289" s="155" t="s">
        <v>1430</v>
      </c>
    </row>
    <row r="291" customFormat="false" ht="15" hidden="false" customHeight="true" outlineLevel="0" collapsed="false">
      <c r="B291" s="260" t="s">
        <v>1431</v>
      </c>
    </row>
    <row r="292" customFormat="false" ht="15" hidden="false" customHeight="true" outlineLevel="0" collapsed="false">
      <c r="B292" s="272" t="s">
        <v>1432</v>
      </c>
    </row>
    <row r="293" customFormat="false" ht="15" hidden="false" customHeight="true" outlineLevel="0" collapsed="false">
      <c r="B293" s="155" t="s">
        <v>1433</v>
      </c>
    </row>
    <row r="294" customFormat="false" ht="15" hidden="false" customHeight="true" outlineLevel="0" collapsed="false">
      <c r="B294" s="155" t="s">
        <v>1434</v>
      </c>
    </row>
    <row r="295" customFormat="false" ht="15" hidden="false" customHeight="true" outlineLevel="0" collapsed="false">
      <c r="B295" s="155" t="s">
        <v>1435</v>
      </c>
    </row>
    <row r="296" customFormat="false" ht="15" hidden="false" customHeight="true" outlineLevel="0" collapsed="false">
      <c r="B296" s="270" t="s">
        <v>1436</v>
      </c>
    </row>
    <row r="297" customFormat="false" ht="15" hidden="false" customHeight="true" outlineLevel="0" collapsed="false">
      <c r="B297" s="155" t="s">
        <v>1437</v>
      </c>
    </row>
    <row r="300" customFormat="false" ht="24" hidden="false" customHeight="true" outlineLevel="0" collapsed="false">
      <c r="B300" s="258" t="s">
        <v>1438</v>
      </c>
    </row>
    <row r="302" customFormat="false" ht="15" hidden="false" customHeight="true" outlineLevel="0" collapsed="false">
      <c r="B302" s="155" t="s">
        <v>1439</v>
      </c>
    </row>
    <row r="304" customFormat="false" ht="15" hidden="false" customHeight="true" outlineLevel="0" collapsed="false">
      <c r="B304" s="260" t="s">
        <v>1440</v>
      </c>
    </row>
    <row r="305" customFormat="false" ht="15" hidden="false" customHeight="true" outlineLevel="0" collapsed="false">
      <c r="B305" s="260" t="s">
        <v>1441</v>
      </c>
    </row>
    <row r="306" customFormat="false" ht="15" hidden="false" customHeight="true" outlineLevel="0" collapsed="false">
      <c r="B306" s="260" t="s">
        <v>1442</v>
      </c>
    </row>
    <row r="307" customFormat="false" ht="15" hidden="false" customHeight="true" outlineLevel="0" collapsed="false">
      <c r="B307" s="155" t="s">
        <v>1443</v>
      </c>
    </row>
    <row r="309" customFormat="false" ht="15" hidden="false" customHeight="true" outlineLevel="0" collapsed="false">
      <c r="B309" s="155" t="s">
        <v>1444</v>
      </c>
    </row>
    <row r="313" customFormat="false" ht="15" hidden="false" customHeight="true" outlineLevel="0" collapsed="false">
      <c r="A313" s="155" t="s">
        <v>1227</v>
      </c>
      <c r="B313" s="155" t="s">
        <v>1445</v>
      </c>
    </row>
    <row r="314" customFormat="false" ht="15" hidden="false" customHeight="true" outlineLevel="0" collapsed="false">
      <c r="A314" s="155" t="s">
        <v>1229</v>
      </c>
      <c r="B314" s="155" t="s">
        <v>1446</v>
      </c>
    </row>
    <row r="317" customFormat="false" ht="24" hidden="false" customHeight="true" outlineLevel="0" collapsed="false">
      <c r="B317" s="258" t="s">
        <v>1447</v>
      </c>
    </row>
    <row r="319" customFormat="false" ht="15" hidden="false" customHeight="true" outlineLevel="0" collapsed="false">
      <c r="B319" s="155" t="s">
        <v>1448</v>
      </c>
    </row>
    <row r="320" customFormat="false" ht="15" hidden="false" customHeight="true" outlineLevel="0" collapsed="false">
      <c r="B320" s="155" t="s">
        <v>1449</v>
      </c>
    </row>
    <row r="321" customFormat="false" ht="15" hidden="false" customHeight="true" outlineLevel="0" collapsed="false">
      <c r="B321" s="155" t="s">
        <v>1450</v>
      </c>
    </row>
    <row r="322" customFormat="false" ht="15" hidden="false" customHeight="true" outlineLevel="0" collapsed="false">
      <c r="B322" s="155" t="s">
        <v>1451</v>
      </c>
    </row>
    <row r="323" customFormat="false" ht="15" hidden="false" customHeight="true" outlineLevel="0" collapsed="false">
      <c r="B323" s="155" t="s">
        <v>1452</v>
      </c>
    </row>
    <row r="325" customFormat="false" ht="15" hidden="false" customHeight="true" outlineLevel="0" collapsed="false">
      <c r="B325" s="155" t="s">
        <v>1453</v>
      </c>
    </row>
    <row r="326" customFormat="false" ht="15" hidden="false" customHeight="true" outlineLevel="0" collapsed="false">
      <c r="B326" s="270" t="s">
        <v>1454</v>
      </c>
    </row>
    <row r="329" customFormat="false" ht="15" hidden="false" customHeight="true" outlineLevel="0" collapsed="false">
      <c r="B329" s="155" t="s">
        <v>1455</v>
      </c>
    </row>
    <row r="330" customFormat="false" ht="15" hidden="false" customHeight="true" outlineLevel="0" collapsed="false">
      <c r="B330" s="260" t="s">
        <v>1456</v>
      </c>
    </row>
    <row r="331" customFormat="false" ht="15" hidden="false" customHeight="true" outlineLevel="0" collapsed="false">
      <c r="B331" s="260" t="s">
        <v>1457</v>
      </c>
    </row>
    <row r="332" customFormat="false" ht="15" hidden="false" customHeight="true" outlineLevel="0" collapsed="false">
      <c r="B332" s="260" t="s">
        <v>1458</v>
      </c>
    </row>
    <row r="333" customFormat="false" ht="15" hidden="false" customHeight="true" outlineLevel="0" collapsed="false">
      <c r="B333" s="260" t="s">
        <v>1459</v>
      </c>
    </row>
    <row r="334" customFormat="false" ht="15" hidden="false" customHeight="true" outlineLevel="0" collapsed="false">
      <c r="B334" s="260" t="s">
        <v>1460</v>
      </c>
    </row>
    <row r="336" customFormat="false" ht="15" hidden="false" customHeight="true" outlineLevel="0" collapsed="false">
      <c r="B336" s="155" t="s">
        <v>1461</v>
      </c>
    </row>
    <row r="339" customFormat="false" ht="15" hidden="false" customHeight="true" outlineLevel="0" collapsed="false">
      <c r="A339" s="155" t="s">
        <v>1227</v>
      </c>
      <c r="B339" s="146" t="s">
        <v>1462</v>
      </c>
    </row>
    <row r="340" customFormat="false" ht="15" hidden="false" customHeight="true" outlineLevel="0" collapsed="false">
      <c r="A340" s="155" t="s">
        <v>1229</v>
      </c>
      <c r="B340" s="155" t="s">
        <v>1463</v>
      </c>
    </row>
    <row r="342" customFormat="false" ht="15" hidden="false" customHeight="true" outlineLevel="0" collapsed="false">
      <c r="B342" s="155" t="s">
        <v>1464</v>
      </c>
    </row>
    <row r="345" customFormat="false" ht="18.75" hidden="false" customHeight="true" outlineLevel="0" collapsed="false">
      <c r="B345" s="273" t="s">
        <v>1465</v>
      </c>
    </row>
    <row r="347" customFormat="false" ht="15" hidden="false" customHeight="true" outlineLevel="0" collapsed="false">
      <c r="B347" s="155" t="s">
        <v>1466</v>
      </c>
    </row>
    <row r="348" customFormat="false" ht="15" hidden="false" customHeight="true" outlineLevel="0" collapsed="false">
      <c r="B348" s="155" t="s">
        <v>1467</v>
      </c>
    </row>
    <row r="349" customFormat="false" ht="15" hidden="false" customHeight="true" outlineLevel="0" collapsed="false">
      <c r="B349" s="155" t="s">
        <v>1468</v>
      </c>
    </row>
    <row r="350" customFormat="false" ht="15" hidden="false" customHeight="true" outlineLevel="0" collapsed="false">
      <c r="B350" s="155" t="s">
        <v>1469</v>
      </c>
    </row>
    <row r="351" customFormat="false" ht="15" hidden="false" customHeight="true" outlineLevel="0" collapsed="false">
      <c r="B351" s="155" t="s">
        <v>1470</v>
      </c>
    </row>
    <row r="352" customFormat="false" ht="15" hidden="false" customHeight="true" outlineLevel="0" collapsed="false">
      <c r="B352" s="155" t="s">
        <v>1471</v>
      </c>
    </row>
    <row r="354" customFormat="false" ht="15" hidden="false" customHeight="true" outlineLevel="0" collapsed="false">
      <c r="B354" s="155" t="s">
        <v>1472</v>
      </c>
    </row>
    <row r="356" customFormat="false" ht="15" hidden="false" customHeight="true" outlineLevel="0" collapsed="false">
      <c r="B356" s="260" t="s">
        <v>1473</v>
      </c>
    </row>
    <row r="357" customFormat="false" ht="15" hidden="false" customHeight="true" outlineLevel="0" collapsed="false">
      <c r="B357" s="155" t="s">
        <v>1474</v>
      </c>
    </row>
    <row r="358" customFormat="false" ht="15" hidden="false" customHeight="true" outlineLevel="0" collapsed="false">
      <c r="B358" s="155" t="s">
        <v>1475</v>
      </c>
    </row>
    <row r="359" customFormat="false" ht="15" hidden="false" customHeight="true" outlineLevel="0" collapsed="false">
      <c r="B359" s="155" t="s">
        <v>1474</v>
      </c>
    </row>
    <row r="360" customFormat="false" ht="15" hidden="false" customHeight="true" outlineLevel="0" collapsed="false">
      <c r="B360" s="155" t="s">
        <v>1476</v>
      </c>
    </row>
    <row r="361" customFormat="false" ht="15" hidden="false" customHeight="true" outlineLevel="0" collapsed="false">
      <c r="B361" s="155" t="s">
        <v>1474</v>
      </c>
    </row>
    <row r="362" customFormat="false" ht="15" hidden="false" customHeight="true" outlineLevel="0" collapsed="false">
      <c r="B362" s="155" t="s">
        <v>1477</v>
      </c>
    </row>
    <row r="363" customFormat="false" ht="15" hidden="false" customHeight="true" outlineLevel="0" collapsed="false">
      <c r="B363" s="155" t="s">
        <v>1474</v>
      </c>
    </row>
    <row r="364" customFormat="false" ht="15" hidden="false" customHeight="true" outlineLevel="0" collapsed="false">
      <c r="B364" s="155" t="s">
        <v>1478</v>
      </c>
    </row>
    <row r="365" customFormat="false" ht="15" hidden="false" customHeight="true" outlineLevel="0" collapsed="false">
      <c r="B365" s="155" t="s">
        <v>1474</v>
      </c>
    </row>
    <row r="366" customFormat="false" ht="15" hidden="false" customHeight="true" outlineLevel="0" collapsed="false">
      <c r="B366" s="155" t="s">
        <v>1479</v>
      </c>
    </row>
    <row r="369" customFormat="false" ht="18.75" hidden="false" customHeight="true" outlineLevel="0" collapsed="false">
      <c r="B369" s="273" t="s">
        <v>1480</v>
      </c>
    </row>
    <row r="371" customFormat="false" ht="15" hidden="false" customHeight="true" outlineLevel="0" collapsed="false">
      <c r="B371" s="155" t="s">
        <v>1481</v>
      </c>
    </row>
    <row r="372" customFormat="false" ht="15" hidden="false" customHeight="true" outlineLevel="0" collapsed="false">
      <c r="B372" s="155" t="s">
        <v>1472</v>
      </c>
    </row>
    <row r="373" customFormat="false" ht="15" hidden="false" customHeight="true" outlineLevel="0" collapsed="false">
      <c r="B373" s="155" t="s">
        <v>1482</v>
      </c>
    </row>
    <row r="374" customFormat="false" ht="15" hidden="false" customHeight="true" outlineLevel="0" collapsed="false">
      <c r="B374" s="155" t="s">
        <v>1474</v>
      </c>
    </row>
    <row r="375" customFormat="false" ht="15" hidden="false" customHeight="true" outlineLevel="0" collapsed="false">
      <c r="B375" s="155" t="s">
        <v>1483</v>
      </c>
    </row>
    <row r="376" customFormat="false" ht="15" hidden="false" customHeight="true" outlineLevel="0" collapsed="false">
      <c r="B376" s="155" t="s">
        <v>1484</v>
      </c>
    </row>
    <row r="377" customFormat="false" ht="15" hidden="false" customHeight="true" outlineLevel="0" collapsed="false">
      <c r="B377" s="155" t="s">
        <v>1485</v>
      </c>
    </row>
    <row r="378" customFormat="false" ht="15" hidden="false" customHeight="true" outlineLevel="0" collapsed="false">
      <c r="B378" s="155" t="s">
        <v>1486</v>
      </c>
    </row>
    <row r="379" customFormat="false" ht="15" hidden="false" customHeight="true" outlineLevel="0" collapsed="false">
      <c r="B379" s="155" t="s">
        <v>1487</v>
      </c>
    </row>
    <row r="380" customFormat="false" ht="15" hidden="false" customHeight="true" outlineLevel="0" collapsed="false">
      <c r="B380" s="155" t="s">
        <v>1488</v>
      </c>
    </row>
    <row r="382" customFormat="false" ht="15" hidden="false" customHeight="true" outlineLevel="0" collapsed="false">
      <c r="B382" s="155" t="s">
        <v>1474</v>
      </c>
    </row>
    <row r="383" customFormat="false" ht="15" hidden="false" customHeight="true" outlineLevel="0" collapsed="false">
      <c r="B383" s="155" t="s">
        <v>1489</v>
      </c>
    </row>
    <row r="384" customFormat="false" ht="15" hidden="false" customHeight="true" outlineLevel="0" collapsed="false">
      <c r="B384" s="155" t="s">
        <v>1490</v>
      </c>
    </row>
    <row r="385" customFormat="false" ht="15" hidden="false" customHeight="true" outlineLevel="0" collapsed="false">
      <c r="B385" s="155" t="s">
        <v>1491</v>
      </c>
    </row>
    <row r="386" customFormat="false" ht="15" hidden="false" customHeight="true" outlineLevel="0" collapsed="false">
      <c r="B386" s="155" t="s">
        <v>1492</v>
      </c>
    </row>
    <row r="387" customFormat="false" ht="15" hidden="false" customHeight="true" outlineLevel="0" collapsed="false">
      <c r="B387" s="155" t="s">
        <v>1493</v>
      </c>
    </row>
    <row r="388" customFormat="false" ht="15" hidden="false" customHeight="true" outlineLevel="0" collapsed="false">
      <c r="B388" s="155" t="s">
        <v>1494</v>
      </c>
    </row>
    <row r="390" customFormat="false" ht="15" hidden="false" customHeight="true" outlineLevel="0" collapsed="false">
      <c r="B390" s="155" t="s">
        <v>1495</v>
      </c>
    </row>
    <row r="393" customFormat="false" ht="18.75" hidden="false" customHeight="true" outlineLevel="0" collapsed="false">
      <c r="B393" s="273" t="s">
        <v>1496</v>
      </c>
    </row>
    <row r="395" customFormat="false" ht="15" hidden="false" customHeight="true" outlineLevel="0" collapsed="false">
      <c r="B395" s="155" t="s">
        <v>1497</v>
      </c>
    </row>
    <row r="396" customFormat="false" ht="15" hidden="false" customHeight="true" outlineLevel="0" collapsed="false">
      <c r="B396" s="155" t="s">
        <v>1498</v>
      </c>
    </row>
    <row r="397" customFormat="false" ht="15" hidden="false" customHeight="true" outlineLevel="0" collapsed="false">
      <c r="B397" s="155" t="s">
        <v>1499</v>
      </c>
    </row>
    <row r="398" customFormat="false" ht="15" hidden="false" customHeight="true" outlineLevel="0" collapsed="false">
      <c r="B398" s="155" t="s">
        <v>1500</v>
      </c>
    </row>
    <row r="399" customFormat="false" ht="15" hidden="false" customHeight="true" outlineLevel="0" collapsed="false">
      <c r="B399" s="272" t="s">
        <v>1501</v>
      </c>
    </row>
    <row r="400" customFormat="false" ht="15" hidden="false" customHeight="true" outlineLevel="0" collapsed="false">
      <c r="B400" s="272" t="s">
        <v>1502</v>
      </c>
    </row>
    <row r="401" customFormat="false" ht="15" hidden="false" customHeight="true" outlineLevel="0" collapsed="false">
      <c r="B401" s="272" t="s">
        <v>1503</v>
      </c>
    </row>
    <row r="402" customFormat="false" ht="15" hidden="false" customHeight="true" outlineLevel="0" collapsed="false">
      <c r="B402" s="272" t="s">
        <v>1504</v>
      </c>
    </row>
    <row r="403" customFormat="false" ht="15" hidden="false" customHeight="true" outlineLevel="0" collapsed="false">
      <c r="B403" s="272" t="s">
        <v>1505</v>
      </c>
    </row>
    <row r="404" customFormat="false" ht="15" hidden="false" customHeight="true" outlineLevel="0" collapsed="false">
      <c r="B404" s="272" t="s">
        <v>1506</v>
      </c>
    </row>
    <row r="405" customFormat="false" ht="15" hidden="false" customHeight="true" outlineLevel="0" collapsed="false">
      <c r="B405" s="272" t="s">
        <v>1507</v>
      </c>
    </row>
    <row r="406" customFormat="false" ht="15" hidden="false" customHeight="true" outlineLevel="0" collapsed="false">
      <c r="B406" s="155" t="s">
        <v>1508</v>
      </c>
    </row>
    <row r="409" customFormat="false" ht="15" hidden="false" customHeight="true" outlineLevel="0" collapsed="false">
      <c r="B409" s="273" t="s">
        <v>1509</v>
      </c>
    </row>
    <row r="410" customFormat="false" ht="15" hidden="false" customHeight="true" outlineLevel="0" collapsed="false">
      <c r="B410" s="273"/>
    </row>
    <row r="411" customFormat="false" ht="15" hidden="false" customHeight="true" outlineLevel="0" collapsed="false">
      <c r="B411" s="155" t="s">
        <v>1510</v>
      </c>
    </row>
    <row r="412" customFormat="false" ht="15" hidden="false" customHeight="true" outlineLevel="0" collapsed="false">
      <c r="B412" s="155" t="s">
        <v>1511</v>
      </c>
    </row>
    <row r="413" customFormat="false" ht="15" hidden="false" customHeight="true" outlineLevel="0" collapsed="false">
      <c r="B413" s="155" t="s">
        <v>1512</v>
      </c>
    </row>
    <row r="414" customFormat="false" ht="15" hidden="false" customHeight="true" outlineLevel="0" collapsed="false">
      <c r="B414" s="155" t="s">
        <v>1513</v>
      </c>
    </row>
    <row r="415" customFormat="false" ht="15" hidden="false" customHeight="true" outlineLevel="0" collapsed="false">
      <c r="B415" s="155" t="s">
        <v>1514</v>
      </c>
    </row>
    <row r="416" customFormat="false" ht="15" hidden="false" customHeight="true" outlineLevel="0" collapsed="false">
      <c r="B416" s="155" t="s">
        <v>1515</v>
      </c>
    </row>
    <row r="417" customFormat="false" ht="15" hidden="false" customHeight="true" outlineLevel="0" collapsed="false">
      <c r="B417" s="155" t="s">
        <v>1516</v>
      </c>
    </row>
    <row r="418" customFormat="false" ht="15" hidden="false" customHeight="true" outlineLevel="0" collapsed="false">
      <c r="B418" s="155" t="s">
        <v>1517</v>
      </c>
    </row>
    <row r="419" customFormat="false" ht="15" hidden="false" customHeight="true" outlineLevel="0" collapsed="false">
      <c r="B419" s="155" t="s">
        <v>1518</v>
      </c>
    </row>
    <row r="422" customFormat="false" ht="15" hidden="false" customHeight="true" outlineLevel="0" collapsed="false">
      <c r="B422" s="273" t="s">
        <v>1519</v>
      </c>
    </row>
    <row r="423" customFormat="false" ht="15" hidden="false" customHeight="true" outlineLevel="0" collapsed="false">
      <c r="B423" s="273"/>
    </row>
    <row r="424" customFormat="false" ht="15" hidden="false" customHeight="true" outlineLevel="0" collapsed="false">
      <c r="B424" s="155" t="s">
        <v>1520</v>
      </c>
    </row>
    <row r="425" customFormat="false" ht="15" hidden="false" customHeight="true" outlineLevel="0" collapsed="false">
      <c r="B425" s="260" t="s">
        <v>1521</v>
      </c>
    </row>
    <row r="426" customFormat="false" ht="15" hidden="false" customHeight="true" outlineLevel="0" collapsed="false">
      <c r="B426" s="155" t="s">
        <v>1522</v>
      </c>
    </row>
    <row r="427" customFormat="false" ht="15" hidden="false" customHeight="true" outlineLevel="0" collapsed="false">
      <c r="B427" s="155" t="s">
        <v>1523</v>
      </c>
    </row>
    <row r="428" customFormat="false" ht="15" hidden="false" customHeight="true" outlineLevel="0" collapsed="false">
      <c r="B428" s="155" t="s">
        <v>1524</v>
      </c>
    </row>
    <row r="429" customFormat="false" ht="15" hidden="false" customHeight="true" outlineLevel="0" collapsed="false">
      <c r="B429" s="155" t="s">
        <v>1525</v>
      </c>
    </row>
    <row r="430" customFormat="false" ht="15" hidden="false" customHeight="true" outlineLevel="0" collapsed="false">
      <c r="B430" s="155" t="s">
        <v>1526</v>
      </c>
    </row>
    <row r="431" customFormat="false" ht="15" hidden="false" customHeight="true" outlineLevel="0" collapsed="false">
      <c r="B431" s="260" t="s">
        <v>1527</v>
      </c>
    </row>
    <row r="432" customFormat="false" ht="15" hidden="false" customHeight="true" outlineLevel="0" collapsed="false">
      <c r="B432" s="155" t="s">
        <v>1528</v>
      </c>
    </row>
    <row r="433" customFormat="false" ht="15" hidden="false" customHeight="true" outlineLevel="0" collapsed="false">
      <c r="B433" s="155" t="s">
        <v>1529</v>
      </c>
    </row>
    <row r="434" customFormat="false" ht="15" hidden="false" customHeight="true" outlineLevel="0" collapsed="false">
      <c r="B434" s="155" t="s">
        <v>1530</v>
      </c>
    </row>
    <row r="435" customFormat="false" ht="15" hidden="false" customHeight="true" outlineLevel="0" collapsed="false">
      <c r="B435" s="155" t="s">
        <v>1531</v>
      </c>
    </row>
    <row r="436" customFormat="false" ht="15" hidden="false" customHeight="true" outlineLevel="0" collapsed="false">
      <c r="B436" s="155" t="s">
        <v>1532</v>
      </c>
    </row>
    <row r="439" customFormat="false" ht="18.75" hidden="false" customHeight="true" outlineLevel="0" collapsed="false">
      <c r="B439" s="273" t="s">
        <v>1533</v>
      </c>
    </row>
    <row r="441" customFormat="false" ht="15" hidden="false" customHeight="true" outlineLevel="0" collapsed="false">
      <c r="B441" s="155" t="s">
        <v>1534</v>
      </c>
    </row>
    <row r="442" customFormat="false" ht="15" hidden="false" customHeight="true" outlineLevel="0" collapsed="false">
      <c r="B442" s="155" t="s">
        <v>1535</v>
      </c>
    </row>
    <row r="443" customFormat="false" ht="15" hidden="false" customHeight="true" outlineLevel="0" collapsed="false">
      <c r="B443" s="155" t="s">
        <v>1536</v>
      </c>
    </row>
    <row r="444" customFormat="false" ht="15" hidden="false" customHeight="true" outlineLevel="0" collapsed="false">
      <c r="B444" s="155" t="s">
        <v>1537</v>
      </c>
    </row>
    <row r="445" customFormat="false" ht="15" hidden="false" customHeight="true" outlineLevel="0" collapsed="false">
      <c r="B445" s="155" t="s">
        <v>1538</v>
      </c>
    </row>
    <row r="446" customFormat="false" ht="15" hidden="false" customHeight="true" outlineLevel="0" collapsed="false">
      <c r="B446" s="155" t="s">
        <v>1539</v>
      </c>
    </row>
    <row r="447" customFormat="false" ht="15" hidden="false" customHeight="true" outlineLevel="0" collapsed="false">
      <c r="B447" s="155" t="s">
        <v>1540</v>
      </c>
    </row>
    <row r="448" customFormat="false" ht="15" hidden="false" customHeight="true" outlineLevel="0" collapsed="false">
      <c r="B448" s="155" t="s">
        <v>1541</v>
      </c>
    </row>
    <row r="449" customFormat="false" ht="15" hidden="false" customHeight="true" outlineLevel="0" collapsed="false">
      <c r="B449" s="155" t="s">
        <v>1542</v>
      </c>
    </row>
    <row r="452" customFormat="false" ht="18.75" hidden="false" customHeight="true" outlineLevel="0" collapsed="false">
      <c r="B452" s="273" t="s">
        <v>1543</v>
      </c>
    </row>
    <row r="454" customFormat="false" ht="15" hidden="false" customHeight="true" outlineLevel="0" collapsed="false">
      <c r="B454" s="155" t="s">
        <v>1544</v>
      </c>
    </row>
    <row r="456" customFormat="false" ht="15" hidden="false" customHeight="true" outlineLevel="0" collapsed="false">
      <c r="B456" s="272" t="s">
        <v>1545</v>
      </c>
    </row>
    <row r="457" customFormat="false" ht="15" hidden="false" customHeight="true" outlineLevel="0" collapsed="false">
      <c r="B457" s="272" t="s">
        <v>1546</v>
      </c>
    </row>
    <row r="458" customFormat="false" ht="15" hidden="false" customHeight="true" outlineLevel="0" collapsed="false">
      <c r="B458" s="272" t="s">
        <v>1547</v>
      </c>
    </row>
    <row r="459" customFormat="false" ht="15" hidden="false" customHeight="true" outlineLevel="0" collapsed="false">
      <c r="B459" s="272" t="s">
        <v>1548</v>
      </c>
    </row>
    <row r="460" customFormat="false" ht="15" hidden="false" customHeight="true" outlineLevel="0" collapsed="false">
      <c r="B460" s="272" t="s">
        <v>1549</v>
      </c>
    </row>
    <row r="461" customFormat="false" ht="15" hidden="false" customHeight="true" outlineLevel="0" collapsed="false">
      <c r="B461" s="272" t="s">
        <v>1546</v>
      </c>
    </row>
    <row r="462" customFormat="false" ht="15" hidden="false" customHeight="true" outlineLevel="0" collapsed="false">
      <c r="B462" s="272" t="s">
        <v>1547</v>
      </c>
    </row>
    <row r="463" customFormat="false" ht="15" hidden="false" customHeight="true" outlineLevel="0" collapsed="false">
      <c r="B463" s="272" t="s">
        <v>1550</v>
      </c>
    </row>
    <row r="464" customFormat="false" ht="15" hidden="false" customHeight="true" outlineLevel="0" collapsed="false">
      <c r="B464" s="272" t="s">
        <v>1546</v>
      </c>
    </row>
    <row r="465" customFormat="false" ht="15" hidden="false" customHeight="true" outlineLevel="0" collapsed="false">
      <c r="B465" s="272" t="s">
        <v>1551</v>
      </c>
    </row>
    <row r="466" customFormat="false" ht="15" hidden="false" customHeight="true" outlineLevel="0" collapsed="false">
      <c r="B466" s="272" t="s">
        <v>1552</v>
      </c>
    </row>
    <row r="467" customFormat="false" ht="15" hidden="false" customHeight="true" outlineLevel="0" collapsed="false">
      <c r="B467" s="272" t="s">
        <v>1553</v>
      </c>
    </row>
    <row r="468" customFormat="false" ht="15" hidden="false" customHeight="true" outlineLevel="0" collapsed="false">
      <c r="B468" s="272" t="s">
        <v>1554</v>
      </c>
    </row>
    <row r="469" customFormat="false" ht="15" hidden="false" customHeight="true" outlineLevel="0" collapsed="false">
      <c r="B469" s="272" t="s">
        <v>1555</v>
      </c>
    </row>
    <row r="470" customFormat="false" ht="15.75" hidden="false" customHeight="true" outlineLevel="0" collapsed="false">
      <c r="B470" s="272" t="s">
        <v>1556</v>
      </c>
    </row>
    <row r="472" customFormat="false" ht="15" hidden="false" customHeight="true" outlineLevel="0" collapsed="false">
      <c r="B472" s="155" t="s">
        <v>1557</v>
      </c>
    </row>
    <row r="475" customFormat="false" ht="18.75" hidden="false" customHeight="true" outlineLevel="0" collapsed="false">
      <c r="B475" s="273" t="s">
        <v>1558</v>
      </c>
    </row>
    <row r="477" customFormat="false" ht="15" hidden="false" customHeight="true" outlineLevel="0" collapsed="false">
      <c r="B477" s="155" t="s">
        <v>1559</v>
      </c>
    </row>
    <row r="478" customFormat="false" ht="15" hidden="false" customHeight="true" outlineLevel="0" collapsed="false">
      <c r="B478" s="155" t="s">
        <v>1560</v>
      </c>
    </row>
    <row r="479" customFormat="false" ht="15" hidden="false" customHeight="true" outlineLevel="0" collapsed="false">
      <c r="B479" s="260" t="s">
        <v>1561</v>
      </c>
    </row>
    <row r="480" customFormat="false" ht="15" hidden="false" customHeight="true" outlineLevel="0" collapsed="false">
      <c r="B480" s="260" t="s">
        <v>1562</v>
      </c>
    </row>
    <row r="481" customFormat="false" ht="15" hidden="false" customHeight="true" outlineLevel="0" collapsed="false">
      <c r="B481" s="260" t="s">
        <v>1563</v>
      </c>
    </row>
    <row r="482" customFormat="false" ht="15" hidden="false" customHeight="true" outlineLevel="0" collapsed="false">
      <c r="B482" s="260" t="s">
        <v>1564</v>
      </c>
    </row>
    <row r="483" customFormat="false" ht="15" hidden="false" customHeight="true" outlineLevel="0" collapsed="false">
      <c r="B483" s="260" t="s">
        <v>1565</v>
      </c>
    </row>
    <row r="485" customFormat="false" ht="15" hidden="false" customHeight="true" outlineLevel="0" collapsed="false">
      <c r="B485" s="155" t="s">
        <v>1566</v>
      </c>
    </row>
    <row r="486" customFormat="false" ht="21" hidden="false" customHeight="true" outlineLevel="0" collapsed="false"/>
    <row r="487" customFormat="false" ht="21" hidden="false" customHeight="true" outlineLevel="0" collapsed="false">
      <c r="A487" s="1" t="s">
        <v>1227</v>
      </c>
      <c r="B487" s="146" t="s">
        <v>1567</v>
      </c>
    </row>
    <row r="488" customFormat="false" ht="15" hidden="false" customHeight="true" outlineLevel="0" collapsed="false">
      <c r="A488" s="1" t="s">
        <v>1229</v>
      </c>
      <c r="B488" s="1" t="s">
        <v>1568</v>
      </c>
    </row>
    <row r="489" customFormat="false" ht="21" hidden="false" customHeight="true" outlineLevel="0" collapsed="false"/>
    <row r="490" customFormat="false" ht="16.5" hidden="false" customHeight="true" outlineLevel="0" collapsed="false">
      <c r="B490" s="259" t="s">
        <v>1569</v>
      </c>
    </row>
    <row r="491" customFormat="false" ht="21" hidden="false" customHeight="true" outlineLevel="0" collapsed="false"/>
    <row r="492" customFormat="false" ht="21" hidden="false" customHeight="true" outlineLevel="0" collapsed="false">
      <c r="B492" s="1" t="s">
        <v>1570</v>
      </c>
    </row>
    <row r="493" customFormat="false" ht="15" hidden="false" customHeight="true" outlineLevel="0" collapsed="false">
      <c r="B493" s="1" t="s">
        <v>1571</v>
      </c>
    </row>
    <row r="494" customFormat="false" ht="21" hidden="false" customHeight="true" outlineLevel="0" collapsed="false"/>
    <row r="495" customFormat="false" ht="15" hidden="false" customHeight="true" outlineLevel="0" collapsed="false">
      <c r="B495" s="260" t="s">
        <v>1572</v>
      </c>
    </row>
    <row r="496" customFormat="false" ht="21" hidden="false" customHeight="true" outlineLevel="0" collapsed="false"/>
    <row r="497" customFormat="false" ht="21" hidden="false" customHeight="true" outlineLevel="0" collapsed="false">
      <c r="B497" s="1" t="s">
        <v>1573</v>
      </c>
    </row>
    <row r="498" customFormat="false" ht="21" hidden="false" customHeight="true" outlineLevel="0" collapsed="false">
      <c r="B498" s="272" t="s">
        <v>1574</v>
      </c>
    </row>
    <row r="499" customFormat="false" ht="15" hidden="false" customHeight="true" outlineLevel="0" collapsed="false">
      <c r="B499" s="1" t="s">
        <v>1575</v>
      </c>
    </row>
    <row r="500" customFormat="false" ht="21" hidden="false" customHeight="true" outlineLevel="0" collapsed="false"/>
    <row r="501" customFormat="false" ht="15" hidden="false" customHeight="true" outlineLevel="0" collapsed="false">
      <c r="B501" s="1" t="s">
        <v>1576</v>
      </c>
    </row>
    <row r="502" customFormat="false" ht="21" hidden="false" customHeight="true" outlineLevel="0" collapsed="false"/>
    <row r="503" customFormat="false" ht="21" hidden="false" customHeight="true" outlineLevel="0" collapsed="false">
      <c r="B503" s="260" t="s">
        <v>1577</v>
      </c>
      <c r="C503" s="260" t="s">
        <v>1578</v>
      </c>
    </row>
    <row r="504" customFormat="false" ht="21" hidden="false" customHeight="true" outlineLevel="0" collapsed="false">
      <c r="B504" s="1" t="s">
        <v>1579</v>
      </c>
      <c r="C504" s="1" t="s">
        <v>505</v>
      </c>
    </row>
    <row r="505" customFormat="false" ht="21" hidden="false" customHeight="true" outlineLevel="0" collapsed="false">
      <c r="B505" s="1" t="s">
        <v>1580</v>
      </c>
      <c r="C505" s="1" t="s">
        <v>1581</v>
      </c>
    </row>
    <row r="506" customFormat="false" ht="21" hidden="false" customHeight="true" outlineLevel="0" collapsed="false">
      <c r="B506" s="1" t="s">
        <v>1582</v>
      </c>
      <c r="C506" s="1" t="s">
        <v>512</v>
      </c>
    </row>
    <row r="507" customFormat="false" ht="21" hidden="false" customHeight="true" outlineLevel="0" collapsed="false">
      <c r="B507" s="1" t="s">
        <v>1583</v>
      </c>
      <c r="C507" s="1" t="s">
        <v>512</v>
      </c>
    </row>
    <row r="508" customFormat="false" ht="21" hidden="false" customHeight="true" outlineLevel="0" collapsed="false">
      <c r="B508" s="1" t="s">
        <v>1584</v>
      </c>
      <c r="C508" s="1" t="s">
        <v>519</v>
      </c>
    </row>
    <row r="509" customFormat="false" ht="15" hidden="false" customHeight="true" outlineLevel="0" collapsed="false">
      <c r="B509" s="1" t="s">
        <v>1585</v>
      </c>
      <c r="C509" s="1" t="s">
        <v>266</v>
      </c>
    </row>
    <row r="510" customFormat="false" ht="21" hidden="false" customHeight="true" outlineLevel="0" collapsed="false"/>
    <row r="511" customFormat="false" ht="15" hidden="false" customHeight="true" outlineLevel="0" collapsed="false">
      <c r="B511" s="1" t="s">
        <v>1586</v>
      </c>
    </row>
    <row r="513" customFormat="false" ht="21" hidden="false" customHeight="true" outlineLevel="0" collapsed="false"/>
    <row r="514" customFormat="false" ht="16.5" hidden="false" customHeight="true" outlineLevel="0" collapsed="false">
      <c r="B514" s="259" t="s">
        <v>1587</v>
      </c>
    </row>
    <row r="515" customFormat="false" ht="21" hidden="false" customHeight="true" outlineLevel="0" collapsed="false"/>
    <row r="516" customFormat="false" ht="15" hidden="false" customHeight="true" outlineLevel="0" collapsed="false">
      <c r="B516" s="1" t="s">
        <v>1588</v>
      </c>
    </row>
    <row r="517" s="274" customFormat="true" ht="21" hidden="false" customHeight="true" outlineLevel="0" collapsed="false"/>
    <row r="518" customFormat="false" ht="16.5" hidden="false" customHeight="true" outlineLevel="0" collapsed="false">
      <c r="B518" s="275" t="s">
        <v>524</v>
      </c>
    </row>
    <row r="519" customFormat="false" ht="21" hidden="false" customHeight="true" outlineLevel="0" collapsed="false"/>
    <row r="520" customFormat="false" ht="21" hidden="false" customHeight="true" outlineLevel="0" collapsed="false">
      <c r="B520" s="1" t="s">
        <v>1589</v>
      </c>
    </row>
    <row r="521" customFormat="false" ht="21" hidden="false" customHeight="true" outlineLevel="0" collapsed="false">
      <c r="B521" s="1" t="s">
        <v>1590</v>
      </c>
    </row>
    <row r="522" customFormat="false" ht="21" hidden="false" customHeight="true" outlineLevel="0" collapsed="false">
      <c r="B522" s="1" t="s">
        <v>1591</v>
      </c>
    </row>
    <row r="523" customFormat="false" ht="21" hidden="false" customHeight="true" outlineLevel="0" collapsed="false">
      <c r="B523" s="1" t="s">
        <v>1592</v>
      </c>
    </row>
    <row r="524" customFormat="false" ht="21" hidden="false" customHeight="true" outlineLevel="0" collapsed="false">
      <c r="B524" s="1" t="s">
        <v>1593</v>
      </c>
    </row>
    <row r="525" customFormat="false" ht="21" hidden="false" customHeight="true" outlineLevel="0" collapsed="false">
      <c r="B525" s="1" t="s">
        <v>1594</v>
      </c>
    </row>
    <row r="526" customFormat="false" ht="21" hidden="false" customHeight="true" outlineLevel="0" collapsed="false">
      <c r="B526" s="1" t="s">
        <v>1595</v>
      </c>
    </row>
    <row r="527" customFormat="false" ht="21" hidden="false" customHeight="true" outlineLevel="0" collapsed="false">
      <c r="B527" s="1" t="s">
        <v>1596</v>
      </c>
    </row>
    <row r="528" customFormat="false" ht="21" hidden="false" customHeight="true" outlineLevel="0" collapsed="false">
      <c r="B528" s="1" t="s">
        <v>1597</v>
      </c>
    </row>
    <row r="529" customFormat="false" ht="15" hidden="false" customHeight="true" outlineLevel="0" collapsed="false">
      <c r="B529" s="1" t="s">
        <v>1598</v>
      </c>
    </row>
    <row r="530" customFormat="false" ht="21" hidden="false" customHeight="true" outlineLevel="0" collapsed="false"/>
    <row r="531" customFormat="false" ht="21" hidden="false" customHeight="true" outlineLevel="0" collapsed="false">
      <c r="B531" s="1" t="s">
        <v>1599</v>
      </c>
    </row>
    <row r="532" customFormat="false" ht="15" hidden="false" customHeight="true" outlineLevel="0" collapsed="false">
      <c r="B532" s="1" t="s">
        <v>1600</v>
      </c>
    </row>
    <row r="533" customFormat="false" ht="21" hidden="false" customHeight="true" outlineLevel="0" collapsed="false"/>
    <row r="534" customFormat="false" ht="15" hidden="false" customHeight="true" outlineLevel="0" collapsed="false">
      <c r="B534" s="1" t="s">
        <v>1601</v>
      </c>
    </row>
    <row r="535" s="274" customFormat="true" ht="21" hidden="false" customHeight="true" outlineLevel="0" collapsed="false"/>
    <row r="536" customFormat="false" ht="21" hidden="false" customHeight="true" outlineLevel="0" collapsed="false">
      <c r="B536" s="259" t="s">
        <v>238</v>
      </c>
      <c r="C536" s="259" t="s">
        <v>239</v>
      </c>
    </row>
    <row r="537" customFormat="false" ht="21" hidden="false" customHeight="true" outlineLevel="0" collapsed="false">
      <c r="B537" s="276" t="s">
        <v>244</v>
      </c>
      <c r="C537" s="276" t="s">
        <v>245</v>
      </c>
      <c r="F537" s="274"/>
      <c r="G537" s="274"/>
    </row>
    <row r="538" customFormat="false" ht="21" hidden="false" customHeight="true" outlineLevel="0" collapsed="false">
      <c r="B538" s="277" t="s">
        <v>252</v>
      </c>
      <c r="C538" s="277" t="s">
        <v>253</v>
      </c>
      <c r="F538" s="274"/>
      <c r="G538" s="274"/>
    </row>
    <row r="539" customFormat="false" ht="21" hidden="false" customHeight="true" outlineLevel="0" collapsed="false">
      <c r="B539" s="278" t="s">
        <v>259</v>
      </c>
      <c r="C539" s="278" t="s">
        <v>260</v>
      </c>
      <c r="F539" s="274"/>
      <c r="G539" s="274"/>
    </row>
    <row r="540" customFormat="false" ht="21" hidden="false" customHeight="true" outlineLevel="0" collapsed="false">
      <c r="B540" s="279" t="s">
        <v>263</v>
      </c>
      <c r="C540" s="279" t="s">
        <v>264</v>
      </c>
      <c r="F540" s="274"/>
      <c r="G540" s="274"/>
    </row>
    <row r="541" customFormat="false" ht="16.5" hidden="false" customHeight="true" outlineLevel="0" collapsed="false">
      <c r="B541" s="280" t="s">
        <v>272</v>
      </c>
      <c r="C541" s="280" t="s">
        <v>273</v>
      </c>
      <c r="F541" s="274"/>
      <c r="G541" s="274"/>
    </row>
    <row r="542" customFormat="false" ht="21" hidden="false" customHeight="true" outlineLevel="0" collapsed="false">
      <c r="F542" s="274"/>
      <c r="G542" s="274"/>
    </row>
    <row r="543" customFormat="false" ht="15" hidden="false" customHeight="true" outlineLevel="0" collapsed="false">
      <c r="B543" s="1" t="s">
        <v>1602</v>
      </c>
    </row>
    <row r="545" customFormat="false" ht="21" hidden="false" customHeight="true" outlineLevel="0" collapsed="false"/>
    <row r="546" customFormat="false" ht="16.5" hidden="false" customHeight="true" outlineLevel="0" collapsed="false">
      <c r="B546" s="259" t="s">
        <v>1603</v>
      </c>
    </row>
    <row r="547" customFormat="false" ht="21" hidden="false" customHeight="true" outlineLevel="0" collapsed="false"/>
    <row r="548" customFormat="false" ht="21" hidden="false" customHeight="true" outlineLevel="0" collapsed="false">
      <c r="B548" s="1" t="s">
        <v>1604</v>
      </c>
    </row>
    <row r="549" customFormat="false" ht="21" hidden="false" customHeight="true" outlineLevel="0" collapsed="false">
      <c r="B549" s="1" t="s">
        <v>1605</v>
      </c>
    </row>
    <row r="550" customFormat="false" ht="21" hidden="false" customHeight="true" outlineLevel="0" collapsed="false">
      <c r="B550" s="1" t="s">
        <v>1606</v>
      </c>
    </row>
    <row r="551" customFormat="false" ht="21" hidden="false" customHeight="true" outlineLevel="0" collapsed="false">
      <c r="B551" s="1" t="s">
        <v>1607</v>
      </c>
    </row>
    <row r="552" customFormat="false" ht="21" hidden="false" customHeight="true" outlineLevel="0" collapsed="false">
      <c r="B552" s="1" t="s">
        <v>1608</v>
      </c>
    </row>
    <row r="553" customFormat="false" ht="21" hidden="false" customHeight="true" outlineLevel="0" collapsed="false">
      <c r="B553" s="1" t="s">
        <v>1609</v>
      </c>
    </row>
    <row r="554" customFormat="false" ht="21" hidden="false" customHeight="true" outlineLevel="0" collapsed="false">
      <c r="B554" s="1" t="s">
        <v>1610</v>
      </c>
    </row>
    <row r="555" customFormat="false" ht="15" hidden="false" customHeight="true" outlineLevel="0" collapsed="false">
      <c r="B555" s="1" t="s">
        <v>1611</v>
      </c>
    </row>
    <row r="556" customFormat="false" ht="21" hidden="false" customHeight="true" outlineLevel="0" collapsed="false"/>
    <row r="557" customFormat="false" ht="21" hidden="false" customHeight="true" outlineLevel="0" collapsed="false">
      <c r="B557" s="1" t="s">
        <v>1612</v>
      </c>
    </row>
    <row r="558" customFormat="false" ht="21" hidden="false" customHeight="true" outlineLevel="0" collapsed="false">
      <c r="B558" s="272" t="s">
        <v>1613</v>
      </c>
    </row>
    <row r="559" customFormat="false" ht="21" hidden="false" customHeight="true" outlineLevel="0" collapsed="false">
      <c r="B559" s="272" t="s">
        <v>1614</v>
      </c>
    </row>
    <row r="560" customFormat="false" ht="21" hidden="false" customHeight="true" outlineLevel="0" collapsed="false">
      <c r="B560" s="272" t="s">
        <v>1615</v>
      </c>
    </row>
    <row r="561" customFormat="false" ht="15.75" hidden="false" customHeight="true" outlineLevel="0" collapsed="false">
      <c r="B561" s="272" t="s">
        <v>1616</v>
      </c>
    </row>
    <row r="562" customFormat="false" ht="21" hidden="false" customHeight="true" outlineLevel="0" collapsed="false"/>
    <row r="563" customFormat="false" ht="15" hidden="false" customHeight="true" outlineLevel="0" collapsed="false">
      <c r="B563" s="1" t="s">
        <v>1617</v>
      </c>
    </row>
    <row r="564" customFormat="false" ht="21" hidden="false" customHeight="true" outlineLevel="0" collapsed="false"/>
    <row r="565" customFormat="false" ht="21" hidden="false" customHeight="true" outlineLevel="0" collapsed="false">
      <c r="B565" s="260" t="s">
        <v>1618</v>
      </c>
      <c r="C565" s="260" t="s">
        <v>657</v>
      </c>
    </row>
    <row r="566" customFormat="false" ht="21" hidden="false" customHeight="true" outlineLevel="0" collapsed="false">
      <c r="B566" s="1" t="s">
        <v>1619</v>
      </c>
      <c r="C566" s="1" t="s">
        <v>1620</v>
      </c>
    </row>
    <row r="567" customFormat="false" ht="21" hidden="false" customHeight="true" outlineLevel="0" collapsed="false">
      <c r="B567" s="1" t="s">
        <v>1621</v>
      </c>
      <c r="C567" s="1" t="s">
        <v>1622</v>
      </c>
    </row>
    <row r="568" customFormat="false" ht="21" hidden="false" customHeight="true" outlineLevel="0" collapsed="false">
      <c r="B568" s="1" t="s">
        <v>1623</v>
      </c>
      <c r="C568" s="1" t="s">
        <v>1624</v>
      </c>
    </row>
    <row r="569" customFormat="false" ht="15" hidden="false" customHeight="true" outlineLevel="0" collapsed="false">
      <c r="B569" s="1" t="s">
        <v>1625</v>
      </c>
      <c r="C569" s="1" t="s">
        <v>1626</v>
      </c>
    </row>
    <row r="570" customFormat="false" ht="21" hidden="false" customHeight="true" outlineLevel="0" collapsed="false"/>
    <row r="571" customFormat="false" ht="21" hidden="false" customHeight="true" outlineLevel="0" collapsed="false">
      <c r="B571" s="1" t="s">
        <v>1627</v>
      </c>
    </row>
    <row r="572" customFormat="false" ht="15.75" hidden="false" customHeight="true" outlineLevel="0" collapsed="false">
      <c r="B572" s="272" t="s">
        <v>1628</v>
      </c>
    </row>
    <row r="573" customFormat="false" ht="21" hidden="false" customHeight="true" outlineLevel="0" collapsed="false"/>
    <row r="574" customFormat="false" ht="21" hidden="false" customHeight="true" outlineLevel="0" collapsed="false">
      <c r="B574" s="1" t="s">
        <v>1629</v>
      </c>
    </row>
    <row r="575" customFormat="false" ht="15" hidden="false" customHeight="true" outlineLevel="0" collapsed="false">
      <c r="B575" s="1" t="s">
        <v>1630</v>
      </c>
    </row>
    <row r="576" customFormat="false" ht="21" hidden="false" customHeight="true" outlineLevel="0" collapsed="false"/>
    <row r="577" customFormat="false" ht="15" hidden="false" customHeight="true" outlineLevel="0" collapsed="false">
      <c r="B577" s="1" t="s">
        <v>1631</v>
      </c>
    </row>
    <row r="578" customFormat="false" ht="21" hidden="false" customHeight="true" outlineLevel="0" collapsed="false"/>
    <row r="579" customFormat="false" ht="21" hidden="false" customHeight="true" outlineLevel="0" collapsed="false">
      <c r="B579" s="272" t="s">
        <v>1632</v>
      </c>
    </row>
    <row r="580" customFormat="false" ht="21" hidden="false" customHeight="true" outlineLevel="0" collapsed="false">
      <c r="B580" s="272" t="s">
        <v>1633</v>
      </c>
    </row>
    <row r="581" customFormat="false" ht="21" hidden="false" customHeight="true" outlineLevel="0" collapsed="false">
      <c r="B581" s="272" t="s">
        <v>1634</v>
      </c>
    </row>
    <row r="582" customFormat="false" ht="15.75" hidden="false" customHeight="true" outlineLevel="0" collapsed="false">
      <c r="B582" s="272" t="s">
        <v>1635</v>
      </c>
    </row>
    <row r="583" customFormat="false" ht="21" hidden="false" customHeight="true" outlineLevel="0" collapsed="false"/>
    <row r="584" customFormat="false" ht="15" hidden="false" customHeight="true" outlineLevel="0" collapsed="false">
      <c r="B584" s="1" t="s">
        <v>1636</v>
      </c>
    </row>
    <row r="585" customFormat="false" ht="21" hidden="false" customHeight="true" outlineLevel="0" collapsed="false"/>
    <row r="586" customFormat="false" ht="21" hidden="false" customHeight="true" outlineLevel="0" collapsed="false">
      <c r="B586" s="272" t="s">
        <v>1637</v>
      </c>
    </row>
    <row r="587" customFormat="false" ht="21" hidden="false" customHeight="true" outlineLevel="0" collapsed="false">
      <c r="B587" s="272" t="s">
        <v>1638</v>
      </c>
    </row>
    <row r="588" customFormat="false" ht="15.75" hidden="false" customHeight="true" outlineLevel="0" collapsed="false">
      <c r="B588" s="272" t="s">
        <v>1639</v>
      </c>
    </row>
    <row r="590" customFormat="false" ht="15" hidden="false" customHeight="true" outlineLevel="0" collapsed="false">
      <c r="A590" s="155" t="s">
        <v>1227</v>
      </c>
      <c r="B590" s="146" t="s">
        <v>1640</v>
      </c>
    </row>
    <row r="591" customFormat="false" ht="15" hidden="false" customHeight="true" outlineLevel="0" collapsed="false">
      <c r="A591" s="155" t="s">
        <v>1229</v>
      </c>
      <c r="B591" s="155" t="s">
        <v>1641</v>
      </c>
    </row>
    <row r="593" customFormat="false" ht="24" hidden="false" customHeight="true" outlineLevel="0" collapsed="false">
      <c r="B593" s="258" t="s">
        <v>1642</v>
      </c>
    </row>
    <row r="595" customFormat="false" ht="15" hidden="false" customHeight="true" outlineLevel="0" collapsed="false">
      <c r="B595" s="155" t="s">
        <v>1643</v>
      </c>
    </row>
    <row r="597" customFormat="false" ht="15" hidden="false" customHeight="true" outlineLevel="0" collapsed="false">
      <c r="B597" s="260" t="s">
        <v>1644</v>
      </c>
    </row>
    <row r="598" customFormat="false" ht="15" hidden="false" customHeight="true" outlineLevel="0" collapsed="false">
      <c r="B598" s="260" t="s">
        <v>1645</v>
      </c>
    </row>
    <row r="599" customFormat="false" ht="15" hidden="false" customHeight="true" outlineLevel="0" collapsed="false">
      <c r="B599" s="260" t="s">
        <v>1646</v>
      </c>
    </row>
    <row r="600" customFormat="false" ht="15" hidden="false" customHeight="true" outlineLevel="0" collapsed="false">
      <c r="B600" s="260" t="s">
        <v>1647</v>
      </c>
    </row>
    <row r="602" customFormat="false" ht="15" hidden="false" customHeight="true" outlineLevel="0" collapsed="false">
      <c r="B602" s="155" t="s">
        <v>1648</v>
      </c>
    </row>
    <row r="604" customFormat="false" ht="15" hidden="false" customHeight="true" outlineLevel="0" collapsed="false">
      <c r="B604" s="155" t="s">
        <v>1649</v>
      </c>
    </row>
    <row r="606" customFormat="false" ht="15" hidden="false" customHeight="true" outlineLevel="0" collapsed="false">
      <c r="B606" s="155" t="s">
        <v>1650</v>
      </c>
    </row>
    <row r="608" customFormat="false" ht="15" hidden="false" customHeight="true" outlineLevel="0" collapsed="false">
      <c r="B608" s="260" t="s">
        <v>1651</v>
      </c>
    </row>
    <row r="609" customFormat="false" ht="15" hidden="false" customHeight="true" outlineLevel="0" collapsed="false">
      <c r="B609" s="260" t="s">
        <v>1652</v>
      </c>
    </row>
    <row r="611" customFormat="false" ht="24" hidden="false" customHeight="true" outlineLevel="0" collapsed="false">
      <c r="B611" s="258" t="s">
        <v>1653</v>
      </c>
    </row>
    <row r="613" customFormat="false" ht="15" hidden="false" customHeight="true" outlineLevel="0" collapsed="false">
      <c r="B613" s="155" t="s">
        <v>1654</v>
      </c>
    </row>
    <row r="615" customFormat="false" ht="15" hidden="false" customHeight="true" outlineLevel="0" collapsed="false">
      <c r="B615" s="155" t="s">
        <v>1655</v>
      </c>
    </row>
    <row r="617" customFormat="false" ht="15" hidden="false" customHeight="true" outlineLevel="0" collapsed="false">
      <c r="B617" s="155" t="s">
        <v>1656</v>
      </c>
    </row>
    <row r="619" customFormat="false" ht="15" hidden="false" customHeight="true" outlineLevel="0" collapsed="false">
      <c r="B619" s="260" t="s">
        <v>1657</v>
      </c>
    </row>
    <row r="620" customFormat="false" ht="15" hidden="false" customHeight="true" outlineLevel="0" collapsed="false">
      <c r="B620" s="260" t="s">
        <v>1658</v>
      </c>
    </row>
    <row r="621" customFormat="false" ht="15" hidden="false" customHeight="true" outlineLevel="0" collapsed="false">
      <c r="B621" s="260" t="s">
        <v>1659</v>
      </c>
    </row>
    <row r="623" customFormat="false" ht="15" hidden="false" customHeight="true" outlineLevel="0" collapsed="false">
      <c r="B623" s="155" t="s">
        <v>1660</v>
      </c>
    </row>
    <row r="625" customFormat="false" ht="24" hidden="false" customHeight="true" outlineLevel="0" collapsed="false">
      <c r="B625" s="258" t="s">
        <v>1661</v>
      </c>
    </row>
    <row r="627" customFormat="false" ht="15" hidden="false" customHeight="true" outlineLevel="0" collapsed="false">
      <c r="B627" s="155" t="s">
        <v>1662</v>
      </c>
    </row>
    <row r="629" customFormat="false" ht="15" hidden="false" customHeight="true" outlineLevel="0" collapsed="false">
      <c r="B629" s="260" t="s">
        <v>1663</v>
      </c>
    </row>
    <row r="630" customFormat="false" ht="15" hidden="false" customHeight="true" outlineLevel="0" collapsed="false">
      <c r="B630" s="260" t="s">
        <v>1664</v>
      </c>
    </row>
    <row r="632" customFormat="false" ht="15" hidden="false" customHeight="true" outlineLevel="0" collapsed="false">
      <c r="B632" s="155" t="s">
        <v>1665</v>
      </c>
    </row>
    <row r="634" customFormat="false" ht="15" hidden="false" customHeight="true" outlineLevel="0" collapsed="false">
      <c r="B634" s="155" t="s">
        <v>1666</v>
      </c>
    </row>
    <row r="638" customFormat="false" ht="15" hidden="false" customHeight="true" outlineLevel="0" collapsed="false">
      <c r="B638" s="155" t="s">
        <v>1667</v>
      </c>
    </row>
    <row r="640" customFormat="false" ht="15" hidden="false" customHeight="true" outlineLevel="0" collapsed="false">
      <c r="B640" s="260" t="s">
        <v>1668</v>
      </c>
    </row>
    <row r="641" customFormat="false" ht="15" hidden="false" customHeight="true" outlineLevel="0" collapsed="false">
      <c r="B641" s="260" t="s">
        <v>1669</v>
      </c>
    </row>
    <row r="643" customFormat="false" ht="15" hidden="false" customHeight="true" outlineLevel="0" collapsed="false">
      <c r="B643" s="155" t="s">
        <v>1670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2026-09-21T13:00:47Z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