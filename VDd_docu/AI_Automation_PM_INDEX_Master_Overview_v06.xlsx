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lient Journey" sheetId="2" state="visible" r:id="rId4"/>
    <sheet name="Phase Cycle Overview" sheetId="3" state="visible" r:id="rId5"/>
    <sheet name="File Index" sheetId="4" state="visible" r:id="rId6"/>
    <sheet name="Handoff Map" sheetId="5" state="visible" r:id="rId7"/>
    <sheet name="Package Logic Snapshot" sheetId="6" state="visible" r:id="rId8"/>
    <sheet name="Mini 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<sst xmlns="http://schemas.openxmlformats.org/spreadsheetml/2006/main" count="732" uniqueCount="594">
  <si>
    <t xml:space="preserve">AI Automation Managed Services — Master Overview / Index (v3)</t>
  </si>
  <si>
    <t xml:space="preserve">One navigation and control file for the full PM lifecycle. Covers the 6-phase project cycle plus pre-engagement (Fit Check, Kickoff) and post-engagement (Retrospective) lifecycle tools, cross-phase tools (Decision Log, Risk Register), helpers (Pricing, Workflows Library), and client deliverable templates. v3 updated 2026-06-28.</t>
  </si>
  <si>
    <t xml:space="preserve">Step</t>
  </si>
  <si>
    <t xml:space="preserve">What to do</t>
  </si>
  <si>
    <t xml:space="preserve">Use which file</t>
  </si>
  <si>
    <t xml:space="preserve">Output</t>
  </si>
  <si>
    <t xml:space="preserve">0a</t>
  </si>
  <si>
    <t xml:space="preserve">Triage every prospect BEFORE committing time. Run the Fit Check to filter bad-fit projects.</t>
  </si>
  <si>
    <t xml:space="preserve">PhaseX_Project_Client_Fit_Check</t>
  </si>
  <si>
    <t xml:space="preserve">Verdict: GOOD FIT / PROCEED WITH CAUTION / DECLINE</t>
  </si>
  <si>
    <t xml:space="preserve">0b</t>
  </si>
  <si>
    <t xml:space="preserve">For approved prospects, capture kickoff info and pre-populate the framework.</t>
  </si>
  <si>
    <t xml:space="preserve">PhaseX_Project_Kickoff_Wizard</t>
  </si>
  <si>
    <t xml:space="preserve">Project Card + Pre-Population Map across files</t>
  </si>
  <si>
    <t xml:space="preserve">1</t>
  </si>
  <si>
    <t xml:space="preserve">Collect client needs, risks, channels, sensitive areas. Use English or German tab.</t>
  </si>
  <si>
    <t xml:space="preserve">Phase1_Discovery_MASTER (v5 EN-DE)</t>
  </si>
  <si>
    <t xml:space="preserve">Discovery findings + internal package indication</t>
  </si>
  <si>
    <t xml:space="preserve">2</t>
  </si>
  <si>
    <t xml:space="preserve">Move selected findings into Phase 2. Decide what's in MVP, Later, or Excluded.</t>
  </si>
  <si>
    <t xml:space="preserve">Phase2_Scope_MVP_Design</t>
  </si>
  <si>
    <t xml:space="preserve">Approved MVP scope</t>
  </si>
  <si>
    <t xml:space="preserve">3</t>
  </si>
  <si>
    <t xml:space="preserve">Design exact workflow, tools, data fields, routing, approvals, security.</t>
  </si>
  <si>
    <t xml:space="preserve">Phase3_Solution_Blueprint</t>
  </si>
  <si>
    <t xml:space="preserve">Build-ready blueprint</t>
  </si>
  <si>
    <t xml:space="preserve">4</t>
  </si>
  <si>
    <t xml:space="preserve">Build the MVP modules. Configure prompts, credentials, logs, error handling.</t>
  </si>
  <si>
    <t xml:space="preserve">Phase4_MVP_Build</t>
  </si>
  <si>
    <t xml:space="preserve">Working MVP</t>
  </si>
  <si>
    <t xml:space="preserve">5</t>
  </si>
  <si>
    <t xml:space="preserve">Test normal, edge, sensitive, wrong-classification, and tool-failure cases.</t>
  </si>
  <si>
    <t xml:space="preserve">Phase5_Testing_Validation</t>
  </si>
  <si>
    <t xml:space="preserve">Go / No-Go decision</t>
  </si>
  <si>
    <t xml:space="preserve">6</t>
  </si>
  <si>
    <t xml:space="preserve">Launch, monitor, support, report monthly. Improve as managed service.</t>
  </si>
  <si>
    <t xml:space="preserve">Phase6_GoLive_Managed_Service</t>
  </si>
  <si>
    <t xml:space="preserve">Live managed automation service</t>
  </si>
  <si>
    <t xml:space="preserve">7</t>
  </si>
  <si>
    <t xml:space="preserve">Manage client-facing deliverables, approval gates, and external IP boundaries.</t>
  </si>
  <si>
    <t xml:space="preserve">Phase7_Client_Communication_Deliverables</t>
  </si>
  <si>
    <t xml:space="preserve">Approval gates passed + IP guarded</t>
  </si>
  <si>
    <t xml:space="preserve">∞a</t>
  </si>
  <si>
    <t xml:space="preserve">Log every key decision and risk as they happen — not at end of phase.</t>
  </si>
  <si>
    <t xml:space="preserve">PhaseX_Decision_Log_Risk_Register</t>
  </si>
  <si>
    <t xml:space="preserve">Documented decisions/risks; cross-phase traceability</t>
  </si>
  <si>
    <t xml:space="preserve">∞b</t>
  </si>
  <si>
    <t xml:space="preserve">Reference for workflow examples, decision-tree templates, Mermaid diagrams.</t>
  </si>
  <si>
    <t xml:space="preserve">Helper_Example_Workflows_Library</t>
  </si>
  <si>
    <t xml:space="preserve">Reusable workflow patterns</t>
  </si>
  <si>
    <t xml:space="preserve">∞c</t>
  </si>
  <si>
    <t xml:space="preserve">Compute setup + monthly quotes; ROI calculator; sanity checks.</t>
  </si>
  <si>
    <t xml:space="preserve">Helper_Pricing_Calculator (v6)</t>
  </si>
  <si>
    <t xml:space="preserve">Validated quote ready for client</t>
  </si>
  <si>
    <t xml:space="preserve">∞d</t>
  </si>
  <si>
    <t xml:space="preserve">Generate client deliverable Word documents from phase data via AI.</t>
  </si>
  <si>
    <t xml:space="preserve">5 Word templates + AI_Fill_Prompt_Guide.docx</t>
  </si>
  <si>
    <t xml:space="preserve">Polished client-facing documents (PDF or DOCX)</t>
  </si>
  <si>
    <t xml:space="preserve">∞e</t>
  </si>
  <si>
    <t xml:space="preserve">Identify the correct automation category for the client's primary process. Validate package direction and align discovery and pricing inputs.</t>
  </si>
  <si>
    <t xml:space="preserve">Helper_Automation_Category_Reference</t>
  </si>
  <si>
    <t xml:space="preserve">Automation category confirmed; package direction and complexity adders aligned</t>
  </si>
  <si>
    <t xml:space="preserve">7+</t>
  </si>
  <si>
    <t xml:space="preserve">Run within 1-2 weeks of go-live. Capture lessons. Feed into next project.</t>
  </si>
  <si>
    <t xml:space="preserve">PhaseX_Project_Retrospective</t>
  </si>
  <si>
    <t xml:space="preserve">Lessons learned + framework improvement ideas</t>
  </si>
  <si>
    <t xml:space="preserve">Color legend (this index)</t>
  </si>
  <si>
    <t xml:space="preserve">Green</t>
  </si>
  <si>
    <t xml:space="preserve">Project-phase steps (Phase 1-7) — sequential workflow</t>
  </si>
  <si>
    <t xml:space="preserve">Purple</t>
  </si>
  <si>
    <t xml:space="preserve">Pre / Post-engagement lifecycle tools — bookend the project</t>
  </si>
  <si>
    <t xml:space="preserve">Yellow</t>
  </si>
  <si>
    <t xml:space="preserve">Throughout — cross-phase tools used continuously</t>
  </si>
  <si>
    <t xml:space="preserve">Grey</t>
  </si>
  <si>
    <t xml:space="preserve">Reference / fixed guidance</t>
  </si>
  <si>
    <t xml:space="preserve">Client Journey — end to end, with the exact file at each step</t>
  </si>
  <si>
    <t xml:space="preserve">Answers 'what do we do, and with which file' in one place. Built from: DOCU - Pricing Logic (pricing-state rules), Handoff Map + Phase Cycle Overview (phase spine), vd_site/_docs/README-FITCHECK.md (site mechanics), and confirmed answers in chat. Colour = stage family, matches START HERE's own legend where it overlaps. Version numbers below are the ones confirmed current as of this build — re-check before trusting blindly; that discipline is the actual point of this sheet.</t>
  </si>
  <si>
    <t xml:space="preserve">Stage</t>
  </si>
  <si>
    <t xml:space="preserve">Trigger / when</t>
  </si>
  <si>
    <t xml:space="preserve">Tool (file, current version)</t>
  </si>
  <si>
    <t xml:space="preserve">Client deliverable (docx)</t>
  </si>
  <si>
    <t xml:space="preserve">What comes out</t>
  </si>
  <si>
    <t xml:space="preserve">Pricing state</t>
  </si>
  <si>
    <t xml:space="preserve">Notes / gate</t>
  </si>
  <si>
    <t xml:space="preserve">0</t>
  </si>
  <si>
    <t xml:space="preserve">Lead arrives</t>
  </si>
  <si>
    <t xml:space="preserve">Prospect finds vortexdeep.ch or comes via referral/cold outreach</t>
  </si>
  <si>
    <t xml:space="preserve">Website Fit Check — live at vortexdeep.ch/check (code + config.json, not a file in this repo)</t>
  </si>
  <si>
    <t xml:space="preserve">—</t>
  </si>
  <si>
    <t xml:space="preserve">Visitor gets a tagline only. Team gets an email: bucket (lead/warm/other) + profile (FireFight/Refine/Build/Optimize)</t>
  </si>
  <si>
    <t xml:space="preserve">None</t>
  </si>
  <si>
    <t xml:space="preserve">Deliberately generic — confirmed: never assumed reliable or complete. Referral/cold leads skip this step entirely and enter at Step 2.</t>
  </si>
  <si>
    <t xml:space="preserve">Pre-engagement</t>
  </si>
  <si>
    <t xml:space="preserve">A site Fit Check email arrived</t>
  </si>
  <si>
    <t xml:space="preserve">0_VortexDeep_Internal_FitCheck_Prep_Note_TEMPLATE_v01.docx</t>
  </si>
  <si>
    <t xml:space="preserve">— (internal only — never rename into client set, never emailed)</t>
  </si>
  <si>
    <t xml:space="preserve">Bucket + profile + the client-facing tagline pasted in, ready for Step 2</t>
  </si>
  <si>
    <t xml:space="preserve">Skip this step entirely if the lead did not come through the site.</t>
  </si>
  <si>
    <t xml:space="preserve">Before saying yes to any prospect — site-sourced or not</t>
  </si>
  <si>
    <t xml:space="preserve">AI_Automation_PM_PhaseX_Project_Client_Fit_Check_v03.xlsx</t>
  </si>
  <si>
    <t xml:space="preserve">— (internal)</t>
  </si>
  <si>
    <t xml:space="preserve">GOOD FIT / PROCEED WITH CAUTION / DECLINE + a starting-from package</t>
  </si>
  <si>
    <t xml:space="preserve">Starting-from package only — no number yet (DOCU-Pricing Logic: 'before discovery, no real price')</t>
  </si>
  <si>
    <t xml:space="preserve">Confirmed: inbound/site leads have a HIGHER failure rate than referrals — do not skip this for a "warm" site lead.</t>
  </si>
  <si>
    <t xml:space="preserve">Fit Check verdict = GOOD FIT</t>
  </si>
  <si>
    <t xml:space="preserve">AI_Automation_PM_PhaseX_Project_Kickoff_Wizard_P123_v03.xlsx</t>
  </si>
  <si>
    <t xml:space="preserve">Project Card; pre-populates Phase 1-7 files and the Quote Calculator client name/package cells</t>
  </si>
  <si>
    <t xml:space="preserve">Unchanged</t>
  </si>
  <si>
    <t xml:space="preserve">Pre-Population Map inside this file tells you exactly which cell in which downstream file to paste into.</t>
  </si>
  <si>
    <t xml:space="preserve">Phase 1 — Discovery</t>
  </si>
  <si>
    <t xml:space="preserve">Kickoff complete</t>
  </si>
  <si>
    <t xml:space="preserve">AI_Automation_PM_Phase1_Discovery_MASTER_v08.xlsx</t>
  </si>
  <si>
    <t xml:space="preserve">1_VortexDeep_Discovery_Summary_TEMPLATE_v01.docx</t>
  </si>
  <si>
    <t xml:space="preserve">Real findings: pain, channels, risks, sensitive areas, package indication</t>
  </si>
  <si>
    <t xml:space="preserve">Rough price DIRECTION (a range, stated as approximate)</t>
  </si>
  <si>
    <t xml:space="preserve">v06 of this file also exists in the repo — superseded, safe to archive/delete.</t>
  </si>
  <si>
    <t xml:space="preserve">Phase 2 — Scope / MVP</t>
  </si>
  <si>
    <t xml:space="preserve">Discovery findings are complete enough</t>
  </si>
  <si>
    <t xml:space="preserve">AI_Automation_PM_Phase2_Scope_MVP_Design_v03.xlsx  +  AI_Automation_PM_Helper_Pricing_Calculator_v28.xlsx (Quote Calculator, fully filled in)</t>
  </si>
  <si>
    <t xml:space="preserve">2_VortexDeep_MVP_Scope_Confirmation_TEMPLATE_v02.docx</t>
  </si>
  <si>
    <t xml:space="preserve">Approved MVP scope, in/out boundaries</t>
  </si>
  <si>
    <t xml:space="preserve">PROPOSED QUOTE — this is the step DOCU-Pricing Logic names as "where you fill the Quote Calculator"</t>
  </si>
  <si>
    <t xml:space="preserve">v01 of the docx template also exists — v02 supersedes it. Six near-duplicate "v28-N" pricing-calculator files exist from this session — keep only the highest-numbered one, confirmed identical in content to the plain v28.</t>
  </si>
  <si>
    <t xml:space="preserve">Phase 3 — Blueprint</t>
  </si>
  <si>
    <t xml:space="preserve">MVP scope approved</t>
  </si>
  <si>
    <t xml:space="preserve">AI_Automation_PM_Phase3_Solution_Blueprint_v03.xlsx  +  AI_Automation_PM_Helper_Licence_Ownership_Pricing_v01.xlsx (Managed vs Licence decision)</t>
  </si>
  <si>
    <t xml:space="preserve">3_VortexDeep_Solution_Blueprint_Summary_TEMPLATE_v01.docx</t>
  </si>
  <si>
    <t xml:space="preserve">Build-ready design: workflow, routing, tools, security, access model</t>
  </si>
  <si>
    <t xml:space="preserve">CONFIRMED FINAL OFFER</t>
  </si>
  <si>
    <t xml:space="preserve">Access model (Managed / Licence) is finalised here — never Build-and-Transfer, at any tier (IP_and_Licensing_Policy_v01).</t>
  </si>
  <si>
    <t xml:space="preserve">Phase 4 — Build</t>
  </si>
  <si>
    <t xml:space="preserve">Blueprint signed off</t>
  </si>
  <si>
    <t xml:space="preserve">AI_Automation_PM_Phase4_MVP_Build_v03.xlsx</t>
  </si>
  <si>
    <t xml:space="preserve">None currently defined</t>
  </si>
  <si>
    <t xml:space="preserve">Working MVP automation</t>
  </si>
  <si>
    <t xml:space="preserve">Unchanged from confirmed offer</t>
  </si>
  <si>
    <t xml:space="preserve">GAP: no client-facing deliverable template exists between Blueprint (3_) and Test Results (4_) — confirm this is deliberate (nothing to show mid-build) or a real hole.</t>
  </si>
  <si>
    <t xml:space="preserve">8</t>
  </si>
  <si>
    <t xml:space="preserve">Phase 5 — Testing</t>
  </si>
  <si>
    <t xml:space="preserve">Build complete enough to test</t>
  </si>
  <si>
    <t xml:space="preserve">AI_Automation_PM_Phase5_Testing_Validation_v03.xlsx</t>
  </si>
  <si>
    <t xml:space="preserve">4_VortexDeep_Test_Results_Summary_TEMPLATE_v01.docx</t>
  </si>
  <si>
    <t xml:space="preserve">Unchanged, unless a change request was raised</t>
  </si>
  <si>
    <t xml:space="preserve">Note the docx is numbered "4_" but belongs after Phase 5, not Phase 4 — numbering families are not the same sequence, by design of the original index.</t>
  </si>
  <si>
    <t xml:space="preserve">9</t>
  </si>
  <si>
    <t xml:space="preserve">Phase 6 — Go-Live</t>
  </si>
  <si>
    <t xml:space="preserve">Go decision accepted</t>
  </si>
  <si>
    <t xml:space="preserve">AI_Automation_PM_Phase6_GoLive_Managed_Service_v03.xlsx  +  AI_Automation_PM_Helper_ROI_UI_Calculator_v00.xlsx (ongoing value proof)</t>
  </si>
  <si>
    <t xml:space="preserve">5_VortexDeep_Monthly_Service_Report_TEMPLATE_v01.docx (recurring, monthly)</t>
  </si>
  <si>
    <t xml:space="preserve">Live automation; monthly review cycle begins</t>
  </si>
  <si>
    <t xml:space="preserve">Recurring managed fee per the confirmed offer</t>
  </si>
  <si>
    <t xml:space="preserve">Docx numbered "5_" belongs with Phase 6, same offset as Step 8.</t>
  </si>
  <si>
    <t xml:space="preserve">∞</t>
  </si>
  <si>
    <t xml:space="preserve">Throughout</t>
  </si>
  <si>
    <t xml:space="preserve">Every phase</t>
  </si>
  <si>
    <t xml:space="preserve">AI_Automation_PM_Phase7_Client_Communication_Deliverables_v04.xlsx  +  AI_Automation_PM_PhaseX_Decision_Log_Risk_Register_v02.xlsx  +  0_VortexDeep_AI_Fill_Prompt_Guide_v01-2.docx</t>
  </si>
  <si>
    <t xml:space="preserve">— (reference, not a gate)</t>
  </si>
  <si>
    <t xml:space="preserve">Approval-gate rules, IP boundaries, decision/risk trail, AI-assisted deliverable drafting</t>
  </si>
  <si>
    <t xml:space="preserve">n/a</t>
  </si>
  <si>
    <t xml:space="preserve">v03 of the Phase 7 file also exists — v04 supersedes it (removed a Build-and-Transfer row that contradicted policy).</t>
  </si>
  <si>
    <t xml:space="preserve">+1</t>
  </si>
  <si>
    <t xml:space="preserve">Post-engagement</t>
  </si>
  <si>
    <t xml:space="preserve">1-2 weeks after go-live</t>
  </si>
  <si>
    <t xml:space="preserve">AI_Automation_PM_PhaseX_Project_Retrospective_v02.xlsx</t>
  </si>
  <si>
    <t xml:space="preserve">Lessons learned, pattern archive, profitability check</t>
  </si>
  <si>
    <t xml:space="preserve">Feeds back into Company Targeting Wedge Selection and the pattern catalogue.</t>
  </si>
  <si>
    <t xml:space="preserve">COMPANY-LEVEL (not part of one client’s journey — referenced periodically)</t>
  </si>
  <si>
    <t xml:space="preserve">Which segment to target</t>
  </si>
  <si>
    <t xml:space="preserve">AI_Automation_PM_Company_Targeting_Wedge_Selection_v02.xlsx</t>
  </si>
  <si>
    <t xml:space="preserve">Revisit when choosing/changing the beachhead segment</t>
  </si>
  <si>
    <t xml:space="preserve">Company financial plan</t>
  </si>
  <si>
    <t xml:space="preserve">AI_Automation_PM_Company_Financial_Model_v01.xlsx</t>
  </si>
  <si>
    <t xml:space="preserve">Built from Pricing Calculator v27 — needs a refresh now that v28 corrects the underlying quotes (v27 undercounted AI-generation and extra-channel adders, so client revenue assumptions here are likely too low)</t>
  </si>
  <si>
    <t xml:space="preserve">Break-even sanity check</t>
  </si>
  <si>
    <t xml:space="preserve">AI_Automation_PM_Helper_Pricing_Calculator_v28.xlsx → 'Break-Even &amp; Runway' sheet</t>
  </si>
  <si>
    <t xml:space="preserve">Quick check against deck claims; the full Financial Model above is the fuller version</t>
  </si>
  <si>
    <t xml:space="preserve">Navigation hub</t>
  </si>
  <si>
    <t xml:space="preserve">AI_Automation_PM_INDEX_Master_Overview_v06.xlsx (this file)</t>
  </si>
  <si>
    <t xml:space="preserve">File Index sheet + this Client Journey sheet</t>
  </si>
  <si>
    <t xml:space="preserve">Project Lifecycle Overview (Pre → 6 Phases + 7 → Post)</t>
  </si>
  <si>
    <t xml:space="preserve">The 6 working phases are the project spine. Pre/Post-engagement and Throughout-rows show the lifecycle tools that wrap around them.</t>
  </si>
  <si>
    <t xml:space="preserve">Name</t>
  </si>
  <si>
    <t xml:space="preserve">Main Question</t>
  </si>
  <si>
    <t xml:space="preserve">Main Activity</t>
  </si>
  <si>
    <t xml:space="preserve">Primary Output</t>
  </si>
  <si>
    <t xml:space="preserve">Input From Previous</t>
  </si>
  <si>
    <t xml:space="preserve">Client-facing?</t>
  </si>
  <si>
    <t xml:space="preserve">Risk Focus</t>
  </si>
  <si>
    <t xml:space="preserve">Next Stage Trigger</t>
  </si>
  <si>
    <t xml:space="preserve">Fit-check / Kickoff</t>
  </si>
  <si>
    <t xml:space="preserve">Should we take this project? And if yes, kick off cleanly.</t>
  </si>
  <si>
    <t xml:space="preserve">Run Fit Check on prospect; Kickoff Wizard for approved projects.</t>
  </si>
  <si>
    <t xml:space="preserve">GOOD-FIT verdict + Project Card</t>
  </si>
  <si>
    <t xml:space="preserve">Lead / inquiry / referral</t>
  </si>
  <si>
    <t xml:space="preserve">Internal</t>
  </si>
  <si>
    <t xml:space="preserve">Bad-fit clients; messy starts</t>
  </si>
  <si>
    <t xml:space="preserve">Verdict = GOOD FIT and Kickoff Card complete</t>
  </si>
  <si>
    <t xml:space="preserve">Phase 1</t>
  </si>
  <si>
    <t xml:space="preserve">Discovery / Analysis</t>
  </si>
  <si>
    <t xml:space="preserve">What does the client need?</t>
  </si>
  <si>
    <t xml:space="preserve">Interview, collect facts, identify processes, channels, data sources, risks, pains, flags.</t>
  </si>
  <si>
    <t xml:space="preserve">Discovery answers + product flags + package indication</t>
  </si>
  <si>
    <t xml:space="preserve">Pre-engagement Project Card</t>
  </si>
  <si>
    <t xml:space="preserve">Mostly internal + client interview</t>
  </si>
  <si>
    <t xml:space="preserve">Do not promise solution too early</t>
  </si>
  <si>
    <t xml:space="preserve">Discovery findings complete enough</t>
  </si>
  <si>
    <t xml:space="preserve">Phase 2</t>
  </si>
  <si>
    <t xml:space="preserve">Scope / MVP Design</t>
  </si>
  <si>
    <t xml:space="preserve">What exactly do we build first?</t>
  </si>
  <si>
    <t xml:space="preserve">Convert findings into MVP scope: Yes / Later / No.</t>
  </si>
  <si>
    <t xml:space="preserve">Approved MVP scope and boundaries</t>
  </si>
  <si>
    <t xml:space="preserve">Phase 1 findings + flags</t>
  </si>
  <si>
    <t xml:space="preserve">Can be summarized to client</t>
  </si>
  <si>
    <t xml:space="preserve">Prevent scope creep</t>
  </si>
  <si>
    <t xml:space="preserve">Phase 3</t>
  </si>
  <si>
    <t xml:space="preserve">Solution Blueprint</t>
  </si>
  <si>
    <t xml:space="preserve">How will the automation work?</t>
  </si>
  <si>
    <t xml:space="preserve">Design workflow, data fields, routing, tools, approvals, security.</t>
  </si>
  <si>
    <t xml:space="preserve">Phase 2 scope decisions</t>
  </si>
  <si>
    <t xml:space="preserve">Partly client-facing</t>
  </si>
  <si>
    <t xml:space="preserve">Access, data, approval, fallback logic</t>
  </si>
  <si>
    <t xml:space="preserve">Phase 4</t>
  </si>
  <si>
    <t xml:space="preserve">MVP Build</t>
  </si>
  <si>
    <t xml:space="preserve">Can we build the first working version?</t>
  </si>
  <si>
    <t xml:space="preserve">Implement modules, prompts, credentials, CRM, logs, errors.</t>
  </si>
  <si>
    <t xml:space="preserve">Phase 3 blueprint</t>
  </si>
  <si>
    <t xml:space="preserve">Mostly internal</t>
  </si>
  <si>
    <t xml:space="preserve">No hardcoded keys; safe build</t>
  </si>
  <si>
    <t xml:space="preserve">MVP ready for testing</t>
  </si>
  <si>
    <t xml:space="preserve">Phase 5</t>
  </si>
  <si>
    <t xml:space="preserve">Testing / Validation</t>
  </si>
  <si>
    <t xml:space="preserve">Is it safe and reliable?</t>
  </si>
  <si>
    <t xml:space="preserve">Test cases, AI validation, edge cases, errors, escalation.</t>
  </si>
  <si>
    <t xml:space="preserve">Phase 4 working MVP</t>
  </si>
  <si>
    <t xml:space="preserve">Can include client UAT</t>
  </si>
  <si>
    <t xml:space="preserve">Wrong classification, auto-action risk</t>
  </si>
  <si>
    <t xml:space="preserve">Phase 6</t>
  </si>
  <si>
    <t xml:space="preserve">Go-live / Managed Service</t>
  </si>
  <si>
    <t xml:space="preserve">Can it run as a service?</t>
  </si>
  <si>
    <t xml:space="preserve">Launch, monitor, support, report, improve.</t>
  </si>
  <si>
    <t xml:space="preserve">Live managed service</t>
  </si>
  <si>
    <t xml:space="preserve">Phase 5 approval</t>
  </si>
  <si>
    <t xml:space="preserve">Yes</t>
  </si>
  <si>
    <t xml:space="preserve">Operations, monitoring, rollback</t>
  </si>
  <si>
    <t xml:space="preserve">Service stable for ≥1 month</t>
  </si>
  <si>
    <t xml:space="preserve">Phase 7</t>
  </si>
  <si>
    <t xml:space="preserve">Client Comms &amp; Deliverables</t>
  </si>
  <si>
    <t xml:space="preserve">Is the client always seeing the right version?</t>
  </si>
  <si>
    <t xml:space="preserve">Manage approval gates, IP boundaries, deliverable consistency.</t>
  </si>
  <si>
    <t xml:space="preserve">Outputs from every phase</t>
  </si>
  <si>
    <t xml:space="preserve">Yes — all client-facing artifacts</t>
  </si>
  <si>
    <t xml:space="preserve">Leakage of internal IP; gate skips</t>
  </si>
  <si>
    <t xml:space="preserve">Used continuously, not phase-gated</t>
  </si>
  <si>
    <t xml:space="preserve">Cross-phase tools</t>
  </si>
  <si>
    <t xml:space="preserve">Are decisions, risks, pricing, and workflow patterns captured cleanly?</t>
  </si>
  <si>
    <t xml:space="preserve">Update Decision Log + Risk Register as events happen. Use Pricing &amp; Workflows helpers as needed.</t>
  </si>
  <si>
    <t xml:space="preserve">Documented decisions/risks; valid quotes</t>
  </si>
  <si>
    <t xml:space="preserve">Events from every phase</t>
  </si>
  <si>
    <t xml:space="preserve">Internal (mostly)</t>
  </si>
  <si>
    <t xml:space="preserve">Undocumented decisions; forgotten risks</t>
  </si>
  <si>
    <t xml:space="preserve">Continuous — no end trigger</t>
  </si>
  <si>
    <t xml:space="preserve">Retrospective</t>
  </si>
  <si>
    <t xml:space="preserve">What did we learn? What changes for next project?</t>
  </si>
  <si>
    <t xml:space="preserve">Run within 1-2 weeks of go-live. Fill Retrospective sheet + Archive.</t>
  </si>
  <si>
    <t xml:space="preserve">Lessons + framework improvements</t>
  </si>
  <si>
    <t xml:space="preserve">Closed project</t>
  </si>
  <si>
    <t xml:space="preserve">Patterns hidden by skipped retros</t>
  </si>
  <si>
    <t xml:space="preserve">Retro complete and lessons logged</t>
  </si>
  <si>
    <t xml:space="preserve">Framework File Index (21 files)</t>
  </si>
  <si>
    <t xml:space="preserve">All files in the AI Automation PM framework, grouped by lifecycle role. Filenames use the convention: INDEX for the navigation hub; Phase1-7 for sequential client phases; PhaseX for cross-phase, per-client tools; Company for firm-level (not per-client) tools; Helper for reference/calculation workbooks; numbered 1_ to 5_ for Word client deliverables. (Phase0 was retired -- it conflated the navigation hub with firm-level tools; see the two renames below.)</t>
  </si>
  <si>
    <t xml:space="preserve">Category</t>
  </si>
  <si>
    <t xml:space="preserve">File</t>
  </si>
  <si>
    <t xml:space="preserve">Purpose</t>
  </si>
  <si>
    <t xml:space="preserve">Format</t>
  </si>
  <si>
    <t xml:space="preserve">When used</t>
  </si>
  <si>
    <t xml:space="preserve">Status</t>
  </si>
  <si>
    <t xml:space="preserve">Index</t>
  </si>
  <si>
    <t xml:space="preserve">AI_Automation_PM_INDEX_Master_Overview</t>
  </si>
  <si>
    <t xml:space="preserve">Navigation hub for the framework. Lifecycle overview, file index, dashboard.</t>
  </si>
  <si>
    <t xml:space="preserve">xlsx</t>
  </si>
  <si>
    <t xml:space="preserve">Always open — your map</t>
  </si>
  <si>
    <t xml:space="preserve">In Use</t>
  </si>
  <si>
    <t xml:space="preserve">AI_Automation_PM_PhaseX_Project_Client_Fit_Check</t>
  </si>
  <si>
    <t xml:space="preserve">10-question triage. GOOD FIT / PROCEED WITH CAUTION / DECLINE verdict.</t>
  </si>
  <si>
    <t xml:space="preserve">Before saying yes to a prospect</t>
  </si>
  <si>
    <t xml:space="preserve">AI_Automation_PM_PhaseX_Project_Kickoff_Wizard_P1-2-3</t>
  </si>
  <si>
    <t xml:space="preserve">20-question intake. Project Card + Pre-Population Map for all files.</t>
  </si>
  <si>
    <t xml:space="preserve">After fit-check passes, before Phase 1</t>
  </si>
  <si>
    <t xml:space="preserve">AI_Automation_PM_Phase1_Discovery_MASTER_v6_EN-DE</t>
  </si>
  <si>
    <t xml:space="preserve">Discovery interview tools — English + German tabs.</t>
  </si>
  <si>
    <t xml:space="preserve">First client meeting + analysis</t>
  </si>
  <si>
    <t xml:space="preserve">AI_Automation_PM_Phase2_Scope_MVP_Design_v3</t>
  </si>
  <si>
    <t xml:space="preserve">MVP scope, priority scoring, in/out decisions.</t>
  </si>
  <si>
    <t xml:space="preserve">After discovery, before blueprint</t>
  </si>
  <si>
    <t xml:space="preserve">AI_Automation_PM_Phase3_Solution_Blueprint_v2</t>
  </si>
  <si>
    <t xml:space="preserve">Workflow design, routing rules, tools, security.</t>
  </si>
  <si>
    <t xml:space="preserve">After scope approval</t>
  </si>
  <si>
    <t xml:space="preserve">AI_Automation_PM_Phase4_MVP_Build_v2</t>
  </si>
  <si>
    <t xml:space="preserve">Build tracking — backlog, modules, prompts, credentials.</t>
  </si>
  <si>
    <t xml:space="preserve">During build</t>
  </si>
  <si>
    <t xml:space="preserve">AI_Automation_PM_Phase5_Testing_Validation_v2</t>
  </si>
  <si>
    <t xml:space="preserve">Test matrix, defect log, Go/No-Go checklist.</t>
  </si>
  <si>
    <t xml:space="preserve">After build complete</t>
  </si>
  <si>
    <t xml:space="preserve">AI_Automation_PM_Phase6_GoLive_Managed_Service_v2</t>
  </si>
  <si>
    <t xml:space="preserve">Go-live checklist, operations log, monthly review.</t>
  </si>
  <si>
    <t xml:space="preserve">Launch onwards (recurring)</t>
  </si>
  <si>
    <t xml:space="preserve">AI_Automation_PM_Phase7_Client_Communication_Deliverables_v2</t>
  </si>
  <si>
    <t xml:space="preserve">Approval gates, IP boundaries, deliverable policy.</t>
  </si>
  <si>
    <t xml:space="preserve">Throughout — reference for client comms</t>
  </si>
  <si>
    <t xml:space="preserve">AI_Automation_PM_PhaseX_Decision_Log_Risk_Register</t>
  </si>
  <si>
    <t xml:space="preserve">Decision Log + Risk Register with L×I → Risk Level.</t>
  </si>
  <si>
    <t xml:space="preserve">Update as events happen — all phases</t>
  </si>
  <si>
    <t xml:space="preserve">Helper</t>
  </si>
  <si>
    <t xml:space="preserve">AI_Automation_PM_Helper_Pricing_Calculator_v10</t>
  </si>
  <si>
    <t xml:space="preserve">Quote calculator, ROI tool, package reference, sanity checks.</t>
  </si>
  <si>
    <t xml:space="preserve">After Phase 1 / 2 for indicative quote</t>
  </si>
  <si>
    <t xml:space="preserve">AI_Automation_PM_Helper_Example_Workflows_Library</t>
  </si>
  <si>
    <t xml:space="preserve">Workflow patterns, Mermaid diagrams, decision-tree templates.</t>
  </si>
  <si>
    <t xml:space="preserve">Phase 3 design reference</t>
  </si>
  <si>
    <t xml:space="preserve">AI_Automation_PM_Helper_Automation_Category_Reference (= vd-pattern-catalogue)</t>
  </si>
  <si>
    <t xml:space="preserve">Now built as the Pattern Catalogue: 4 groups / 19 sub-processes, every example, each with a Scope boundary. Confirms category direction during discovery. Lives in _VDAIA_Processes.</t>
  </si>
  <si>
    <t xml:space="preserve">docx/pdf</t>
  </si>
  <si>
    <t xml:space="preserve">Phase 1–2 (category confirmation); reference throughout</t>
  </si>
  <si>
    <t xml:space="preserve">Deliverable</t>
  </si>
  <si>
    <t xml:space="preserve">1_Discovery_Summary_TEMPLATE</t>
  </si>
  <si>
    <t xml:space="preserve">Word template — Discovery output for client.</t>
  </si>
  <si>
    <t xml:space="preserve">docx</t>
  </si>
  <si>
    <t xml:space="preserve">After Phase 1</t>
  </si>
  <si>
    <t xml:space="preserve">2_MVP_Scope_Confirmation_TEMPLATE</t>
  </si>
  <si>
    <t xml:space="preserve">Word template — MVP scope approval gate.</t>
  </si>
  <si>
    <t xml:space="preserve">After Phase 2</t>
  </si>
  <si>
    <t xml:space="preserve">3_Solution_Blueprint_Summary_TEMPLATE</t>
  </si>
  <si>
    <t xml:space="preserve">Word template — Blueprint approval gate.</t>
  </si>
  <si>
    <t xml:space="preserve">After Phase 3</t>
  </si>
  <si>
    <t xml:space="preserve">4_Test_Results_Summary_TEMPLATE</t>
  </si>
  <si>
    <t xml:space="preserve">Word template — Go/No-Go gate.</t>
  </si>
  <si>
    <t xml:space="preserve">After Phase 5</t>
  </si>
  <si>
    <t xml:space="preserve">5_Monthly_Service_Report_TEMPLATE</t>
  </si>
  <si>
    <t xml:space="preserve">Word template — Recurring managed-service report.</t>
  </si>
  <si>
    <t xml:space="preserve">Monthly during Phase 6</t>
  </si>
  <si>
    <t xml:space="preserve">AI_Fill_Prompt_Guide</t>
  </si>
  <si>
    <t xml:space="preserve">Reference for generating client deliverables from Excel data via AI.</t>
  </si>
  <si>
    <t xml:space="preserve">Whenever a deliverable needs generating</t>
  </si>
  <si>
    <t xml:space="preserve">AI_Automation_PM_PhaseX_Project_Retrospective</t>
  </si>
  <si>
    <t xml:space="preserve">Project retrospective + pattern analysis archive.</t>
  </si>
  <si>
    <t xml:space="preserve">1-2 weeks post go-live</t>
  </si>
  <si>
    <t xml:space="preserve">File Count Summary (auto)</t>
  </si>
  <si>
    <t xml:space="preserve">Total files</t>
  </si>
  <si>
    <t xml:space="preserve">Excel workbooks (xlsx)</t>
  </si>
  <si>
    <t xml:space="preserve">Word documents (docx)</t>
  </si>
  <si>
    <t xml:space="preserve">Currently in use</t>
  </si>
  <si>
    <t xml:space="preserve">Not used yet</t>
  </si>
  <si>
    <t xml:space="preserve">Skipped / archived / N/A</t>
  </si>
  <si>
    <t xml:space="preserve">Company</t>
  </si>
  <si>
    <t xml:space="preserve">AI_Automation_PM_Company_Financial_Model_v01</t>
  </si>
  <si>
    <t xml:space="preserve">Full company model: P&amp;L, cash flow, cap table, valuation. Needs refresh from v28 pricing (built on v27).</t>
  </si>
  <si>
    <t xml:space="preserve">Fundraising prep, periodic review</t>
  </si>
  <si>
    <t xml:space="preserve">In Use — needs refresh</t>
  </si>
  <si>
    <t xml:space="preserve">AI_Automation_PM_Helper_Licence_Ownership_Pricing_v01</t>
  </si>
  <si>
    <t xml:space="preserve">Standalone Licence vs Managed pricing extract.</t>
  </si>
  <si>
    <t xml:space="preserve">Phase 3 access-model decision</t>
  </si>
  <si>
    <t xml:space="preserve">AI_Automation_PM_Helper_ROI_UI_Calculator_v00</t>
  </si>
  <si>
    <t xml:space="preserve">Client-facing ROI proof, UI-friendly variant.</t>
  </si>
  <si>
    <t xml:space="preserve">Phase 6, ongoing value conversations</t>
  </si>
  <si>
    <t xml:space="preserve">HOUSEKEEPING</t>
  </si>
  <si>
    <t xml:space="preserve">Delete from repo (superseded, confirmed by content, not just filename)</t>
  </si>
  <si>
    <t xml:space="preserve">• AI_Automation_PM_Helper_Pricing_Calculator v11 through v27, and v28-0 through v28-4 (six near-duplicates from one editing session — content-checked identical except for the final save)</t>
  </si>
  <si>
    <t xml:space="preserve">• AI_Automation_PM_Phase1_Discovery_MASTER_v06 (superseded by v08)</t>
  </si>
  <si>
    <t xml:space="preserve">• AI_Automation_PM_PhaseX_Project_Client_Fit_Check_v02 (superseded by v03)</t>
  </si>
  <si>
    <t xml:space="preserve">• AI_Automation_PM_PhaseX_Project_Kickoff_Wizard_P123_v02 (superseded by v03)</t>
  </si>
  <si>
    <t xml:space="preserve">• AI_Automation_PM_Phase7_Client_Communication_Deliverables_v03 (superseded by v04)</t>
  </si>
  <si>
    <t xml:space="preserve">• AI_Automation_PM_Company_Targeting_Wedge_Selection_v01, and v02-0 (superseded by v02-1 / v02)</t>
  </si>
  <si>
    <t xml:space="preserve">• 2_VortexDeep_MVP_Scope_Confirmation_TEMPLATE_v01 (superseded by v02)</t>
  </si>
  <si>
    <t xml:space="preserve">RENAMED (this build): Phase0_Master_Overview_Index -&gt; INDEX_Master_Overview; Phase0_Targeting_Wedge_Selection -&gt; Company_Targeting_Wedge_Selection</t>
  </si>
  <si>
    <t xml:space="preserve">Stage-to-Stage Handoff Map</t>
  </si>
  <si>
    <t xml:space="preserve">What flows from one stage to the next. The PM Control Action column shows how to keep the handoff clean (the #1 cause of project friction is bad handoffs).</t>
  </si>
  <si>
    <t xml:space="preserve">From</t>
  </si>
  <si>
    <t xml:space="preserve">To</t>
  </si>
  <si>
    <t xml:space="preserve">Transfer These Outputs</t>
  </si>
  <si>
    <t xml:space="preserve">Why It Matters</t>
  </si>
  <si>
    <t xml:space="preserve">Decision Gate</t>
  </si>
  <si>
    <t xml:space="preserve">Common Mistake</t>
  </si>
  <si>
    <t xml:space="preserve">PM Control Action</t>
  </si>
  <si>
    <t xml:space="preserve">Client Involvement</t>
  </si>
  <si>
    <t xml:space="preserve">Lead / inquiry</t>
  </si>
  <si>
    <t xml:space="preserve">Initial contact info + first impression of fit.</t>
  </si>
  <si>
    <t xml:space="preserve">Pre-screening saves wasted time on bad fits.</t>
  </si>
  <si>
    <t xml:space="preserve">Worth investing in fit check?</t>
  </si>
  <si>
    <t xml:space="preserve">Skipping the fit check on "easy" leads.</t>
  </si>
  <si>
    <t xml:space="preserve">Run the Fit Check before sending pricing.</t>
  </si>
  <si>
    <t xml:space="preserve">Low</t>
  </si>
  <si>
    <t xml:space="preserve">Project Card + Pre-Population values for kickoff data.</t>
  </si>
  <si>
    <t xml:space="preserve">Phase 1 starts informed, not from scratch.</t>
  </si>
  <si>
    <t xml:space="preserve">Fit Check = GOOD FIT and Kickoff Card filled?</t>
  </si>
  <si>
    <t xml:space="preserve">Starting discovery before kickoff is captured.</t>
  </si>
  <si>
    <t xml:space="preserve">Use Pre-Population Map; fill Master Index Mini Dashboard.</t>
  </si>
  <si>
    <t xml:space="preserve">Needs, channels, pain points, risks, product flags, package indication.</t>
  </si>
  <si>
    <t xml:space="preserve">Scope must come from real client answers.</t>
  </si>
  <si>
    <t xml:space="preserve">Enough facts to define MVP.</t>
  </si>
  <si>
    <t xml:space="preserve">Jumping directly to tool choice.</t>
  </si>
  <si>
    <t xml:space="preserve">Convert every key finding into Yes/Later/No decision.</t>
  </si>
  <si>
    <t xml:space="preserve">Medium</t>
  </si>
  <si>
    <t xml:space="preserve">Approved MVP, exclusions, boundaries, approval rules.</t>
  </si>
  <si>
    <t xml:space="preserve">Blueprint must not exceed agreed MVP.</t>
  </si>
  <si>
    <t xml:space="preserve">MVP scope is stable.</t>
  </si>
  <si>
    <t xml:space="preserve">Adding extra features during design.</t>
  </si>
  <si>
    <t xml:space="preserve">Use In/Out Scope matrix as control.</t>
  </si>
  <si>
    <t xml:space="preserve">Low / Medium</t>
  </si>
  <si>
    <t xml:space="preserve">Workflow steps, tools, data map, routing, security, monitoring design.</t>
  </si>
  <si>
    <t xml:space="preserve">Build team needs exact instructions.</t>
  </si>
  <si>
    <t xml:space="preserve">Blueprint signed off.</t>
  </si>
  <si>
    <t xml:space="preserve">Building without error handling or key plan.</t>
  </si>
  <si>
    <t xml:space="preserve">Do build checklist before implementation.</t>
  </si>
  <si>
    <t xml:space="preserve">Working modules, prompts, credentials setup, logs, known limits.</t>
  </si>
  <si>
    <t xml:space="preserve">Testing must cover real implementation.</t>
  </si>
  <si>
    <t xml:space="preserve">Build complete enough to test.</t>
  </si>
  <si>
    <t xml:space="preserve">Only testing happy path.</t>
  </si>
  <si>
    <t xml:space="preserve">Prepare edge / sensitive / error cases.</t>
  </si>
  <si>
    <t xml:space="preserve">Medium / High for UAT</t>
  </si>
  <si>
    <t xml:space="preserve">Passed tests, defects closed, go/no-go, launch constraints.</t>
  </si>
  <si>
    <t xml:space="preserve">Launch only when risks are controlled.</t>
  </si>
  <si>
    <t xml:space="preserve">Go decision accepted.</t>
  </si>
  <si>
    <t xml:space="preserve">Launching with unresolved critical defects.</t>
  </si>
  <si>
    <t xml:space="preserve">Use Go-live checklist + rollback plan.</t>
  </si>
  <si>
    <t xml:space="preserve">High</t>
  </si>
  <si>
    <t xml:space="preserve">Improvement cycle</t>
  </si>
  <si>
    <t xml:space="preserve">Monitoring results, monthly review, client feedback, failures, new needs.</t>
  </si>
  <si>
    <t xml:space="preserve">Managed service improves over time.</t>
  </si>
  <si>
    <t xml:space="preserve">Monthly review completed.</t>
  </si>
  <si>
    <t xml:space="preserve">Uncontrolled changes after launch.</t>
  </si>
  <si>
    <t xml:space="preserve">Use improvement backlog and change control.</t>
  </si>
  <si>
    <t xml:space="preserve">Final outcome, profitability, lessons, scope-creep history.</t>
  </si>
  <si>
    <t xml:space="preserve">Retros are how the framework gets sharper.</t>
  </si>
  <si>
    <t xml:space="preserve">Project is ≥1-2 weeks past go-live.</t>
  </si>
  <si>
    <t xml:space="preserve">Skipping the retro — "I'll remember."</t>
  </si>
  <si>
    <t xml:space="preserve">Run within 1-2 weeks; archive every retro.</t>
  </si>
  <si>
    <t xml:space="preserve">None (internal)</t>
  </si>
  <si>
    <t xml:space="preserve">PhaseX Decision Log</t>
  </si>
  <si>
    <t xml:space="preserve">Key decisions + reasoning + reversibility.</t>
  </si>
  <si>
    <t xml:space="preserve">Avoids "why did we decide that?" debates 3 months later.</t>
  </si>
  <si>
    <t xml:space="preserve">Whenever a notable decision is made.</t>
  </si>
  <si>
    <t xml:space="preserve">Logging only big decisions; small ones matter too.</t>
  </si>
  <si>
    <t xml:space="preserve">Update same-day; don't wait for phase end.</t>
  </si>
  <si>
    <t xml:space="preserve">PhaseX Risk Register</t>
  </si>
  <si>
    <t xml:space="preserve">Risk + likelihood × impact + mitigation + owner.</t>
  </si>
  <si>
    <t xml:space="preserve">Risks tracked = risks managed.</t>
  </si>
  <si>
    <t xml:space="preserve">Whenever a risk surfaces.</t>
  </si>
  <si>
    <t xml:space="preserve">Vague risks ("AI quality") instead of specific.</t>
  </si>
  <si>
    <t xml:space="preserve">Be specific. Set status. Cross-link to Defect Log when realised.</t>
  </si>
  <si>
    <t xml:space="preserve">Internal Package Logic Snapshot — aligned with Pricing Calculator</t>
  </si>
  <si>
    <t xml:space="preserve">Package names match Pricing Calculator's Package Reference exactly, so Phase 1 Quick Diagnostic outputs feed cleanly into the Quote Calculator without translation.</t>
  </si>
  <si>
    <t xml:space="preserve">Package</t>
  </si>
  <si>
    <t xml:space="preserve">Typical Use</t>
  </si>
  <si>
    <t xml:space="preserve">Discovery Triggers</t>
  </si>
  <si>
    <t xml:space="preserve">Automation Methods</t>
  </si>
  <si>
    <t xml:space="preserve">Human Approval</t>
  </si>
  <si>
    <t xml:space="preserve">Risk Boundary</t>
  </si>
  <si>
    <t xml:space="preserve">Good MVP Fit?</t>
  </si>
  <si>
    <t xml:space="preserve">Typical Output</t>
  </si>
  <si>
    <t xml:space="preserve">Notes</t>
  </si>
  <si>
    <t xml:space="preserve">Basic Intake</t>
  </si>
  <si>
    <t xml:space="preserve">Email/forms intake, rule-based routing, booking link, simple folders. Also: document or order notification routing to correct folder or owner; appointment request forwarding; basic data capture from web forms to a log.</t>
  </si>
  <si>
    <t xml:space="preserve">One/two channels or data sources; highly repetitive process; no AI needed; client simply needs it sorted, routed, and logged — nothing more.</t>
  </si>
  <si>
    <t xml:space="preserve">Rule-based routing; labels/folders; simple log.</t>
  </si>
  <si>
    <t xml:space="preserve">Optional</t>
  </si>
  <si>
    <t xml:space="preserve">No AI; no destructive action.</t>
  </si>
  <si>
    <t xml:space="preserve">Very good</t>
  </si>
  <si>
    <t xml:space="preserve">Classified and routed inquiries.</t>
  </si>
  <si>
    <t xml:space="preserve">Smallest entry point. Often a stepping-stone to Basic+.</t>
  </si>
  <si>
    <t xml:space="preserve">Basic+ AI Triage</t>
  </si>
  <si>
    <t xml:space="preserve">AI classification + CRM/Notion log + folder routing + draft support. Also: AI field extraction from invoices or intake forms; auto-categorisation of expenses or support tickets; lead scoring from inbound form data.</t>
  </si>
  <si>
    <t xml:space="preserve">Same as Basic, but client wants AI to classify, extract, or score — whether the input is a message, a document, a form, or a data record. Single input type; single AI action; human approves or reviews output.</t>
  </si>
  <si>
    <t xml:space="preserve">AI classification; CRM logging; draft preparation.</t>
  </si>
  <si>
    <t xml:space="preserve">Usually yes for first version</t>
  </si>
  <si>
    <t xml:space="preserve">No auto-send; no sensitive advice.</t>
  </si>
  <si>
    <t xml:space="preserve">Classified messages + CRM records + drafts.</t>
  </si>
  <si>
    <t xml:space="preserve">MG Red Shift-style. The sweet spot for many small businesses.</t>
  </si>
  <si>
    <t xml:space="preserve">Pro Multi-Channel</t>
  </si>
  <si>
    <t xml:space="preserve">Email + social media + AI classification + draft replies + approvals. Also: multi-source document pipeline (email + PDF + form); content repurposing and scheduling workflow; multi-step data enrichment with review gate.</t>
  </si>
  <si>
    <t xml:space="preserve">Multiple channels, data sources, or output steps; repeated patterns across them; client wants AI classification, extraction, or generation plus a structured approval step. Volume justifies the added complexity.</t>
  </si>
  <si>
    <t xml:space="preserve">AI classification; AI drafts; multi-channel triage; approval queue.</t>
  </si>
  <si>
    <t xml:space="preserve">Yes, especially outgoing replies</t>
  </si>
  <si>
    <t xml:space="preserve">No auto-send for sensitive topics.</t>
  </si>
  <si>
    <t xml:space="preserve">Good if integrations feasible</t>
  </si>
  <si>
    <t xml:space="preserve">Draft replies + central intake dashboard.</t>
  </si>
  <si>
    <t xml:space="preserve">Needs clearer channel access setup.</t>
  </si>
  <si>
    <t xml:space="preserve">Managed Operations</t>
  </si>
  <si>
    <t xml:space="preserve">Monitoring, CRM, reports, monthly improvements, ongoing support. Also: recurring KPI digest delivery; finance reconciliation runs; content calendar management; support ticket monitoring with sentiment escalation.</t>
  </si>
  <si>
    <t xml:space="preserve">Client wants reliable, recurring automation with oversight — no missed items, structured reporting, and continuous improvement. Applicable to any automation category once core deployment is stable.</t>
  </si>
  <si>
    <t xml:space="preserve">CRM workflows; reporting; reminders; audit logs; monthly optimization.</t>
  </si>
  <si>
    <t xml:space="preserve">Depends on use case</t>
  </si>
  <si>
    <t xml:space="preserve">Operational reliability and accountability.</t>
  </si>
  <si>
    <t xml:space="preserve">Good after Basic/Pro stable</t>
  </si>
  <si>
    <t xml:space="preserve">Managed operations dashboard.</t>
  </si>
  <si>
    <t xml:space="preserve">Best recurring revenue layer.</t>
  </si>
  <si>
    <t xml:space="preserve">Agentic Automation</t>
  </si>
  <si>
    <t xml:space="preserve">Calendar/CRM actions; multi-step decisions; audit and governance. Also: document approval chains with conditional branching; lead routing based on score + rep availability; scheduled financial exception checks; content publishing sequences with conditional logic.</t>
  </si>
  <si>
    <t xml:space="preserve">Client wants AI to make conditional decisions and take downstream actions — calendar, CRM, documents, finance, or content. Goes beyond classification or extraction into controlled, audited execution across multiple systems.</t>
  </si>
  <si>
    <t xml:space="preserve">Agentic calendar/CRM actions; conditional workflows; approval gates.</t>
  </si>
  <si>
    <t xml:space="preserve">Strictly required at start</t>
  </si>
  <si>
    <t xml:space="preserve">High risk if uncontrolled.</t>
  </si>
  <si>
    <t xml:space="preserve">Usually later, not first MVP</t>
  </si>
  <si>
    <t xml:space="preserve">Controlled action automation.</t>
  </si>
  <si>
    <t xml:space="preserve">Introduce only after trust &amp; testing.</t>
  </si>
  <si>
    <t xml:space="preserve">Build-and-Transfer</t>
  </si>
  <si>
    <t xml:space="preserve">Automation built in client workspace and handed over. Applicable to any automation category when client requires full IP and operational ownership post-handover.</t>
  </si>
  <si>
    <t xml:space="preserve">Client insists on full ownership and IP transfer, regardless of automation category. Commercial or legal position drives the package choice, not the automation type.</t>
  </si>
  <si>
    <t xml:space="preserve">Depends on agreed workflow; built in client's account.</t>
  </si>
  <si>
    <t xml:space="preserve">Per scope</t>
  </si>
  <si>
    <t xml:space="preserve">Client takes operational risk after handover.</t>
  </si>
  <si>
    <t xml:space="preserve">Specialist case</t>
  </si>
  <si>
    <t xml:space="preserve">Full Make scenario + documentation.</t>
  </si>
  <si>
    <t xml:space="preserve">Use 1.5x–3x setup multiplier; verify Fit Check first.</t>
  </si>
  <si>
    <t xml:space="preserve">Project Control Mini Dashboard</t>
  </si>
  <si>
    <t xml:space="preserve">Live project status — phases, dashboard fields, and cross-phase tool usage. The Kickoff Wizard's Pre-Population Map fills B4–B13 for you (rows 4-13). The 6-phase tracker stays as the project progress spine.</t>
  </si>
  <si>
    <t xml:space="preserve">Control Item</t>
  </si>
  <si>
    <t xml:space="preserve">Update When</t>
  </si>
  <si>
    <t xml:space="preserve">-</t>
  </si>
  <si>
    <t xml:space="preserve">Current Value / Notes</t>
  </si>
  <si>
    <t xml:space="preserve">Client Name</t>
  </si>
  <si>
    <t xml:space="preserve">At project start</t>
  </si>
  <si>
    <t xml:space="preserve">Project Name</t>
  </si>
  <si>
    <t xml:space="preserve">Current Phase</t>
  </si>
  <si>
    <t xml:space="preserve">Weekly or after phase gate</t>
  </si>
  <si>
    <t xml:space="preserve">Package Direction</t>
  </si>
  <si>
    <t xml:space="preserve">After Phase 1 or Phase 2</t>
  </si>
  <si>
    <t xml:space="preserve">Primary Automation Type</t>
  </si>
  <si>
    <t xml:space="preserve">After Phase 1 — select from 10 categories</t>
  </si>
  <si>
    <t xml:space="preserve">MVP Statement</t>
  </si>
  <si>
    <t xml:space="preserve">Go-live Target</t>
  </si>
  <si>
    <t xml:space="preserve">After Phase 4 or 5</t>
  </si>
  <si>
    <t xml:space="preserve">Main Risk</t>
  </si>
  <si>
    <t xml:space="preserve">Next Action</t>
  </si>
  <si>
    <t xml:space="preserve">Every meeting</t>
  </si>
  <si>
    <t xml:space="preserve">Owner</t>
  </si>
  <si>
    <t xml:space="preserve">Phase Progress Tracker (6-phase project spine)</t>
  </si>
  <si>
    <t xml:space="preserve">Update Status as each phase progresses. Start/End dates and notes are optional but useful for retrospectives.</t>
  </si>
  <si>
    <t xml:space="preserve">Phase</t>
  </si>
  <si>
    <t xml:space="preserve">Start Date</t>
  </si>
  <si>
    <t xml:space="preserve">End Date</t>
  </si>
  <si>
    <t xml:space="preserve">Notes / Open Issues</t>
  </si>
  <si>
    <t xml:space="preserve">Phase 1 — Discovery / Analysis</t>
  </si>
  <si>
    <t xml:space="preserve">Not Started</t>
  </si>
  <si>
    <t xml:space="preserve">Phase 2 — Scope / MVP Design</t>
  </si>
  <si>
    <t xml:space="preserve">Phase 3 — Solution Blueprint</t>
  </si>
  <si>
    <t xml:space="preserve">Phase 4 — MVP Build</t>
  </si>
  <si>
    <t xml:space="preserve">Phase 5 — Testing / Validation</t>
  </si>
  <si>
    <t xml:space="preserve">Phase 6 — Go-live / Managed Service</t>
  </si>
  <si>
    <t xml:space="preserve">Lifecycle Tools Status (cross-phase tool usage)</t>
  </si>
  <si>
    <t xml:space="preserve">Track which lifecycle tools have been used for THIS project. Helps ensure nothing slips between the phases.</t>
  </si>
  <si>
    <t xml:space="preserve">Tool</t>
  </si>
  <si>
    <t xml:space="preserve">Done Date</t>
  </si>
  <si>
    <t xml:space="preserve">By Whom</t>
  </si>
  <si>
    <t xml:space="preserve">Fit Check (PhaseX_Project_Client_Fit_Check)</t>
  </si>
  <si>
    <t xml:space="preserve">Pre-engagement triage; verdict logged.</t>
  </si>
  <si>
    <t xml:space="preserve">Kickoff Wizard (PhaseX_Project_Kickoff_Wizard)</t>
  </si>
  <si>
    <t xml:space="preserve">20-question intake + Project Card.</t>
  </si>
  <si>
    <t xml:space="preserve">Decision Log + Risk Register (PhaseX)</t>
  </si>
  <si>
    <t xml:space="preserve">Updated throughout the project.</t>
  </si>
  <si>
    <t xml:space="preserve">Pricing Calculator (Helper)</t>
  </si>
  <si>
    <t xml:space="preserve">Quote computed; sanity checks passed.</t>
  </si>
  <si>
    <t xml:space="preserve">Workflows Library (Helper)</t>
  </si>
  <si>
    <t xml:space="preserve">Referenced during Phase 3 design.</t>
  </si>
  <si>
    <t xml:space="preserve">Client Deliverables (5 Word templates)</t>
  </si>
  <si>
    <t xml:space="preserve">Sent at each approval gate.</t>
  </si>
  <si>
    <t xml:space="preserve">AI-Fill Prompt Guide</t>
  </si>
  <si>
    <t xml:space="preserve">Used to generate client deliverables.</t>
  </si>
  <si>
    <t xml:space="preserve">Retrospective (PhaseX_Project_Retrospective)</t>
  </si>
  <si>
    <t xml:space="preserve">Post-engagement, 1-2 weeks after go-live.</t>
  </si>
  <si>
    <t xml:space="preserve">Project at a Glance (auto-computed)</t>
  </si>
  <si>
    <t xml:space="preserve">Indicator</t>
  </si>
  <si>
    <t xml:space="preserve">Value</t>
  </si>
  <si>
    <t xml:space="preserve">Phases — Not Started</t>
  </si>
  <si>
    <t xml:space="preserve">Phases not yet begun.</t>
  </si>
  <si>
    <t xml:space="preserve">Phases — In Progress</t>
  </si>
  <si>
    <t xml:space="preserve">Phases currently underway.</t>
  </si>
  <si>
    <t xml:space="preserve">Phases — Done</t>
  </si>
  <si>
    <t xml:space="preserve">Phases completed.</t>
  </si>
  <si>
    <t xml:space="preserve">Phases — Blocked</t>
  </si>
  <si>
    <t xml:space="preserve">Phases blocked — needs resolution.</t>
  </si>
  <si>
    <t xml:space="preserve">Phases — Skipped</t>
  </si>
  <si>
    <t xml:space="preserve">Phases intentionally skipped (rare).</t>
  </si>
  <si>
    <t xml:space="preserve">Lifecycle Tools — Done</t>
  </si>
  <si>
    <t xml:space="preserve">Cross-phase tools completed.</t>
  </si>
  <si>
    <t xml:space="preserve">Lifecycle Tools — In Progress</t>
  </si>
  <si>
    <t xml:space="preserve">Currently active.</t>
  </si>
  <si>
    <t xml:space="preserve">Lifecycle Tools — Not Started</t>
  </si>
  <si>
    <t xml:space="preserve">Yet to be used.</t>
  </si>
  <si>
    <t xml:space="preserve">Dashboard fields filled</t>
  </si>
  <si>
    <t xml:space="preserve">Out of 10 dashboard fields. &lt;10 means some are blank.</t>
  </si>
  <si>
    <t xml:space="preserve">Dashboard completeness</t>
  </si>
  <si>
    <t xml:space="preserve">Empty / Partial / Complete.</t>
  </si>
  <si>
    <t xml:space="preserve">Currently in</t>
  </si>
  <si>
    <t xml:space="preserve">Derived from Phase Progress Tracker.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</si>
</sst>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2"/>
      <charset val="1"/>
    </font>
    <font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3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E4D5F4"/>
        <bgColor rgb="FFF2DCDB"/>
      </patternFill>
    </fill>
    <fill>
      <patternFill patternType="solid">
        <fgColor rgb="FFE2F0D9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DCE6F1"/>
        <bgColor rgb="FFD9EAF7"/>
      </patternFill>
    </fill>
    <fill>
      <patternFill patternType="solid">
        <fgColor rgb="FFFCE4D6"/>
        <bgColor rgb="FFF2DCDB"/>
      </patternFill>
    </fill>
    <fill>
      <patternFill patternType="solid">
        <fgColor rgb="FFD9EAF7"/>
        <bgColor rgb="FFDCE6F1"/>
      </patternFill>
    </fill>
    <fill>
      <patternFill patternType="solid">
        <fgColor theme="5" tint="0.7999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4D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CE4D6"/>
      <rgbColor rgb="FFE7E6E6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16</xdr:col>
      <xdr:colOff>553680</xdr:colOff>
      <xdr:row>13</xdr:row>
      <xdr:rowOff>48960</xdr:rowOff>
    </xdr:to>
    <xdr:pic>
      <xdr:nvPicPr>
        <xdr:cNvPr id="0" name="Graphic 2" descr=""/>
        <xdr:cNvPicPr/>
      </xdr:nvPicPr>
      <xdr:blipFill>
        <a:blip r:embed="rId1"/>
        <a:stretch/>
      </xdr:blipFill>
      <xdr:spPr>
        <a:xfrm>
          <a:off x="8469000" y="1123920"/>
          <a:ext cx="7273080" cy="443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16</xdr:col>
      <xdr:colOff>553680</xdr:colOff>
      <xdr:row>19</xdr:row>
      <xdr:rowOff>244800</xdr:rowOff>
    </xdr:to>
    <xdr:pic>
      <xdr:nvPicPr>
        <xdr:cNvPr id="1" name="Graphic 4" descr=""/>
        <xdr:cNvPicPr/>
      </xdr:nvPicPr>
      <xdr:blipFill>
        <a:blip r:embed="rId2"/>
        <a:stretch/>
      </xdr:blipFill>
      <xdr:spPr>
        <a:xfrm>
          <a:off x="8469000" y="5943600"/>
          <a:ext cx="7273080" cy="2387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6796875" defaultRowHeight="21" zeroHeight="false" outlineLevelRow="0" outlineLevelCol="0"/>
  <cols>
    <col collapsed="false" customWidth="true" hidden="false" outlineLevel="0" max="1" min="1" style="1" width="7"/>
    <col collapsed="false" customWidth="true" hidden="false" outlineLevel="0" max="4" min="2" style="1" width="34.83"/>
  </cols>
  <sheetData>
    <row r="1" customFormat="false" ht="33.75" hidden="false" customHeight="true" outlineLevel="0" collapsed="false">
      <c r="A1" s="2" t="s">
        <v>0</v>
      </c>
      <c r="B1" s="2"/>
      <c r="C1" s="2"/>
      <c r="D1" s="2"/>
    </row>
    <row r="2" customFormat="false" ht="54.75" hidden="false" customHeight="true" outlineLevel="0" collapsed="false">
      <c r="A2" s="3" t="s">
        <v>1</v>
      </c>
      <c r="B2" s="3"/>
      <c r="C2" s="3"/>
      <c r="D2" s="3"/>
    </row>
    <row r="4" customFormat="false" ht="21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3.75" hidden="false" customHeight="true" outlineLevel="0" collapsed="false">
      <c r="A5" s="5" t="s">
        <v>6</v>
      </c>
      <c r="B5" s="6" t="s">
        <v>7</v>
      </c>
      <c r="C5" s="7" t="s">
        <v>8</v>
      </c>
      <c r="D5" s="8" t="s">
        <v>9</v>
      </c>
    </row>
    <row r="6" customFormat="false" ht="33.75" hidden="false" customHeight="true" outlineLevel="0" collapsed="false">
      <c r="A6" s="5" t="s">
        <v>10</v>
      </c>
      <c r="B6" s="6" t="s">
        <v>11</v>
      </c>
      <c r="C6" s="7" t="s">
        <v>12</v>
      </c>
      <c r="D6" s="8" t="s">
        <v>13</v>
      </c>
    </row>
    <row r="7" customFormat="false" ht="33.75" hidden="false" customHeight="true" outlineLevel="0" collapsed="false">
      <c r="A7" s="9" t="s">
        <v>14</v>
      </c>
      <c r="B7" s="6" t="s">
        <v>15</v>
      </c>
      <c r="C7" s="7" t="s">
        <v>16</v>
      </c>
      <c r="D7" s="8" t="s">
        <v>17</v>
      </c>
    </row>
    <row r="8" customFormat="false" ht="33.75" hidden="false" customHeight="true" outlineLevel="0" collapsed="false">
      <c r="A8" s="9" t="s">
        <v>18</v>
      </c>
      <c r="B8" s="6" t="s">
        <v>19</v>
      </c>
      <c r="C8" s="7" t="s">
        <v>20</v>
      </c>
      <c r="D8" s="8" t="s">
        <v>21</v>
      </c>
    </row>
    <row r="9" customFormat="false" ht="33.75" hidden="false" customHeight="true" outlineLevel="0" collapsed="false">
      <c r="A9" s="9" t="s">
        <v>22</v>
      </c>
      <c r="B9" s="6" t="s">
        <v>23</v>
      </c>
      <c r="C9" s="7" t="s">
        <v>24</v>
      </c>
      <c r="D9" s="8" t="s">
        <v>25</v>
      </c>
    </row>
    <row r="10" customFormat="false" ht="33.75" hidden="false" customHeight="true" outlineLevel="0" collapsed="false">
      <c r="A10" s="9" t="s">
        <v>26</v>
      </c>
      <c r="B10" s="6" t="s">
        <v>27</v>
      </c>
      <c r="C10" s="7" t="s">
        <v>28</v>
      </c>
      <c r="D10" s="8" t="s">
        <v>29</v>
      </c>
    </row>
    <row r="11" customFormat="false" ht="33.75" hidden="false" customHeight="true" outlineLevel="0" collapsed="false">
      <c r="A11" s="9" t="s">
        <v>30</v>
      </c>
      <c r="B11" s="6" t="s">
        <v>31</v>
      </c>
      <c r="C11" s="7" t="s">
        <v>32</v>
      </c>
      <c r="D11" s="8" t="s">
        <v>33</v>
      </c>
    </row>
    <row r="12" customFormat="false" ht="33.75" hidden="false" customHeight="true" outlineLevel="0" collapsed="false">
      <c r="A12" s="9" t="s">
        <v>34</v>
      </c>
      <c r="B12" s="6" t="s">
        <v>35</v>
      </c>
      <c r="C12" s="7" t="s">
        <v>36</v>
      </c>
      <c r="D12" s="8" t="s">
        <v>37</v>
      </c>
    </row>
    <row r="13" customFormat="false" ht="33.75" hidden="false" customHeight="true" outlineLevel="0" collapsed="false">
      <c r="A13" s="9" t="s">
        <v>38</v>
      </c>
      <c r="B13" s="6" t="s">
        <v>39</v>
      </c>
      <c r="C13" s="7" t="s">
        <v>40</v>
      </c>
      <c r="D13" s="8" t="s">
        <v>41</v>
      </c>
    </row>
    <row r="14" customFormat="false" ht="33.75" hidden="false" customHeight="true" outlineLevel="0" collapsed="false">
      <c r="A14" s="10" t="s">
        <v>42</v>
      </c>
      <c r="B14" s="6" t="s">
        <v>43</v>
      </c>
      <c r="C14" s="7" t="s">
        <v>44</v>
      </c>
      <c r="D14" s="8" t="s">
        <v>45</v>
      </c>
    </row>
    <row r="15" customFormat="false" ht="33.75" hidden="false" customHeight="true" outlineLevel="0" collapsed="false">
      <c r="A15" s="10" t="s">
        <v>46</v>
      </c>
      <c r="B15" s="6" t="s">
        <v>47</v>
      </c>
      <c r="C15" s="7" t="s">
        <v>48</v>
      </c>
      <c r="D15" s="8" t="s">
        <v>49</v>
      </c>
    </row>
    <row r="16" customFormat="false" ht="33.75" hidden="false" customHeight="true" outlineLevel="0" collapsed="false">
      <c r="A16" s="10" t="s">
        <v>50</v>
      </c>
      <c r="B16" s="6" t="s">
        <v>51</v>
      </c>
      <c r="C16" s="7" t="s">
        <v>52</v>
      </c>
      <c r="D16" s="8" t="s">
        <v>53</v>
      </c>
    </row>
    <row r="17" customFormat="false" ht="33.75" hidden="false" customHeight="true" outlineLevel="0" collapsed="false">
      <c r="A17" s="10" t="s">
        <v>54</v>
      </c>
      <c r="B17" s="6" t="s">
        <v>55</v>
      </c>
      <c r="C17" s="7" t="s">
        <v>56</v>
      </c>
      <c r="D17" s="8" t="s">
        <v>57</v>
      </c>
    </row>
    <row r="18" customFormat="false" ht="33.75" hidden="false" customHeight="true" outlineLevel="0" collapsed="false">
      <c r="A18" s="10" t="s">
        <v>58</v>
      </c>
      <c r="B18" s="11" t="s">
        <v>59</v>
      </c>
      <c r="C18" s="11" t="s">
        <v>60</v>
      </c>
      <c r="D18" s="11" t="s">
        <v>61</v>
      </c>
    </row>
    <row r="19" customFormat="false" ht="33.75" hidden="false" customHeight="true" outlineLevel="0" collapsed="false">
      <c r="A19" s="5" t="s">
        <v>62</v>
      </c>
      <c r="B19" s="6" t="s">
        <v>63</v>
      </c>
      <c r="C19" s="7" t="s">
        <v>64</v>
      </c>
      <c r="D19" s="8" t="s">
        <v>65</v>
      </c>
    </row>
    <row r="21" customFormat="false" ht="21" hidden="false" customHeight="true" outlineLevel="0" collapsed="false">
      <c r="A21" s="12"/>
      <c r="B21" s="12"/>
      <c r="C21" s="12"/>
      <c r="D21" s="12"/>
    </row>
    <row r="22" customFormat="false" ht="21" hidden="false" customHeight="true" outlineLevel="0" collapsed="false">
      <c r="A22" s="13" t="s">
        <v>66</v>
      </c>
      <c r="B22" s="14"/>
      <c r="C22" s="14"/>
      <c r="D22" s="14"/>
    </row>
    <row r="23" customFormat="false" ht="21" hidden="false" customHeight="true" outlineLevel="0" collapsed="false">
      <c r="A23" s="15"/>
      <c r="B23" s="16" t="s">
        <v>67</v>
      </c>
      <c r="C23" s="15" t="s">
        <v>68</v>
      </c>
      <c r="D23" s="15"/>
    </row>
    <row r="24" customFormat="false" ht="21" hidden="false" customHeight="true" outlineLevel="0" collapsed="false">
      <c r="A24" s="17"/>
      <c r="B24" s="18" t="s">
        <v>69</v>
      </c>
      <c r="C24" s="17" t="s">
        <v>70</v>
      </c>
      <c r="D24" s="17"/>
    </row>
    <row r="25" customFormat="false" ht="21" hidden="false" customHeight="true" outlineLevel="0" collapsed="false">
      <c r="A25" s="19"/>
      <c r="B25" s="20" t="s">
        <v>71</v>
      </c>
      <c r="C25" s="19" t="s">
        <v>72</v>
      </c>
      <c r="D25" s="19"/>
    </row>
    <row r="26" customFormat="false" ht="21" hidden="false" customHeight="true" outlineLevel="0" collapsed="false">
      <c r="A26" s="21"/>
      <c r="B26" s="22" t="s">
        <v>73</v>
      </c>
      <c r="C26" s="21" t="s">
        <v>74</v>
      </c>
      <c r="D26" s="21"/>
    </row>
  </sheetData>
  <mergeCells count="2">
    <mergeCell ref="A2:D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30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5.75" hidden="false" customHeight="true" outlineLevel="0" collapsed="false">
      <c r="A1" s="23" t="s">
        <v>75</v>
      </c>
      <c r="B1" s="23"/>
      <c r="C1" s="23"/>
      <c r="D1" s="23"/>
      <c r="E1" s="23"/>
      <c r="F1" s="23"/>
      <c r="G1" s="23"/>
      <c r="H1" s="23"/>
    </row>
    <row r="2" customFormat="false" ht="43.5" hidden="false" customHeight="true" outlineLevel="0" collapsed="false">
      <c r="A2" s="24" t="s">
        <v>76</v>
      </c>
      <c r="B2" s="24"/>
      <c r="C2" s="24"/>
      <c r="D2" s="24"/>
      <c r="E2" s="24"/>
      <c r="F2" s="24"/>
      <c r="G2" s="24"/>
      <c r="H2" s="24"/>
    </row>
    <row r="3" customFormat="false" ht="15" hidden="false" customHeight="true" outlineLevel="0" collapsed="false">
      <c r="A3" s="24"/>
      <c r="B3" s="24"/>
      <c r="C3" s="24"/>
      <c r="D3" s="24"/>
      <c r="E3" s="24"/>
      <c r="F3" s="24"/>
      <c r="G3" s="24"/>
      <c r="H3" s="24"/>
    </row>
    <row r="5" customFormat="false" ht="15" hidden="false" customHeight="true" outlineLevel="0" collapsed="false">
      <c r="A5" s="25" t="s">
        <v>2</v>
      </c>
      <c r="B5" s="25" t="s">
        <v>77</v>
      </c>
      <c r="C5" s="25" t="s">
        <v>78</v>
      </c>
      <c r="D5" s="25" t="s">
        <v>79</v>
      </c>
      <c r="E5" s="25" t="s">
        <v>80</v>
      </c>
      <c r="F5" s="25" t="s">
        <v>81</v>
      </c>
      <c r="G5" s="25" t="s">
        <v>82</v>
      </c>
      <c r="H5" s="25" t="s">
        <v>83</v>
      </c>
    </row>
    <row r="6" customFormat="false" ht="95.25" hidden="false" customHeight="true" outlineLevel="0" collapsed="false">
      <c r="A6" s="26" t="s">
        <v>84</v>
      </c>
      <c r="B6" s="27" t="s">
        <v>85</v>
      </c>
      <c r="C6" s="27" t="s">
        <v>86</v>
      </c>
      <c r="D6" s="27" t="s">
        <v>87</v>
      </c>
      <c r="E6" s="27" t="s">
        <v>88</v>
      </c>
      <c r="F6" s="27" t="s">
        <v>89</v>
      </c>
      <c r="G6" s="27" t="s">
        <v>90</v>
      </c>
      <c r="H6" s="27" t="s">
        <v>91</v>
      </c>
    </row>
    <row r="7" customFormat="false" ht="54.75" hidden="false" customHeight="true" outlineLevel="0" collapsed="false">
      <c r="A7" s="28" t="s">
        <v>14</v>
      </c>
      <c r="B7" s="29" t="s">
        <v>92</v>
      </c>
      <c r="C7" s="29" t="s">
        <v>93</v>
      </c>
      <c r="D7" s="29" t="s">
        <v>94</v>
      </c>
      <c r="E7" s="29" t="s">
        <v>95</v>
      </c>
      <c r="F7" s="29" t="s">
        <v>96</v>
      </c>
      <c r="G7" s="29" t="s">
        <v>90</v>
      </c>
      <c r="H7" s="29" t="s">
        <v>97</v>
      </c>
    </row>
    <row r="8" customFormat="false" ht="95.25" hidden="false" customHeight="true" outlineLevel="0" collapsed="false">
      <c r="A8" s="28" t="s">
        <v>18</v>
      </c>
      <c r="B8" s="29" t="s">
        <v>92</v>
      </c>
      <c r="C8" s="29" t="s">
        <v>98</v>
      </c>
      <c r="D8" s="29" t="s">
        <v>99</v>
      </c>
      <c r="E8" s="29" t="s">
        <v>100</v>
      </c>
      <c r="F8" s="29" t="s">
        <v>101</v>
      </c>
      <c r="G8" s="29" t="s">
        <v>102</v>
      </c>
      <c r="H8" s="29" t="s">
        <v>103</v>
      </c>
    </row>
    <row r="9" customFormat="false" ht="68.25" hidden="false" customHeight="true" outlineLevel="0" collapsed="false">
      <c r="A9" s="28" t="s">
        <v>22</v>
      </c>
      <c r="B9" s="29" t="s">
        <v>92</v>
      </c>
      <c r="C9" s="29" t="s">
        <v>104</v>
      </c>
      <c r="D9" s="29" t="s">
        <v>105</v>
      </c>
      <c r="E9" s="29" t="s">
        <v>100</v>
      </c>
      <c r="F9" s="29" t="s">
        <v>106</v>
      </c>
      <c r="G9" s="29" t="s">
        <v>107</v>
      </c>
      <c r="H9" s="29" t="s">
        <v>108</v>
      </c>
    </row>
    <row r="10" customFormat="false" ht="54.75" hidden="false" customHeight="true" outlineLevel="0" collapsed="false">
      <c r="A10" s="30" t="s">
        <v>26</v>
      </c>
      <c r="B10" s="31" t="s">
        <v>109</v>
      </c>
      <c r="C10" s="31" t="s">
        <v>110</v>
      </c>
      <c r="D10" s="31" t="s">
        <v>111</v>
      </c>
      <c r="E10" s="31" t="s">
        <v>112</v>
      </c>
      <c r="F10" s="31" t="s">
        <v>113</v>
      </c>
      <c r="G10" s="31" t="s">
        <v>114</v>
      </c>
      <c r="H10" s="31" t="s">
        <v>115</v>
      </c>
    </row>
    <row r="11" customFormat="false" ht="108.75" hidden="false" customHeight="true" outlineLevel="0" collapsed="false">
      <c r="A11" s="30" t="s">
        <v>30</v>
      </c>
      <c r="B11" s="31" t="s">
        <v>116</v>
      </c>
      <c r="C11" s="31" t="s">
        <v>117</v>
      </c>
      <c r="D11" s="31" t="s">
        <v>118</v>
      </c>
      <c r="E11" s="31" t="s">
        <v>119</v>
      </c>
      <c r="F11" s="31" t="s">
        <v>120</v>
      </c>
      <c r="G11" s="31" t="s">
        <v>121</v>
      </c>
      <c r="H11" s="31" t="s">
        <v>122</v>
      </c>
    </row>
    <row r="12" customFormat="false" ht="68.25" hidden="false" customHeight="true" outlineLevel="0" collapsed="false">
      <c r="A12" s="30" t="s">
        <v>34</v>
      </c>
      <c r="B12" s="31" t="s">
        <v>123</v>
      </c>
      <c r="C12" s="31" t="s">
        <v>124</v>
      </c>
      <c r="D12" s="31" t="s">
        <v>125</v>
      </c>
      <c r="E12" s="31" t="s">
        <v>126</v>
      </c>
      <c r="F12" s="31" t="s">
        <v>127</v>
      </c>
      <c r="G12" s="31" t="s">
        <v>128</v>
      </c>
      <c r="H12" s="31" t="s">
        <v>129</v>
      </c>
    </row>
    <row r="13" customFormat="false" ht="54.75" hidden="false" customHeight="true" outlineLevel="0" collapsed="false">
      <c r="A13" s="30" t="s">
        <v>38</v>
      </c>
      <c r="B13" s="31" t="s">
        <v>130</v>
      </c>
      <c r="C13" s="31" t="s">
        <v>131</v>
      </c>
      <c r="D13" s="31" t="s">
        <v>132</v>
      </c>
      <c r="E13" s="31" t="s">
        <v>133</v>
      </c>
      <c r="F13" s="31" t="s">
        <v>134</v>
      </c>
      <c r="G13" s="31" t="s">
        <v>135</v>
      </c>
      <c r="H13" s="31" t="s">
        <v>136</v>
      </c>
    </row>
    <row r="14" customFormat="false" ht="54.75" hidden="false" customHeight="true" outlineLevel="0" collapsed="false">
      <c r="A14" s="30" t="s">
        <v>137</v>
      </c>
      <c r="B14" s="31" t="s">
        <v>138</v>
      </c>
      <c r="C14" s="31" t="s">
        <v>139</v>
      </c>
      <c r="D14" s="31" t="s">
        <v>140</v>
      </c>
      <c r="E14" s="31" t="s">
        <v>141</v>
      </c>
      <c r="F14" s="31" t="s">
        <v>33</v>
      </c>
      <c r="G14" s="31" t="s">
        <v>142</v>
      </c>
      <c r="H14" s="31" t="s">
        <v>143</v>
      </c>
    </row>
    <row r="15" customFormat="false" ht="54.75" hidden="false" customHeight="true" outlineLevel="0" collapsed="false">
      <c r="A15" s="30" t="s">
        <v>144</v>
      </c>
      <c r="B15" s="31" t="s">
        <v>145</v>
      </c>
      <c r="C15" s="31" t="s">
        <v>146</v>
      </c>
      <c r="D15" s="31" t="s">
        <v>147</v>
      </c>
      <c r="E15" s="31" t="s">
        <v>148</v>
      </c>
      <c r="F15" s="31" t="s">
        <v>149</v>
      </c>
      <c r="G15" s="31" t="s">
        <v>150</v>
      </c>
      <c r="H15" s="31" t="s">
        <v>151</v>
      </c>
    </row>
    <row r="16" customFormat="false" ht="81.75" hidden="false" customHeight="true" outlineLevel="0" collapsed="false">
      <c r="A16" s="32" t="s">
        <v>152</v>
      </c>
      <c r="B16" s="33" t="s">
        <v>153</v>
      </c>
      <c r="C16" s="33" t="s">
        <v>154</v>
      </c>
      <c r="D16" s="33" t="s">
        <v>155</v>
      </c>
      <c r="E16" s="33" t="s">
        <v>156</v>
      </c>
      <c r="F16" s="33" t="s">
        <v>157</v>
      </c>
      <c r="G16" s="33" t="s">
        <v>158</v>
      </c>
      <c r="H16" s="33" t="s">
        <v>159</v>
      </c>
    </row>
    <row r="17" customFormat="false" ht="41.25" hidden="false" customHeight="true" outlineLevel="0" collapsed="false">
      <c r="A17" s="34" t="s">
        <v>160</v>
      </c>
      <c r="B17" s="35" t="s">
        <v>161</v>
      </c>
      <c r="C17" s="35" t="s">
        <v>162</v>
      </c>
      <c r="D17" s="35" t="s">
        <v>163</v>
      </c>
      <c r="E17" s="35" t="s">
        <v>100</v>
      </c>
      <c r="F17" s="35" t="s">
        <v>164</v>
      </c>
      <c r="G17" s="35" t="s">
        <v>158</v>
      </c>
      <c r="H17" s="35" t="s">
        <v>165</v>
      </c>
    </row>
    <row r="19" customFormat="false" ht="15" hidden="false" customHeight="true" outlineLevel="0" collapsed="false">
      <c r="A19" s="36" t="s">
        <v>166</v>
      </c>
      <c r="B19" s="36"/>
      <c r="C19" s="36"/>
      <c r="D19" s="36"/>
      <c r="E19" s="36"/>
      <c r="F19" s="36"/>
      <c r="G19" s="36"/>
      <c r="H19" s="36"/>
    </row>
    <row r="20" customFormat="false" ht="27.75" hidden="false" customHeight="true" outlineLevel="0" collapsed="false">
      <c r="A20" s="37"/>
      <c r="B20" s="37" t="s">
        <v>167</v>
      </c>
      <c r="C20" s="37"/>
      <c r="D20" s="37" t="s">
        <v>168</v>
      </c>
      <c r="E20" s="37"/>
      <c r="F20" s="37"/>
      <c r="G20" s="37"/>
      <c r="H20" s="37" t="s">
        <v>169</v>
      </c>
    </row>
    <row r="21" customFormat="false" ht="68.25" hidden="false" customHeight="true" outlineLevel="0" collapsed="false">
      <c r="A21" s="37"/>
      <c r="B21" s="37" t="s">
        <v>170</v>
      </c>
      <c r="C21" s="37"/>
      <c r="D21" s="37" t="s">
        <v>171</v>
      </c>
      <c r="E21" s="37"/>
      <c r="F21" s="37"/>
      <c r="G21" s="37"/>
      <c r="H21" s="37" t="s">
        <v>172</v>
      </c>
    </row>
    <row r="22" customFormat="false" ht="41.25" hidden="false" customHeight="true" outlineLevel="0" collapsed="false">
      <c r="A22" s="37"/>
      <c r="B22" s="37" t="s">
        <v>173</v>
      </c>
      <c r="C22" s="37"/>
      <c r="D22" s="37" t="s">
        <v>174</v>
      </c>
      <c r="E22" s="37"/>
      <c r="F22" s="37"/>
      <c r="G22" s="37"/>
      <c r="H22" s="37" t="s">
        <v>175</v>
      </c>
    </row>
    <row r="23" customFormat="false" ht="27.75" hidden="false" customHeight="true" outlineLevel="0" collapsed="false">
      <c r="A23" s="37"/>
      <c r="B23" s="37" t="s">
        <v>176</v>
      </c>
      <c r="C23" s="37"/>
      <c r="D23" s="37" t="s">
        <v>177</v>
      </c>
      <c r="E23" s="37"/>
      <c r="F23" s="37"/>
      <c r="G23" s="37"/>
      <c r="H23" s="37" t="s">
        <v>178</v>
      </c>
    </row>
  </sheetData>
  <mergeCells count="3">
    <mergeCell ref="A1:H1"/>
    <mergeCell ref="A2:H3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6796875" defaultRowHeight="21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9" min="8" style="1" width="28"/>
  </cols>
  <sheetData>
    <row r="1" customFormat="false" ht="33.75" hidden="false" customHeight="true" outlineLevel="0" collapsed="false">
      <c r="A1" s="2" t="s">
        <v>179</v>
      </c>
      <c r="B1" s="2"/>
      <c r="C1" s="2"/>
      <c r="D1" s="2"/>
      <c r="E1" s="2"/>
      <c r="F1" s="2"/>
      <c r="G1" s="2"/>
      <c r="H1" s="2"/>
      <c r="I1" s="2"/>
    </row>
    <row r="2" customFormat="false" ht="21" hidden="false" customHeight="true" outlineLevel="0" collapsed="false">
      <c r="A2" s="38" t="s">
        <v>180</v>
      </c>
      <c r="B2" s="39"/>
      <c r="C2" s="39"/>
      <c r="D2" s="39"/>
      <c r="E2" s="39"/>
      <c r="F2" s="39"/>
      <c r="G2" s="39"/>
      <c r="H2" s="39"/>
      <c r="I2" s="39"/>
    </row>
    <row r="4" customFormat="false" ht="21" hidden="false" customHeight="true" outlineLevel="0" collapsed="false">
      <c r="A4" s="4" t="s">
        <v>77</v>
      </c>
      <c r="B4" s="4" t="s">
        <v>181</v>
      </c>
      <c r="C4" s="4" t="s">
        <v>182</v>
      </c>
      <c r="D4" s="4" t="s">
        <v>183</v>
      </c>
      <c r="E4" s="4" t="s">
        <v>184</v>
      </c>
      <c r="F4" s="4" t="s">
        <v>185</v>
      </c>
      <c r="G4" s="4" t="s">
        <v>186</v>
      </c>
      <c r="H4" s="4" t="s">
        <v>187</v>
      </c>
      <c r="I4" s="4" t="s">
        <v>188</v>
      </c>
    </row>
    <row r="5" customFormat="false" ht="54.75" hidden="false" customHeight="true" outlineLevel="0" collapsed="false">
      <c r="A5" s="40" t="s">
        <v>92</v>
      </c>
      <c r="B5" s="41" t="s">
        <v>189</v>
      </c>
      <c r="C5" s="41" t="s">
        <v>190</v>
      </c>
      <c r="D5" s="41" t="s">
        <v>191</v>
      </c>
      <c r="E5" s="41" t="s">
        <v>192</v>
      </c>
      <c r="F5" s="41" t="s">
        <v>193</v>
      </c>
      <c r="G5" s="41" t="s">
        <v>194</v>
      </c>
      <c r="H5" s="41" t="s">
        <v>195</v>
      </c>
      <c r="I5" s="41" t="s">
        <v>196</v>
      </c>
    </row>
    <row r="6" customFormat="false" ht="54.75" hidden="false" customHeight="true" outlineLevel="0" collapsed="false">
      <c r="A6" s="42" t="s">
        <v>197</v>
      </c>
      <c r="B6" s="43" t="s">
        <v>198</v>
      </c>
      <c r="C6" s="43" t="s">
        <v>199</v>
      </c>
      <c r="D6" s="44" t="s">
        <v>200</v>
      </c>
      <c r="E6" s="43" t="s">
        <v>201</v>
      </c>
      <c r="F6" s="43" t="s">
        <v>202</v>
      </c>
      <c r="G6" s="43" t="s">
        <v>203</v>
      </c>
      <c r="H6" s="43" t="s">
        <v>204</v>
      </c>
      <c r="I6" s="43" t="s">
        <v>205</v>
      </c>
    </row>
    <row r="7" customFormat="false" ht="54.75" hidden="false" customHeight="true" outlineLevel="0" collapsed="false">
      <c r="A7" s="42" t="s">
        <v>206</v>
      </c>
      <c r="B7" s="43" t="s">
        <v>207</v>
      </c>
      <c r="C7" s="43" t="s">
        <v>208</v>
      </c>
      <c r="D7" s="43" t="s">
        <v>209</v>
      </c>
      <c r="E7" s="43" t="s">
        <v>210</v>
      </c>
      <c r="F7" s="43" t="s">
        <v>211</v>
      </c>
      <c r="G7" s="43" t="s">
        <v>212</v>
      </c>
      <c r="H7" s="43" t="s">
        <v>213</v>
      </c>
      <c r="I7" s="43" t="s">
        <v>124</v>
      </c>
    </row>
    <row r="8" customFormat="false" ht="54.75" hidden="false" customHeight="true" outlineLevel="0" collapsed="false">
      <c r="A8" s="42" t="s">
        <v>214</v>
      </c>
      <c r="B8" s="43" t="s">
        <v>215</v>
      </c>
      <c r="C8" s="43" t="s">
        <v>216</v>
      </c>
      <c r="D8" s="43" t="s">
        <v>217</v>
      </c>
      <c r="E8" s="43" t="s">
        <v>25</v>
      </c>
      <c r="F8" s="43" t="s">
        <v>218</v>
      </c>
      <c r="G8" s="43" t="s">
        <v>219</v>
      </c>
      <c r="H8" s="43" t="s">
        <v>220</v>
      </c>
      <c r="I8" s="43" t="s">
        <v>131</v>
      </c>
    </row>
    <row r="9" customFormat="false" ht="54.75" hidden="false" customHeight="true" outlineLevel="0" collapsed="false">
      <c r="A9" s="42" t="s">
        <v>221</v>
      </c>
      <c r="B9" s="43" t="s">
        <v>222</v>
      </c>
      <c r="C9" s="43" t="s">
        <v>223</v>
      </c>
      <c r="D9" s="43" t="s">
        <v>224</v>
      </c>
      <c r="E9" s="43" t="s">
        <v>134</v>
      </c>
      <c r="F9" s="43" t="s">
        <v>225</v>
      </c>
      <c r="G9" s="43" t="s">
        <v>226</v>
      </c>
      <c r="H9" s="43" t="s">
        <v>227</v>
      </c>
      <c r="I9" s="43" t="s">
        <v>228</v>
      </c>
    </row>
    <row r="10" customFormat="false" ht="54.75" hidden="false" customHeight="true" outlineLevel="0" collapsed="false">
      <c r="A10" s="42" t="s">
        <v>229</v>
      </c>
      <c r="B10" s="43" t="s">
        <v>230</v>
      </c>
      <c r="C10" s="43" t="s">
        <v>231</v>
      </c>
      <c r="D10" s="43" t="s">
        <v>232</v>
      </c>
      <c r="E10" s="43" t="s">
        <v>33</v>
      </c>
      <c r="F10" s="43" t="s">
        <v>233</v>
      </c>
      <c r="G10" s="43" t="s">
        <v>234</v>
      </c>
      <c r="H10" s="43" t="s">
        <v>235</v>
      </c>
      <c r="I10" s="43" t="s">
        <v>146</v>
      </c>
    </row>
    <row r="11" customFormat="false" ht="54.75" hidden="false" customHeight="true" outlineLevel="0" collapsed="false">
      <c r="A11" s="42" t="s">
        <v>236</v>
      </c>
      <c r="B11" s="43" t="s">
        <v>237</v>
      </c>
      <c r="C11" s="43" t="s">
        <v>238</v>
      </c>
      <c r="D11" s="43" t="s">
        <v>239</v>
      </c>
      <c r="E11" s="43" t="s">
        <v>240</v>
      </c>
      <c r="F11" s="43" t="s">
        <v>241</v>
      </c>
      <c r="G11" s="43" t="s">
        <v>242</v>
      </c>
      <c r="H11" s="43" t="s">
        <v>243</v>
      </c>
      <c r="I11" s="43" t="s">
        <v>244</v>
      </c>
    </row>
    <row r="12" customFormat="false" ht="54.75" hidden="false" customHeight="true" outlineLevel="0" collapsed="false">
      <c r="A12" s="42" t="s">
        <v>245</v>
      </c>
      <c r="B12" s="43" t="s">
        <v>246</v>
      </c>
      <c r="C12" s="43" t="s">
        <v>247</v>
      </c>
      <c r="D12" s="43" t="s">
        <v>248</v>
      </c>
      <c r="E12" s="43" t="s">
        <v>41</v>
      </c>
      <c r="F12" s="43" t="s">
        <v>249</v>
      </c>
      <c r="G12" s="43" t="s">
        <v>250</v>
      </c>
      <c r="H12" s="43" t="s">
        <v>251</v>
      </c>
      <c r="I12" s="43" t="s">
        <v>252</v>
      </c>
    </row>
    <row r="13" customFormat="false" ht="54.75" hidden="false" customHeight="true" outlineLevel="0" collapsed="false">
      <c r="A13" s="45" t="s">
        <v>153</v>
      </c>
      <c r="B13" s="46" t="s">
        <v>253</v>
      </c>
      <c r="C13" s="46" t="s">
        <v>254</v>
      </c>
      <c r="D13" s="46" t="s">
        <v>255</v>
      </c>
      <c r="E13" s="46" t="s">
        <v>256</v>
      </c>
      <c r="F13" s="46" t="s">
        <v>257</v>
      </c>
      <c r="G13" s="46" t="s">
        <v>258</v>
      </c>
      <c r="H13" s="46" t="s">
        <v>259</v>
      </c>
      <c r="I13" s="46" t="s">
        <v>260</v>
      </c>
    </row>
    <row r="14" customFormat="false" ht="54.75" hidden="false" customHeight="true" outlineLevel="0" collapsed="false">
      <c r="A14" s="40" t="s">
        <v>161</v>
      </c>
      <c r="B14" s="41" t="s">
        <v>261</v>
      </c>
      <c r="C14" s="41" t="s">
        <v>262</v>
      </c>
      <c r="D14" s="41" t="s">
        <v>263</v>
      </c>
      <c r="E14" s="41" t="s">
        <v>264</v>
      </c>
      <c r="F14" s="41" t="s">
        <v>265</v>
      </c>
      <c r="G14" s="41" t="s">
        <v>194</v>
      </c>
      <c r="H14" s="41" t="s">
        <v>266</v>
      </c>
      <c r="I14" s="41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6796875" defaultRowHeight="21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5"/>
    <col collapsed="false" customWidth="true" hidden="false" outlineLevel="0" max="3" min="3" style="1" width="42"/>
    <col collapsed="false" customWidth="true" hidden="false" outlineLevel="0" max="4" min="4" style="1" width="8"/>
    <col collapsed="false" customWidth="true" hidden="false" outlineLevel="0" max="5" min="5" style="1" width="34.83"/>
    <col collapsed="false" customWidth="true" hidden="false" outlineLevel="0" max="6" min="6" style="1" width="14"/>
  </cols>
  <sheetData>
    <row r="1" customFormat="false" ht="33.75" hidden="false" customHeight="true" outlineLevel="0" collapsed="false">
      <c r="A1" s="2" t="s">
        <v>268</v>
      </c>
      <c r="B1" s="2"/>
      <c r="C1" s="2"/>
      <c r="D1" s="2"/>
      <c r="E1" s="2"/>
      <c r="F1" s="2"/>
    </row>
    <row r="2" customFormat="false" ht="21" hidden="false" customHeight="true" outlineLevel="0" collapsed="false">
      <c r="A2" s="38" t="s">
        <v>269</v>
      </c>
      <c r="B2" s="38"/>
      <c r="C2" s="38"/>
      <c r="D2" s="38"/>
      <c r="E2" s="38"/>
      <c r="F2" s="38"/>
    </row>
    <row r="4" customFormat="false" ht="21" hidden="false" customHeight="true" outlineLevel="0" collapsed="false">
      <c r="A4" s="47" t="s">
        <v>270</v>
      </c>
      <c r="B4" s="47" t="s">
        <v>271</v>
      </c>
      <c r="C4" s="47" t="s">
        <v>272</v>
      </c>
      <c r="D4" s="47" t="s">
        <v>273</v>
      </c>
      <c r="E4" s="47" t="s">
        <v>274</v>
      </c>
      <c r="F4" s="47" t="s">
        <v>275</v>
      </c>
    </row>
    <row r="5" customFormat="false" ht="21" hidden="false" customHeight="true" outlineLevel="0" collapsed="false">
      <c r="A5" s="4" t="s">
        <v>276</v>
      </c>
      <c r="B5" s="48" t="s">
        <v>277</v>
      </c>
      <c r="C5" s="6" t="s">
        <v>278</v>
      </c>
      <c r="D5" s="49" t="s">
        <v>279</v>
      </c>
      <c r="E5" s="8" t="s">
        <v>280</v>
      </c>
      <c r="F5" s="50" t="s">
        <v>281</v>
      </c>
    </row>
    <row r="6" customFormat="false" ht="21" hidden="false" customHeight="true" outlineLevel="0" collapsed="false">
      <c r="A6" s="5" t="s">
        <v>92</v>
      </c>
      <c r="B6" s="48" t="s">
        <v>282</v>
      </c>
      <c r="C6" s="6" t="s">
        <v>283</v>
      </c>
      <c r="D6" s="49" t="s">
        <v>279</v>
      </c>
      <c r="E6" s="8" t="s">
        <v>284</v>
      </c>
      <c r="F6" s="50" t="s">
        <v>281</v>
      </c>
    </row>
    <row r="7" customFormat="false" ht="21" hidden="false" customHeight="true" outlineLevel="0" collapsed="false">
      <c r="A7" s="5" t="s">
        <v>92</v>
      </c>
      <c r="B7" s="48" t="s">
        <v>285</v>
      </c>
      <c r="C7" s="6" t="s">
        <v>286</v>
      </c>
      <c r="D7" s="49" t="s">
        <v>279</v>
      </c>
      <c r="E7" s="8" t="s">
        <v>287</v>
      </c>
      <c r="F7" s="50" t="s">
        <v>281</v>
      </c>
    </row>
    <row r="8" customFormat="false" ht="21" hidden="false" customHeight="true" outlineLevel="0" collapsed="false">
      <c r="A8" s="9" t="s">
        <v>197</v>
      </c>
      <c r="B8" s="48" t="s">
        <v>288</v>
      </c>
      <c r="C8" s="6" t="s">
        <v>289</v>
      </c>
      <c r="D8" s="49" t="s">
        <v>279</v>
      </c>
      <c r="E8" s="8" t="s">
        <v>290</v>
      </c>
      <c r="F8" s="50" t="s">
        <v>281</v>
      </c>
    </row>
    <row r="9" customFormat="false" ht="21" hidden="false" customHeight="true" outlineLevel="0" collapsed="false">
      <c r="A9" s="9" t="s">
        <v>206</v>
      </c>
      <c r="B9" s="48" t="s">
        <v>291</v>
      </c>
      <c r="C9" s="6" t="s">
        <v>292</v>
      </c>
      <c r="D9" s="49" t="s">
        <v>279</v>
      </c>
      <c r="E9" s="8" t="s">
        <v>293</v>
      </c>
      <c r="F9" s="50" t="s">
        <v>281</v>
      </c>
    </row>
    <row r="10" customFormat="false" ht="21" hidden="false" customHeight="true" outlineLevel="0" collapsed="false">
      <c r="A10" s="9" t="s">
        <v>214</v>
      </c>
      <c r="B10" s="48" t="s">
        <v>294</v>
      </c>
      <c r="C10" s="6" t="s">
        <v>295</v>
      </c>
      <c r="D10" s="49" t="s">
        <v>279</v>
      </c>
      <c r="E10" s="8" t="s">
        <v>296</v>
      </c>
      <c r="F10" s="50" t="s">
        <v>281</v>
      </c>
    </row>
    <row r="11" customFormat="false" ht="21" hidden="false" customHeight="true" outlineLevel="0" collapsed="false">
      <c r="A11" s="9" t="s">
        <v>221</v>
      </c>
      <c r="B11" s="48" t="s">
        <v>297</v>
      </c>
      <c r="C11" s="6" t="s">
        <v>298</v>
      </c>
      <c r="D11" s="49" t="s">
        <v>279</v>
      </c>
      <c r="E11" s="8" t="s">
        <v>299</v>
      </c>
      <c r="F11" s="50" t="s">
        <v>281</v>
      </c>
    </row>
    <row r="12" customFormat="false" ht="21" hidden="false" customHeight="true" outlineLevel="0" collapsed="false">
      <c r="A12" s="9" t="s">
        <v>229</v>
      </c>
      <c r="B12" s="48" t="s">
        <v>300</v>
      </c>
      <c r="C12" s="6" t="s">
        <v>301</v>
      </c>
      <c r="D12" s="49" t="s">
        <v>279</v>
      </c>
      <c r="E12" s="8" t="s">
        <v>302</v>
      </c>
      <c r="F12" s="50" t="s">
        <v>281</v>
      </c>
    </row>
    <row r="13" customFormat="false" ht="21" hidden="false" customHeight="true" outlineLevel="0" collapsed="false">
      <c r="A13" s="9" t="s">
        <v>236</v>
      </c>
      <c r="B13" s="48" t="s">
        <v>303</v>
      </c>
      <c r="C13" s="6" t="s">
        <v>304</v>
      </c>
      <c r="D13" s="49" t="s">
        <v>279</v>
      </c>
      <c r="E13" s="8" t="s">
        <v>305</v>
      </c>
      <c r="F13" s="50" t="s">
        <v>281</v>
      </c>
    </row>
    <row r="14" customFormat="false" ht="21" hidden="false" customHeight="true" outlineLevel="0" collapsed="false">
      <c r="A14" s="9" t="s">
        <v>245</v>
      </c>
      <c r="B14" s="48" t="s">
        <v>306</v>
      </c>
      <c r="C14" s="6" t="s">
        <v>307</v>
      </c>
      <c r="D14" s="49" t="s">
        <v>279</v>
      </c>
      <c r="E14" s="8" t="s">
        <v>308</v>
      </c>
      <c r="F14" s="50" t="s">
        <v>281</v>
      </c>
    </row>
    <row r="15" customFormat="false" ht="21" hidden="false" customHeight="true" outlineLevel="0" collapsed="false">
      <c r="A15" s="10" t="s">
        <v>153</v>
      </c>
      <c r="B15" s="48" t="s">
        <v>309</v>
      </c>
      <c r="C15" s="6" t="s">
        <v>310</v>
      </c>
      <c r="D15" s="49" t="s">
        <v>279</v>
      </c>
      <c r="E15" s="8" t="s">
        <v>311</v>
      </c>
      <c r="F15" s="50" t="s">
        <v>281</v>
      </c>
    </row>
    <row r="16" customFormat="false" ht="21" hidden="false" customHeight="true" outlineLevel="0" collapsed="false">
      <c r="A16" s="10" t="s">
        <v>312</v>
      </c>
      <c r="B16" s="48" t="s">
        <v>313</v>
      </c>
      <c r="C16" s="6" t="s">
        <v>314</v>
      </c>
      <c r="D16" s="49" t="s">
        <v>279</v>
      </c>
      <c r="E16" s="8" t="s">
        <v>315</v>
      </c>
      <c r="F16" s="50" t="s">
        <v>281</v>
      </c>
    </row>
    <row r="17" customFormat="false" ht="21" hidden="false" customHeight="true" outlineLevel="0" collapsed="false">
      <c r="A17" s="10" t="s">
        <v>312</v>
      </c>
      <c r="B17" s="48" t="s">
        <v>316</v>
      </c>
      <c r="C17" s="6" t="s">
        <v>317</v>
      </c>
      <c r="D17" s="49" t="s">
        <v>279</v>
      </c>
      <c r="E17" s="8" t="s">
        <v>318</v>
      </c>
      <c r="F17" s="50" t="s">
        <v>281</v>
      </c>
    </row>
    <row r="18" customFormat="false" ht="21" hidden="false" customHeight="true" outlineLevel="0" collapsed="false">
      <c r="A18" s="10" t="s">
        <v>312</v>
      </c>
      <c r="B18" s="11" t="s">
        <v>319</v>
      </c>
      <c r="C18" s="11" t="s">
        <v>320</v>
      </c>
      <c r="D18" s="11" t="s">
        <v>321</v>
      </c>
      <c r="E18" s="11" t="s">
        <v>322</v>
      </c>
      <c r="F18" s="51" t="s">
        <v>281</v>
      </c>
    </row>
    <row r="19" customFormat="false" ht="21" hidden="false" customHeight="true" outlineLevel="0" collapsed="false">
      <c r="A19" s="52" t="s">
        <v>323</v>
      </c>
      <c r="B19" s="48" t="s">
        <v>324</v>
      </c>
      <c r="C19" s="6" t="s">
        <v>325</v>
      </c>
      <c r="D19" s="49" t="s">
        <v>326</v>
      </c>
      <c r="E19" s="8" t="s">
        <v>327</v>
      </c>
      <c r="F19" s="50" t="s">
        <v>281</v>
      </c>
    </row>
    <row r="20" customFormat="false" ht="21" hidden="false" customHeight="true" outlineLevel="0" collapsed="false">
      <c r="A20" s="52" t="s">
        <v>323</v>
      </c>
      <c r="B20" s="48" t="s">
        <v>328</v>
      </c>
      <c r="C20" s="6" t="s">
        <v>329</v>
      </c>
      <c r="D20" s="49" t="s">
        <v>326</v>
      </c>
      <c r="E20" s="8" t="s">
        <v>330</v>
      </c>
      <c r="F20" s="50" t="s">
        <v>281</v>
      </c>
    </row>
    <row r="21" customFormat="false" ht="21" hidden="false" customHeight="true" outlineLevel="0" collapsed="false">
      <c r="A21" s="52" t="s">
        <v>323</v>
      </c>
      <c r="B21" s="48" t="s">
        <v>331</v>
      </c>
      <c r="C21" s="6" t="s">
        <v>332</v>
      </c>
      <c r="D21" s="49" t="s">
        <v>326</v>
      </c>
      <c r="E21" s="8" t="s">
        <v>333</v>
      </c>
      <c r="F21" s="50" t="s">
        <v>281</v>
      </c>
    </row>
    <row r="22" customFormat="false" ht="21" hidden="false" customHeight="true" outlineLevel="0" collapsed="false">
      <c r="A22" s="52" t="s">
        <v>323</v>
      </c>
      <c r="B22" s="48" t="s">
        <v>334</v>
      </c>
      <c r="C22" s="6" t="s">
        <v>335</v>
      </c>
      <c r="D22" s="49" t="s">
        <v>326</v>
      </c>
      <c r="E22" s="8" t="s">
        <v>336</v>
      </c>
      <c r="F22" s="50" t="s">
        <v>281</v>
      </c>
    </row>
    <row r="23" customFormat="false" ht="21" hidden="false" customHeight="true" outlineLevel="0" collapsed="false">
      <c r="A23" s="52" t="s">
        <v>323</v>
      </c>
      <c r="B23" s="48" t="s">
        <v>337</v>
      </c>
      <c r="C23" s="6" t="s">
        <v>338</v>
      </c>
      <c r="D23" s="49" t="s">
        <v>326</v>
      </c>
      <c r="E23" s="8" t="s">
        <v>339</v>
      </c>
      <c r="F23" s="50" t="s">
        <v>281</v>
      </c>
    </row>
    <row r="24" customFormat="false" ht="21" hidden="false" customHeight="true" outlineLevel="0" collapsed="false">
      <c r="A24" s="52" t="s">
        <v>323</v>
      </c>
      <c r="B24" s="48" t="s">
        <v>340</v>
      </c>
      <c r="C24" s="6" t="s">
        <v>341</v>
      </c>
      <c r="D24" s="49" t="s">
        <v>326</v>
      </c>
      <c r="E24" s="8" t="s">
        <v>342</v>
      </c>
      <c r="F24" s="50" t="s">
        <v>281</v>
      </c>
    </row>
    <row r="25" customFormat="false" ht="21" hidden="false" customHeight="true" outlineLevel="0" collapsed="false">
      <c r="A25" s="5" t="s">
        <v>161</v>
      </c>
      <c r="B25" s="48" t="s">
        <v>343</v>
      </c>
      <c r="C25" s="6" t="s">
        <v>344</v>
      </c>
      <c r="D25" s="49" t="s">
        <v>279</v>
      </c>
      <c r="E25" s="8" t="s">
        <v>345</v>
      </c>
      <c r="F25" s="50" t="s">
        <v>281</v>
      </c>
    </row>
    <row r="27" customFormat="false" ht="21" hidden="false" customHeight="true" outlineLevel="0" collapsed="false">
      <c r="A27" s="12"/>
      <c r="B27" s="12"/>
      <c r="C27" s="12"/>
      <c r="D27" s="12"/>
      <c r="E27" s="12"/>
      <c r="F27" s="12"/>
    </row>
    <row r="28" customFormat="false" ht="21" hidden="false" customHeight="true" outlineLevel="0" collapsed="false">
      <c r="A28" s="47" t="s">
        <v>346</v>
      </c>
      <c r="B28" s="47"/>
      <c r="C28" s="47"/>
    </row>
    <row r="29" customFormat="false" ht="21" hidden="false" customHeight="true" outlineLevel="0" collapsed="false">
      <c r="A29" s="53" t="n">
        <v>1</v>
      </c>
      <c r="B29" s="54" t="s">
        <v>347</v>
      </c>
      <c r="C29" s="55" t="n">
        <f aca="false">COUNTA(B5:B25)</f>
        <v>21</v>
      </c>
    </row>
    <row r="30" customFormat="false" ht="21" hidden="false" customHeight="true" outlineLevel="0" collapsed="false">
      <c r="A30" s="53" t="n">
        <v>2</v>
      </c>
      <c r="B30" s="54" t="s">
        <v>348</v>
      </c>
      <c r="C30" s="55" t="n">
        <f aca="false">COUNTIF(D5:D25,"xlsx")</f>
        <v>14</v>
      </c>
    </row>
    <row r="31" customFormat="false" ht="21" hidden="false" customHeight="true" outlineLevel="0" collapsed="false">
      <c r="A31" s="53" t="n">
        <v>3</v>
      </c>
      <c r="B31" s="54" t="s">
        <v>349</v>
      </c>
      <c r="C31" s="55" t="n">
        <f aca="false">COUNTIF(D5:D25,"docx")</f>
        <v>6</v>
      </c>
    </row>
    <row r="32" customFormat="false" ht="21" hidden="false" customHeight="true" outlineLevel="0" collapsed="false">
      <c r="A32" s="53" t="n">
        <v>4</v>
      </c>
      <c r="B32" s="54" t="s">
        <v>350</v>
      </c>
      <c r="C32" s="55" t="n">
        <f aca="false">COUNTIF(F5:F25,"In Use")</f>
        <v>21</v>
      </c>
    </row>
    <row r="33" customFormat="false" ht="21" hidden="false" customHeight="true" outlineLevel="0" collapsed="false">
      <c r="A33" s="53" t="n">
        <v>5</v>
      </c>
      <c r="B33" s="54" t="s">
        <v>351</v>
      </c>
      <c r="C33" s="55" t="n">
        <f aca="false">COUNTIF(F5:F25,"Not Used Yet")</f>
        <v>0</v>
      </c>
    </row>
    <row r="34" customFormat="false" ht="21" hidden="false" customHeight="true" outlineLevel="0" collapsed="false">
      <c r="A34" s="53" t="n">
        <v>6</v>
      </c>
      <c r="B34" s="54" t="s">
        <v>352</v>
      </c>
      <c r="C34" s="55" t="n">
        <f aca="false">COUNTIF(F5:F25,"Skipped")+COUNTIF(F5:F25,"Archived")+COUNTIF(F5:F25,"Not Applicable")</f>
        <v>0</v>
      </c>
    </row>
    <row r="36" customFormat="false" ht="21" hidden="false" customHeight="true" outlineLevel="0" collapsed="false">
      <c r="A36" s="1" t="s">
        <v>353</v>
      </c>
      <c r="B36" s="1" t="s">
        <v>354</v>
      </c>
      <c r="C36" s="1" t="s">
        <v>355</v>
      </c>
      <c r="D36" s="1" t="s">
        <v>279</v>
      </c>
      <c r="E36" s="1" t="s">
        <v>356</v>
      </c>
      <c r="F36" s="1" t="s">
        <v>357</v>
      </c>
    </row>
    <row r="37" customFormat="false" ht="21" hidden="false" customHeight="true" outlineLevel="0" collapsed="false">
      <c r="A37" s="1" t="s">
        <v>353</v>
      </c>
      <c r="B37" s="1" t="s">
        <v>358</v>
      </c>
      <c r="C37" s="1" t="s">
        <v>359</v>
      </c>
      <c r="D37" s="1" t="s">
        <v>279</v>
      </c>
      <c r="E37" s="1" t="s">
        <v>360</v>
      </c>
      <c r="F37" s="1" t="s">
        <v>281</v>
      </c>
    </row>
    <row r="38" customFormat="false" ht="21" hidden="false" customHeight="true" outlineLevel="0" collapsed="false">
      <c r="A38" s="1" t="s">
        <v>353</v>
      </c>
      <c r="B38" s="1" t="s">
        <v>361</v>
      </c>
      <c r="C38" s="1" t="s">
        <v>362</v>
      </c>
      <c r="D38" s="1" t="s">
        <v>279</v>
      </c>
      <c r="E38" s="1" t="s">
        <v>363</v>
      </c>
      <c r="F38" s="1" t="s">
        <v>281</v>
      </c>
    </row>
    <row r="40" customFormat="false" ht="21" hidden="false" customHeight="true" outlineLevel="0" collapsed="false">
      <c r="A40" s="1" t="s">
        <v>364</v>
      </c>
      <c r="B40" s="56" t="s">
        <v>365</v>
      </c>
      <c r="C40" s="56"/>
      <c r="D40" s="56"/>
      <c r="E40" s="56"/>
      <c r="F40" s="56"/>
    </row>
    <row r="41" customFormat="false" ht="27.75" hidden="false" customHeight="true" outlineLevel="0" collapsed="false">
      <c r="B41" s="57" t="s">
        <v>366</v>
      </c>
      <c r="C41" s="57"/>
      <c r="D41" s="57"/>
      <c r="E41" s="57"/>
      <c r="F41" s="57"/>
    </row>
    <row r="42" customFormat="false" ht="21" hidden="false" customHeight="true" outlineLevel="0" collapsed="false">
      <c r="B42" s="57" t="s">
        <v>367</v>
      </c>
      <c r="C42" s="57"/>
      <c r="D42" s="57"/>
      <c r="E42" s="57"/>
      <c r="F42" s="57"/>
    </row>
    <row r="43" customFormat="false" ht="21" hidden="false" customHeight="true" outlineLevel="0" collapsed="false">
      <c r="B43" s="57" t="s">
        <v>368</v>
      </c>
      <c r="C43" s="57"/>
      <c r="D43" s="57"/>
      <c r="E43" s="57"/>
      <c r="F43" s="57"/>
    </row>
    <row r="44" customFormat="false" ht="21" hidden="false" customHeight="true" outlineLevel="0" collapsed="false">
      <c r="B44" s="57" t="s">
        <v>369</v>
      </c>
      <c r="C44" s="57"/>
      <c r="D44" s="57"/>
      <c r="E44" s="57"/>
      <c r="F44" s="57"/>
    </row>
    <row r="45" customFormat="false" ht="21" hidden="false" customHeight="true" outlineLevel="0" collapsed="false">
      <c r="B45" s="57" t="s">
        <v>370</v>
      </c>
      <c r="C45" s="57"/>
      <c r="D45" s="57"/>
      <c r="E45" s="57"/>
      <c r="F45" s="57"/>
    </row>
    <row r="46" customFormat="false" ht="21" hidden="false" customHeight="true" outlineLevel="0" collapsed="false">
      <c r="B46" s="57" t="s">
        <v>371</v>
      </c>
      <c r="C46" s="57"/>
      <c r="D46" s="57"/>
      <c r="E46" s="57"/>
      <c r="F46" s="57"/>
    </row>
    <row r="47" customFormat="false" ht="21" hidden="false" customHeight="true" outlineLevel="0" collapsed="false">
      <c r="B47" s="57" t="s">
        <v>372</v>
      </c>
      <c r="C47" s="57"/>
      <c r="D47" s="57"/>
      <c r="E47" s="57"/>
      <c r="F47" s="57"/>
    </row>
    <row r="49" customFormat="false" ht="21" hidden="false" customHeight="false" outlineLevel="0" collapsed="false">
      <c r="B49" s="58" t="s">
        <v>373</v>
      </c>
      <c r="C49" s="58"/>
      <c r="D49" s="58"/>
      <c r="E49" s="58"/>
      <c r="F49" s="58"/>
    </row>
  </sheetData>
  <mergeCells count="10">
    <mergeCell ref="A27:F27"/>
    <mergeCell ref="B40:F40"/>
    <mergeCell ref="B41:F41"/>
    <mergeCell ref="B42:F42"/>
    <mergeCell ref="B43:F43"/>
    <mergeCell ref="B44:F44"/>
    <mergeCell ref="B45:F45"/>
    <mergeCell ref="B46:F46"/>
    <mergeCell ref="B47:F47"/>
    <mergeCell ref="B49:F49"/>
  </mergeCells>
  <dataValidations count="1">
    <dataValidation allowBlank="true" errorStyle="stop" operator="between" showDropDown="false" showErrorMessage="false" showInputMessage="false" sqref="F5:F24" type="list">
      <formula1>"In Use,Not Used Yet,Skipped,Archived,Not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8.66796875" defaultRowHeight="21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32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16"/>
  </cols>
  <sheetData>
    <row r="1" customFormat="false" ht="33.75" hidden="false" customHeight="true" outlineLevel="0" collapsed="false">
      <c r="A1" s="2" t="s">
        <v>374</v>
      </c>
      <c r="B1" s="2"/>
      <c r="C1" s="2"/>
      <c r="D1" s="2"/>
      <c r="E1" s="2"/>
      <c r="F1" s="2"/>
      <c r="G1" s="2"/>
      <c r="H1" s="2"/>
    </row>
    <row r="2" customFormat="false" ht="21" hidden="false" customHeight="true" outlineLevel="0" collapsed="false">
      <c r="A2" s="38" t="s">
        <v>375</v>
      </c>
      <c r="B2" s="39"/>
      <c r="C2" s="39"/>
      <c r="D2" s="39"/>
      <c r="E2" s="39"/>
      <c r="F2" s="39"/>
      <c r="G2" s="39"/>
      <c r="H2" s="39"/>
    </row>
    <row r="4" customFormat="false" ht="21" hidden="false" customHeight="true" outlineLevel="0" collapsed="false">
      <c r="A4" s="47" t="s">
        <v>376</v>
      </c>
      <c r="B4" s="47" t="s">
        <v>377</v>
      </c>
      <c r="C4" s="47" t="s">
        <v>378</v>
      </c>
      <c r="D4" s="47" t="s">
        <v>379</v>
      </c>
      <c r="E4" s="47" t="s">
        <v>380</v>
      </c>
      <c r="F4" s="47" t="s">
        <v>381</v>
      </c>
      <c r="G4" s="47" t="s">
        <v>382</v>
      </c>
      <c r="H4" s="47" t="s">
        <v>383</v>
      </c>
    </row>
    <row r="5" customFormat="false" ht="33.75" hidden="false" customHeight="true" outlineLevel="0" collapsed="false">
      <c r="A5" s="5" t="s">
        <v>384</v>
      </c>
      <c r="B5" s="5" t="s">
        <v>92</v>
      </c>
      <c r="C5" s="41" t="s">
        <v>385</v>
      </c>
      <c r="D5" s="41" t="s">
        <v>386</v>
      </c>
      <c r="E5" s="41" t="s">
        <v>387</v>
      </c>
      <c r="F5" s="41" t="s">
        <v>388</v>
      </c>
      <c r="G5" s="41" t="s">
        <v>389</v>
      </c>
      <c r="H5" s="59" t="s">
        <v>390</v>
      </c>
    </row>
    <row r="6" customFormat="false" ht="33.75" hidden="false" customHeight="true" outlineLevel="0" collapsed="false">
      <c r="A6" s="5" t="s">
        <v>92</v>
      </c>
      <c r="B6" s="5" t="s">
        <v>197</v>
      </c>
      <c r="C6" s="41" t="s">
        <v>391</v>
      </c>
      <c r="D6" s="41" t="s">
        <v>392</v>
      </c>
      <c r="E6" s="41" t="s">
        <v>393</v>
      </c>
      <c r="F6" s="41" t="s">
        <v>394</v>
      </c>
      <c r="G6" s="41" t="s">
        <v>395</v>
      </c>
      <c r="H6" s="59" t="s">
        <v>390</v>
      </c>
    </row>
    <row r="7" customFormat="false" ht="33.75" hidden="false" customHeight="true" outlineLevel="0" collapsed="false">
      <c r="A7" s="9" t="s">
        <v>197</v>
      </c>
      <c r="B7" s="9" t="s">
        <v>206</v>
      </c>
      <c r="C7" s="43" t="s">
        <v>396</v>
      </c>
      <c r="D7" s="43" t="s">
        <v>397</v>
      </c>
      <c r="E7" s="43" t="s">
        <v>398</v>
      </c>
      <c r="F7" s="43" t="s">
        <v>399</v>
      </c>
      <c r="G7" s="43" t="s">
        <v>400</v>
      </c>
      <c r="H7" s="50" t="s">
        <v>401</v>
      </c>
    </row>
    <row r="8" customFormat="false" ht="33.75" hidden="false" customHeight="true" outlineLevel="0" collapsed="false">
      <c r="A8" s="9" t="s">
        <v>206</v>
      </c>
      <c r="B8" s="9" t="s">
        <v>214</v>
      </c>
      <c r="C8" s="43" t="s">
        <v>402</v>
      </c>
      <c r="D8" s="43" t="s">
        <v>403</v>
      </c>
      <c r="E8" s="43" t="s">
        <v>404</v>
      </c>
      <c r="F8" s="43" t="s">
        <v>405</v>
      </c>
      <c r="G8" s="43" t="s">
        <v>406</v>
      </c>
      <c r="H8" s="50" t="s">
        <v>407</v>
      </c>
    </row>
    <row r="9" customFormat="false" ht="33.75" hidden="false" customHeight="true" outlineLevel="0" collapsed="false">
      <c r="A9" s="9" t="s">
        <v>214</v>
      </c>
      <c r="B9" s="9" t="s">
        <v>221</v>
      </c>
      <c r="C9" s="43" t="s">
        <v>408</v>
      </c>
      <c r="D9" s="43" t="s">
        <v>409</v>
      </c>
      <c r="E9" s="43" t="s">
        <v>410</v>
      </c>
      <c r="F9" s="43" t="s">
        <v>411</v>
      </c>
      <c r="G9" s="43" t="s">
        <v>412</v>
      </c>
      <c r="H9" s="50" t="s">
        <v>390</v>
      </c>
    </row>
    <row r="10" customFormat="false" ht="33.75" hidden="false" customHeight="true" outlineLevel="0" collapsed="false">
      <c r="A10" s="9" t="s">
        <v>221</v>
      </c>
      <c r="B10" s="9" t="s">
        <v>229</v>
      </c>
      <c r="C10" s="43" t="s">
        <v>413</v>
      </c>
      <c r="D10" s="43" t="s">
        <v>414</v>
      </c>
      <c r="E10" s="43" t="s">
        <v>415</v>
      </c>
      <c r="F10" s="43" t="s">
        <v>416</v>
      </c>
      <c r="G10" s="43" t="s">
        <v>417</v>
      </c>
      <c r="H10" s="50" t="s">
        <v>418</v>
      </c>
    </row>
    <row r="11" customFormat="false" ht="33.75" hidden="false" customHeight="true" outlineLevel="0" collapsed="false">
      <c r="A11" s="9" t="s">
        <v>229</v>
      </c>
      <c r="B11" s="9" t="s">
        <v>236</v>
      </c>
      <c r="C11" s="43" t="s">
        <v>419</v>
      </c>
      <c r="D11" s="43" t="s">
        <v>420</v>
      </c>
      <c r="E11" s="43" t="s">
        <v>421</v>
      </c>
      <c r="F11" s="43" t="s">
        <v>422</v>
      </c>
      <c r="G11" s="43" t="s">
        <v>423</v>
      </c>
      <c r="H11" s="50" t="s">
        <v>424</v>
      </c>
    </row>
    <row r="12" customFormat="false" ht="33.75" hidden="false" customHeight="true" outlineLevel="0" collapsed="false">
      <c r="A12" s="9" t="s">
        <v>236</v>
      </c>
      <c r="B12" s="9" t="s">
        <v>425</v>
      </c>
      <c r="C12" s="43" t="s">
        <v>426</v>
      </c>
      <c r="D12" s="43" t="s">
        <v>427</v>
      </c>
      <c r="E12" s="43" t="s">
        <v>428</v>
      </c>
      <c r="F12" s="43" t="s">
        <v>429</v>
      </c>
      <c r="G12" s="43" t="s">
        <v>430</v>
      </c>
      <c r="H12" s="50" t="s">
        <v>401</v>
      </c>
    </row>
    <row r="13" customFormat="false" ht="33.75" hidden="false" customHeight="true" outlineLevel="0" collapsed="false">
      <c r="A13" s="5" t="s">
        <v>236</v>
      </c>
      <c r="B13" s="5" t="s">
        <v>161</v>
      </c>
      <c r="C13" s="41" t="s">
        <v>431</v>
      </c>
      <c r="D13" s="41" t="s">
        <v>432</v>
      </c>
      <c r="E13" s="41" t="s">
        <v>433</v>
      </c>
      <c r="F13" s="41" t="s">
        <v>434</v>
      </c>
      <c r="G13" s="41" t="s">
        <v>435</v>
      </c>
      <c r="H13" s="59" t="s">
        <v>436</v>
      </c>
    </row>
    <row r="14" customFormat="false" ht="33.75" hidden="false" customHeight="true" outlineLevel="0" collapsed="false">
      <c r="A14" s="10" t="s">
        <v>154</v>
      </c>
      <c r="B14" s="10" t="s">
        <v>437</v>
      </c>
      <c r="C14" s="46" t="s">
        <v>438</v>
      </c>
      <c r="D14" s="46" t="s">
        <v>439</v>
      </c>
      <c r="E14" s="46" t="s">
        <v>440</v>
      </c>
      <c r="F14" s="46" t="s">
        <v>441</v>
      </c>
      <c r="G14" s="46" t="s">
        <v>442</v>
      </c>
      <c r="H14" s="60" t="s">
        <v>436</v>
      </c>
    </row>
    <row r="15" customFormat="false" ht="33.75" hidden="false" customHeight="true" outlineLevel="0" collapsed="false">
      <c r="A15" s="10" t="s">
        <v>154</v>
      </c>
      <c r="B15" s="10" t="s">
        <v>443</v>
      </c>
      <c r="C15" s="46" t="s">
        <v>444</v>
      </c>
      <c r="D15" s="46" t="s">
        <v>445</v>
      </c>
      <c r="E15" s="46" t="s">
        <v>446</v>
      </c>
      <c r="F15" s="46" t="s">
        <v>447</v>
      </c>
      <c r="G15" s="46" t="s">
        <v>448</v>
      </c>
      <c r="H15" s="60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8.66796875" defaultRowHeight="21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26"/>
    <col collapsed="false" customWidth="true" hidden="false" outlineLevel="0" max="5" min="5" style="1" width="16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9" min="8" style="1" width="22"/>
  </cols>
  <sheetData>
    <row r="1" customFormat="false" ht="33.75" hidden="false" customHeight="true" outlineLevel="0" collapsed="false">
      <c r="A1" s="2" t="s">
        <v>449</v>
      </c>
      <c r="B1" s="2"/>
      <c r="C1" s="2"/>
      <c r="D1" s="2"/>
      <c r="E1" s="2"/>
      <c r="F1" s="2"/>
      <c r="G1" s="2"/>
      <c r="H1" s="2"/>
      <c r="I1" s="2"/>
    </row>
    <row r="2" customFormat="false" ht="21" hidden="false" customHeight="true" outlineLevel="0" collapsed="false">
      <c r="A2" s="38" t="s">
        <v>450</v>
      </c>
      <c r="B2" s="38"/>
      <c r="C2" s="39"/>
      <c r="D2" s="39"/>
      <c r="E2" s="39"/>
      <c r="F2" s="39"/>
      <c r="G2" s="39"/>
      <c r="H2" s="39"/>
      <c r="I2" s="39"/>
    </row>
    <row r="4" customFormat="false" ht="21" hidden="false" customHeight="true" outlineLevel="0" collapsed="false">
      <c r="A4" s="4" t="s">
        <v>451</v>
      </c>
      <c r="B4" s="47" t="s">
        <v>452</v>
      </c>
      <c r="C4" s="47" t="s">
        <v>453</v>
      </c>
      <c r="D4" s="47" t="s">
        <v>454</v>
      </c>
      <c r="E4" s="47" t="s">
        <v>455</v>
      </c>
      <c r="F4" s="47" t="s">
        <v>456</v>
      </c>
      <c r="G4" s="47" t="s">
        <v>457</v>
      </c>
      <c r="H4" s="47" t="s">
        <v>458</v>
      </c>
      <c r="I4" s="47" t="s">
        <v>459</v>
      </c>
    </row>
    <row r="5" customFormat="false" ht="88.5" hidden="false" customHeight="true" outlineLevel="0" collapsed="false">
      <c r="A5" s="61" t="s">
        <v>460</v>
      </c>
      <c r="B5" s="62" t="s">
        <v>461</v>
      </c>
      <c r="C5" s="62" t="s">
        <v>462</v>
      </c>
      <c r="D5" s="6" t="s">
        <v>463</v>
      </c>
      <c r="E5" s="6" t="s">
        <v>464</v>
      </c>
      <c r="F5" s="6" t="s">
        <v>465</v>
      </c>
      <c r="G5" s="6" t="s">
        <v>466</v>
      </c>
      <c r="H5" s="6" t="s">
        <v>467</v>
      </c>
      <c r="I5" s="6" t="s">
        <v>468</v>
      </c>
    </row>
    <row r="6" customFormat="false" ht="88.5" hidden="false" customHeight="true" outlineLevel="0" collapsed="false">
      <c r="A6" s="61" t="s">
        <v>469</v>
      </c>
      <c r="B6" s="62" t="s">
        <v>470</v>
      </c>
      <c r="C6" s="62" t="s">
        <v>471</v>
      </c>
      <c r="D6" s="6" t="s">
        <v>472</v>
      </c>
      <c r="E6" s="6" t="s">
        <v>473</v>
      </c>
      <c r="F6" s="6" t="s">
        <v>474</v>
      </c>
      <c r="G6" s="6" t="s">
        <v>466</v>
      </c>
      <c r="H6" s="6" t="s">
        <v>475</v>
      </c>
      <c r="I6" s="6" t="s">
        <v>476</v>
      </c>
    </row>
    <row r="7" customFormat="false" ht="88.5" hidden="false" customHeight="true" outlineLevel="0" collapsed="false">
      <c r="A7" s="61" t="s">
        <v>477</v>
      </c>
      <c r="B7" s="62" t="s">
        <v>478</v>
      </c>
      <c r="C7" s="62" t="s">
        <v>479</v>
      </c>
      <c r="D7" s="6" t="s">
        <v>480</v>
      </c>
      <c r="E7" s="6" t="s">
        <v>481</v>
      </c>
      <c r="F7" s="6" t="s">
        <v>482</v>
      </c>
      <c r="G7" s="6" t="s">
        <v>483</v>
      </c>
      <c r="H7" s="6" t="s">
        <v>484</v>
      </c>
      <c r="I7" s="6" t="s">
        <v>485</v>
      </c>
    </row>
    <row r="8" customFormat="false" ht="88.5" hidden="false" customHeight="true" outlineLevel="0" collapsed="false">
      <c r="A8" s="61" t="s">
        <v>486</v>
      </c>
      <c r="B8" s="62" t="s">
        <v>487</v>
      </c>
      <c r="C8" s="62" t="s">
        <v>488</v>
      </c>
      <c r="D8" s="6" t="s">
        <v>489</v>
      </c>
      <c r="E8" s="6" t="s">
        <v>490</v>
      </c>
      <c r="F8" s="6" t="s">
        <v>491</v>
      </c>
      <c r="G8" s="6" t="s">
        <v>492</v>
      </c>
      <c r="H8" s="6" t="s">
        <v>493</v>
      </c>
      <c r="I8" s="6" t="s">
        <v>494</v>
      </c>
    </row>
    <row r="9" customFormat="false" ht="88.5" hidden="false" customHeight="true" outlineLevel="0" collapsed="false">
      <c r="A9" s="61" t="s">
        <v>495</v>
      </c>
      <c r="B9" s="62" t="s">
        <v>496</v>
      </c>
      <c r="C9" s="62" t="s">
        <v>497</v>
      </c>
      <c r="D9" s="6" t="s">
        <v>498</v>
      </c>
      <c r="E9" s="6" t="s">
        <v>499</v>
      </c>
      <c r="F9" s="6" t="s">
        <v>500</v>
      </c>
      <c r="G9" s="6" t="s">
        <v>501</v>
      </c>
      <c r="H9" s="6" t="s">
        <v>502</v>
      </c>
      <c r="I9" s="6" t="s">
        <v>503</v>
      </c>
    </row>
    <row r="10" customFormat="false" ht="88.5" hidden="false" customHeight="true" outlineLevel="0" collapsed="false">
      <c r="A10" s="61" t="s">
        <v>504</v>
      </c>
      <c r="B10" s="62" t="s">
        <v>505</v>
      </c>
      <c r="C10" s="62" t="s">
        <v>506</v>
      </c>
      <c r="D10" s="6" t="s">
        <v>507</v>
      </c>
      <c r="E10" s="6" t="s">
        <v>508</v>
      </c>
      <c r="F10" s="6" t="s">
        <v>509</v>
      </c>
      <c r="G10" s="6" t="s">
        <v>510</v>
      </c>
      <c r="H10" s="6" t="s">
        <v>511</v>
      </c>
      <c r="I10" s="6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66796875" defaultRowHeight="21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35"/>
  </cols>
  <sheetData>
    <row r="1" customFormat="false" ht="33.75" hidden="false" customHeight="true" outlineLevel="0" collapsed="false">
      <c r="A1" s="2" t="s">
        <v>513</v>
      </c>
      <c r="B1" s="2"/>
      <c r="C1" s="2"/>
      <c r="D1" s="2"/>
      <c r="E1" s="2"/>
    </row>
    <row r="2" customFormat="false" ht="21" hidden="false" customHeight="true" outlineLevel="0" collapsed="false">
      <c r="A2" s="38" t="s">
        <v>514</v>
      </c>
      <c r="B2" s="39"/>
      <c r="C2" s="39"/>
      <c r="D2" s="39"/>
      <c r="E2" s="39"/>
    </row>
    <row r="3" customFormat="false" ht="21" hidden="false" customHeight="true" outlineLevel="0" collapsed="false">
      <c r="A3" s="4" t="s">
        <v>515</v>
      </c>
      <c r="B3" s="4" t="s">
        <v>516</v>
      </c>
      <c r="C3" s="4" t="s">
        <v>517</v>
      </c>
      <c r="D3" s="4" t="s">
        <v>517</v>
      </c>
      <c r="E3" s="4" t="s">
        <v>518</v>
      </c>
    </row>
    <row r="4" customFormat="false" ht="21" hidden="false" customHeight="true" outlineLevel="0" collapsed="false">
      <c r="A4" s="54" t="s">
        <v>519</v>
      </c>
      <c r="B4" s="63" t="s">
        <v>520</v>
      </c>
      <c r="C4" s="64"/>
      <c r="D4" s="64"/>
      <c r="E4" s="43"/>
    </row>
    <row r="5" customFormat="false" ht="21" hidden="false" customHeight="true" outlineLevel="0" collapsed="false">
      <c r="A5" s="54" t="s">
        <v>521</v>
      </c>
      <c r="B5" s="63" t="s">
        <v>520</v>
      </c>
      <c r="C5" s="64"/>
      <c r="D5" s="64"/>
      <c r="E5" s="43"/>
    </row>
    <row r="6" customFormat="false" ht="21" hidden="false" customHeight="true" outlineLevel="0" collapsed="false">
      <c r="A6" s="54" t="s">
        <v>522</v>
      </c>
      <c r="B6" s="63" t="s">
        <v>523</v>
      </c>
      <c r="C6" s="64"/>
      <c r="D6" s="64"/>
      <c r="E6" s="43"/>
    </row>
    <row r="7" customFormat="false" ht="21" hidden="false" customHeight="true" outlineLevel="0" collapsed="false">
      <c r="A7" s="54" t="s">
        <v>524</v>
      </c>
      <c r="B7" s="63" t="s">
        <v>525</v>
      </c>
      <c r="C7" s="64"/>
      <c r="D7" s="64"/>
      <c r="E7" s="43"/>
    </row>
    <row r="8" customFormat="false" ht="21" hidden="false" customHeight="true" outlineLevel="0" collapsed="false">
      <c r="A8" s="65" t="s">
        <v>526</v>
      </c>
      <c r="B8" s="66" t="s">
        <v>527</v>
      </c>
      <c r="C8" s="64"/>
      <c r="D8" s="64"/>
      <c r="E8" s="43"/>
    </row>
    <row r="9" customFormat="false" ht="21" hidden="false" customHeight="true" outlineLevel="0" collapsed="false">
      <c r="A9" s="54" t="s">
        <v>528</v>
      </c>
      <c r="B9" s="63" t="s">
        <v>330</v>
      </c>
      <c r="C9" s="64"/>
      <c r="D9" s="64"/>
      <c r="E9" s="43"/>
    </row>
    <row r="10" customFormat="false" ht="21" hidden="false" customHeight="true" outlineLevel="0" collapsed="false">
      <c r="A10" s="54" t="s">
        <v>529</v>
      </c>
      <c r="B10" s="63" t="s">
        <v>530</v>
      </c>
      <c r="C10" s="64"/>
      <c r="D10" s="64"/>
      <c r="E10" s="43"/>
    </row>
    <row r="11" customFormat="false" ht="21" hidden="false" customHeight="true" outlineLevel="0" collapsed="false">
      <c r="A11" s="54" t="s">
        <v>531</v>
      </c>
      <c r="B11" s="63" t="s">
        <v>154</v>
      </c>
      <c r="C11" s="64"/>
      <c r="D11" s="64"/>
      <c r="E11" s="43"/>
    </row>
    <row r="12" customFormat="false" ht="21" hidden="false" customHeight="true" outlineLevel="0" collapsed="false">
      <c r="A12" s="54" t="s">
        <v>532</v>
      </c>
      <c r="B12" s="63" t="s">
        <v>533</v>
      </c>
      <c r="C12" s="64"/>
      <c r="D12" s="64"/>
      <c r="E12" s="43"/>
    </row>
    <row r="13" customFormat="false" ht="21" hidden="false" customHeight="true" outlineLevel="0" collapsed="false">
      <c r="A13" s="54" t="s">
        <v>534</v>
      </c>
      <c r="B13" s="63" t="s">
        <v>533</v>
      </c>
      <c r="C13" s="64"/>
      <c r="D13" s="64"/>
      <c r="E13" s="43"/>
    </row>
    <row r="16" customFormat="false" ht="21" hidden="false" customHeight="true" outlineLevel="0" collapsed="false">
      <c r="A16" s="13" t="s">
        <v>535</v>
      </c>
      <c r="B16" s="13"/>
      <c r="C16" s="13"/>
      <c r="D16" s="13"/>
      <c r="E16" s="13"/>
    </row>
    <row r="17" customFormat="false" ht="21" hidden="false" customHeight="true" outlineLevel="0" collapsed="false">
      <c r="A17" s="67" t="s">
        <v>536</v>
      </c>
      <c r="B17" s="68"/>
      <c r="C17" s="68"/>
      <c r="D17" s="68"/>
      <c r="E17" s="68"/>
    </row>
    <row r="18" customFormat="false" ht="21" hidden="false" customHeight="true" outlineLevel="0" collapsed="false">
      <c r="A18" s="4" t="s">
        <v>537</v>
      </c>
      <c r="B18" s="4" t="s">
        <v>275</v>
      </c>
      <c r="C18" s="4" t="s">
        <v>538</v>
      </c>
      <c r="D18" s="4" t="s">
        <v>539</v>
      </c>
      <c r="E18" s="4" t="s">
        <v>540</v>
      </c>
    </row>
    <row r="19" customFormat="false" ht="21" hidden="false" customHeight="true" outlineLevel="0" collapsed="false">
      <c r="A19" s="54" t="s">
        <v>541</v>
      </c>
      <c r="B19" s="50" t="s">
        <v>542</v>
      </c>
      <c r="C19" s="50"/>
      <c r="D19" s="50"/>
      <c r="E19" s="43"/>
    </row>
    <row r="20" customFormat="false" ht="21" hidden="false" customHeight="true" outlineLevel="0" collapsed="false">
      <c r="A20" s="54" t="s">
        <v>543</v>
      </c>
      <c r="B20" s="50" t="s">
        <v>542</v>
      </c>
      <c r="C20" s="50"/>
      <c r="D20" s="50"/>
      <c r="E20" s="43"/>
    </row>
    <row r="21" customFormat="false" ht="21" hidden="false" customHeight="true" outlineLevel="0" collapsed="false">
      <c r="A21" s="54" t="s">
        <v>544</v>
      </c>
      <c r="B21" s="50" t="s">
        <v>542</v>
      </c>
      <c r="C21" s="50"/>
      <c r="D21" s="50"/>
      <c r="E21" s="43"/>
    </row>
    <row r="22" customFormat="false" ht="21" hidden="false" customHeight="true" outlineLevel="0" collapsed="false">
      <c r="A22" s="54" t="s">
        <v>545</v>
      </c>
      <c r="B22" s="50" t="s">
        <v>542</v>
      </c>
      <c r="C22" s="50"/>
      <c r="D22" s="50"/>
      <c r="E22" s="43"/>
    </row>
    <row r="23" customFormat="false" ht="21" hidden="false" customHeight="true" outlineLevel="0" collapsed="false">
      <c r="A23" s="54" t="s">
        <v>546</v>
      </c>
      <c r="B23" s="50" t="s">
        <v>542</v>
      </c>
      <c r="C23" s="50"/>
      <c r="D23" s="50"/>
      <c r="E23" s="43"/>
    </row>
    <row r="24" customFormat="false" ht="21" hidden="false" customHeight="true" outlineLevel="0" collapsed="false">
      <c r="A24" s="54" t="s">
        <v>547</v>
      </c>
      <c r="B24" s="50" t="s">
        <v>542</v>
      </c>
      <c r="C24" s="50"/>
      <c r="D24" s="50"/>
      <c r="E24" s="43"/>
    </row>
    <row r="26" customFormat="false" ht="21" hidden="false" customHeight="true" outlineLevel="0" collapsed="false">
      <c r="A26" s="13" t="s">
        <v>548</v>
      </c>
      <c r="B26" s="13"/>
      <c r="C26" s="13"/>
      <c r="D26" s="13"/>
      <c r="E26" s="13"/>
    </row>
    <row r="27" customFormat="false" ht="21" hidden="false" customHeight="true" outlineLevel="0" collapsed="false">
      <c r="A27" s="67" t="s">
        <v>549</v>
      </c>
      <c r="B27" s="68"/>
      <c r="C27" s="68"/>
      <c r="D27" s="68"/>
      <c r="E27" s="68"/>
    </row>
    <row r="28" customFormat="false" ht="21" hidden="false" customHeight="true" outlineLevel="0" collapsed="false">
      <c r="A28" s="4" t="s">
        <v>550</v>
      </c>
      <c r="B28" s="4" t="s">
        <v>275</v>
      </c>
      <c r="C28" s="4" t="s">
        <v>551</v>
      </c>
      <c r="D28" s="4" t="s">
        <v>552</v>
      </c>
      <c r="E28" s="4" t="s">
        <v>459</v>
      </c>
    </row>
    <row r="29" customFormat="false" ht="21" hidden="false" customHeight="true" outlineLevel="0" collapsed="false">
      <c r="A29" s="69" t="s">
        <v>553</v>
      </c>
      <c r="B29" s="50" t="s">
        <v>542</v>
      </c>
      <c r="C29" s="50"/>
      <c r="D29" s="50"/>
      <c r="E29" s="8" t="s">
        <v>554</v>
      </c>
    </row>
    <row r="30" customFormat="false" ht="21" hidden="false" customHeight="true" outlineLevel="0" collapsed="false">
      <c r="A30" s="69" t="s">
        <v>555</v>
      </c>
      <c r="B30" s="50" t="s">
        <v>542</v>
      </c>
      <c r="C30" s="50"/>
      <c r="D30" s="50"/>
      <c r="E30" s="8" t="s">
        <v>556</v>
      </c>
    </row>
    <row r="31" customFormat="false" ht="21" hidden="false" customHeight="true" outlineLevel="0" collapsed="false">
      <c r="A31" s="70" t="s">
        <v>557</v>
      </c>
      <c r="B31" s="50" t="s">
        <v>542</v>
      </c>
      <c r="C31" s="50"/>
      <c r="D31" s="50"/>
      <c r="E31" s="8" t="s">
        <v>558</v>
      </c>
    </row>
    <row r="32" customFormat="false" ht="21" hidden="false" customHeight="true" outlineLevel="0" collapsed="false">
      <c r="A32" s="70" t="s">
        <v>559</v>
      </c>
      <c r="B32" s="50" t="s">
        <v>542</v>
      </c>
      <c r="C32" s="50"/>
      <c r="D32" s="50"/>
      <c r="E32" s="8" t="s">
        <v>560</v>
      </c>
    </row>
    <row r="33" customFormat="false" ht="21" hidden="false" customHeight="true" outlineLevel="0" collapsed="false">
      <c r="A33" s="70" t="s">
        <v>561</v>
      </c>
      <c r="B33" s="50" t="s">
        <v>542</v>
      </c>
      <c r="C33" s="50"/>
      <c r="D33" s="50"/>
      <c r="E33" s="8" t="s">
        <v>562</v>
      </c>
    </row>
    <row r="34" customFormat="false" ht="21" hidden="false" customHeight="true" outlineLevel="0" collapsed="false">
      <c r="A34" s="70" t="s">
        <v>563</v>
      </c>
      <c r="B34" s="50" t="s">
        <v>542</v>
      </c>
      <c r="C34" s="50"/>
      <c r="D34" s="50"/>
      <c r="E34" s="8" t="s">
        <v>564</v>
      </c>
    </row>
    <row r="35" customFormat="false" ht="21" hidden="false" customHeight="true" outlineLevel="0" collapsed="false">
      <c r="A35" s="70" t="s">
        <v>565</v>
      </c>
      <c r="B35" s="50" t="s">
        <v>542</v>
      </c>
      <c r="C35" s="50"/>
      <c r="D35" s="50"/>
      <c r="E35" s="8" t="s">
        <v>566</v>
      </c>
    </row>
    <row r="36" customFormat="false" ht="21" hidden="false" customHeight="true" outlineLevel="0" collapsed="false">
      <c r="A36" s="69" t="s">
        <v>567</v>
      </c>
      <c r="B36" s="50" t="s">
        <v>542</v>
      </c>
      <c r="C36" s="50"/>
      <c r="D36" s="50"/>
      <c r="E36" s="8" t="s">
        <v>568</v>
      </c>
    </row>
    <row r="38" customFormat="false" ht="21" hidden="false" customHeight="true" outlineLevel="0" collapsed="false">
      <c r="A38" s="12"/>
      <c r="B38" s="12"/>
      <c r="C38" s="12"/>
    </row>
    <row r="39" customFormat="false" ht="21" hidden="false" customHeight="true" outlineLevel="0" collapsed="false">
      <c r="A39" s="71" t="s">
        <v>569</v>
      </c>
      <c r="B39" s="71"/>
      <c r="C39" s="71"/>
      <c r="D39" s="71"/>
      <c r="E39" s="71"/>
    </row>
    <row r="40" customFormat="false" ht="21" hidden="false" customHeight="true" outlineLevel="0" collapsed="false">
      <c r="A40" s="4" t="s">
        <v>570</v>
      </c>
      <c r="B40" s="4" t="s">
        <v>571</v>
      </c>
      <c r="C40" s="4" t="s">
        <v>517</v>
      </c>
      <c r="D40" s="4" t="s">
        <v>517</v>
      </c>
      <c r="E40" s="4" t="s">
        <v>459</v>
      </c>
    </row>
    <row r="41" customFormat="false" ht="21" hidden="false" customHeight="true" outlineLevel="0" collapsed="false">
      <c r="A41" s="72" t="s">
        <v>572</v>
      </c>
      <c r="B41" s="55" t="n">
        <f aca="false">COUNTIF(B19:B24,"Not Started")</f>
        <v>6</v>
      </c>
      <c r="C41" s="73"/>
      <c r="D41" s="73"/>
      <c r="E41" s="74" t="s">
        <v>573</v>
      </c>
    </row>
    <row r="42" customFormat="false" ht="21" hidden="false" customHeight="true" outlineLevel="0" collapsed="false">
      <c r="A42" s="72" t="s">
        <v>574</v>
      </c>
      <c r="B42" s="55" t="n">
        <f aca="false">COUNTIF(B19:B24,"In Progress")</f>
        <v>0</v>
      </c>
      <c r="C42" s="73"/>
      <c r="D42" s="73"/>
      <c r="E42" s="74" t="s">
        <v>575</v>
      </c>
    </row>
    <row r="43" customFormat="false" ht="21" hidden="false" customHeight="true" outlineLevel="0" collapsed="false">
      <c r="A43" s="72" t="s">
        <v>576</v>
      </c>
      <c r="B43" s="55" t="n">
        <f aca="false">COUNTIF(B19:B24,"Done")</f>
        <v>0</v>
      </c>
      <c r="C43" s="73"/>
      <c r="D43" s="73"/>
      <c r="E43" s="74" t="s">
        <v>577</v>
      </c>
    </row>
    <row r="44" customFormat="false" ht="21" hidden="false" customHeight="true" outlineLevel="0" collapsed="false">
      <c r="A44" s="72" t="s">
        <v>578</v>
      </c>
      <c r="B44" s="55" t="n">
        <f aca="false">COUNTIF(B19:B24,"Blocked")</f>
        <v>0</v>
      </c>
      <c r="C44" s="73"/>
      <c r="D44" s="73"/>
      <c r="E44" s="74" t="s">
        <v>579</v>
      </c>
    </row>
    <row r="45" customFormat="false" ht="21" hidden="false" customHeight="true" outlineLevel="0" collapsed="false">
      <c r="A45" s="72" t="s">
        <v>580</v>
      </c>
      <c r="B45" s="55" t="n">
        <f aca="false">COUNTIF(B19:B24,"Skipped")</f>
        <v>0</v>
      </c>
      <c r="C45" s="73"/>
      <c r="D45" s="73"/>
      <c r="E45" s="74" t="s">
        <v>581</v>
      </c>
    </row>
    <row r="46" customFormat="false" ht="21" hidden="false" customHeight="true" outlineLevel="0" collapsed="false">
      <c r="A46" s="72" t="s">
        <v>582</v>
      </c>
      <c r="B46" s="55" t="n">
        <f aca="false">COUNTIF(B29:B36,"Done")</f>
        <v>0</v>
      </c>
      <c r="C46" s="73"/>
      <c r="D46" s="73"/>
      <c r="E46" s="74" t="s">
        <v>583</v>
      </c>
    </row>
    <row r="47" customFormat="false" ht="21" hidden="false" customHeight="true" outlineLevel="0" collapsed="false">
      <c r="A47" s="72" t="s">
        <v>584</v>
      </c>
      <c r="B47" s="55" t="n">
        <f aca="false">COUNTIF(B29:B36,"In Progress")</f>
        <v>0</v>
      </c>
      <c r="C47" s="73"/>
      <c r="D47" s="73"/>
      <c r="E47" s="74" t="s">
        <v>585</v>
      </c>
    </row>
    <row r="48" customFormat="false" ht="21" hidden="false" customHeight="true" outlineLevel="0" collapsed="false">
      <c r="A48" s="72" t="s">
        <v>586</v>
      </c>
      <c r="B48" s="55" t="n">
        <f aca="false">COUNTIF(B29:B36,"Not Started")</f>
        <v>8</v>
      </c>
      <c r="C48" s="73"/>
      <c r="D48" s="73"/>
      <c r="E48" s="74" t="s">
        <v>587</v>
      </c>
    </row>
    <row r="49" customFormat="false" ht="21" hidden="false" customHeight="true" outlineLevel="0" collapsed="false">
      <c r="A49" s="72" t="s">
        <v>588</v>
      </c>
      <c r="B49" s="55" t="n">
        <f aca="false">COUNTA(E4:E13)</f>
        <v>0</v>
      </c>
      <c r="C49" s="73"/>
      <c r="D49" s="73"/>
      <c r="E49" s="75" t="s">
        <v>589</v>
      </c>
    </row>
    <row r="50" customFormat="false" ht="21" hidden="false" customHeight="true" outlineLevel="0" collapsed="false">
      <c r="A50" s="72" t="s">
        <v>590</v>
      </c>
      <c r="B50" s="55" t="str">
        <f aca="false">IF(COUNTA(E4:E13)=0,"Empty",IF(COUNTA(E4:E13)&lt;10,"Partial","Complete"))</f>
        <v>Empty</v>
      </c>
      <c r="C50" s="73"/>
      <c r="D50" s="73"/>
      <c r="E50" s="74" t="s">
        <v>591</v>
      </c>
    </row>
    <row r="51" customFormat="false" ht="21" hidden="false" customHeight="true" outlineLevel="0" collapsed="false">
      <c r="A51" s="72" t="s">
        <v>592</v>
      </c>
      <c r="B51" s="55" t="str">
        <f aca="false">IF(COUNTIF(B19:B24,"In Progress")&gt;0,INDEX(A19:A24,MATCH("In Progress",B19:B24,0)),IF(COUNTIF(B19:B24,"Done")=6,"All phases done — wrap-up phase","Not started"))</f>
        <v>Not started</v>
      </c>
      <c r="C51" s="73"/>
      <c r="D51" s="73"/>
      <c r="E51" s="74" t="s">
        <v>593</v>
      </c>
    </row>
  </sheetData>
  <mergeCells count="1">
    <mergeCell ref="A38:C38"/>
  </mergeCells>
  <dataValidations count="2">
    <dataValidation allowBlank="true" errorStyle="stop" operator="between" showDropDown="false" showErrorMessage="false" showInputMessage="false" sqref="B18:B23" type="list">
      <formula1>"Not Started,In Progress,Done,Blocked,Skipped"</formula1>
      <formula2>0</formula2>
    </dataValidation>
    <dataValidation allowBlank="true" errorStyle="stop" operator="between" showDropDown="false" showErrorMessage="false" showInputMessage="false" sqref="B28:B35" type="list">
      <formula1>"Not Started,In Progress,Done,Skipped,Not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2026-06-28T19:27:52Z</dcterms:created>
  <dc:creator>openpyxl</dc:creator>
  <dc:description/>
  <dc:language>en-US</dc:language>
  <cp:lastModifiedBy>maciek szczech</cp:lastModifiedBy>
  <dcterms:modified xsi:type="dcterms:W3CDTF">2026-09-21T14:59:32Z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