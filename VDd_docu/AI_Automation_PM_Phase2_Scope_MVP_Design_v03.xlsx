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ms/Documents/_VortexDeep/VD_AI_Automation_Excel/_VDAIA_MAIN_v2/"/>
    </mc:Choice>
  </mc:AlternateContent>
  <xr:revisionPtr revIDLastSave="0" documentId="13_ncr:1_{A7A5A6DB-9065-4A4E-9C51-14A39006649F}" xr6:coauthVersionLast="47" xr6:coauthVersionMax="47" xr10:uidLastSave="{00000000-0000-0000-0000-000000000000}"/>
  <bookViews>
    <workbookView xWindow="0" yWindow="660" windowWidth="26980" windowHeight="19820" tabRatio="500" xr2:uid="{00000000-000D-0000-FFFF-FFFF00000000}"/>
  </bookViews>
  <sheets>
    <sheet name="START HERE" sheetId="1" r:id="rId1"/>
    <sheet name="Scope Decision Helper" sheetId="2" r:id="rId2"/>
    <sheet name="Phase1 to Phase2 Handoff" sheetId="3" r:id="rId3"/>
    <sheet name="Phase2 Scope Builder" sheetId="4" r:id="rId4"/>
    <sheet name="MVP Definition" sheetId="5" r:id="rId5"/>
    <sheet name="In-Out Scope Matrix" sheetId="6" r:id="rId6"/>
    <sheet name="Automation Boundary" sheetId="7" r:id="rId7"/>
    <sheet name="Priority Scoring" sheetId="8" r:id="rId8"/>
    <sheet name="Final Scope Summary" sheetId="9" r:id="rId9"/>
    <sheet name="Lists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1" i="9" l="1"/>
  <c r="D20" i="9"/>
  <c r="D19" i="9"/>
  <c r="D18" i="9"/>
  <c r="D17" i="9"/>
  <c r="D16" i="9"/>
  <c r="D15" i="9"/>
  <c r="I34" i="8"/>
  <c r="K34" i="8" s="1"/>
  <c r="H34" i="8"/>
  <c r="H33" i="8"/>
  <c r="I33" i="8" s="1"/>
  <c r="K33" i="8" s="1"/>
  <c r="I32" i="8"/>
  <c r="K32" i="8" s="1"/>
  <c r="H32" i="8"/>
  <c r="H31" i="8"/>
  <c r="I31" i="8" s="1"/>
  <c r="K31" i="8" s="1"/>
  <c r="H30" i="8"/>
  <c r="I30" i="8" s="1"/>
  <c r="K30" i="8" s="1"/>
  <c r="H29" i="8"/>
  <c r="I29" i="8" s="1"/>
  <c r="K29" i="8" s="1"/>
  <c r="I28" i="8"/>
  <c r="K28" i="8" s="1"/>
  <c r="H28" i="8"/>
  <c r="K27" i="8"/>
  <c r="I27" i="8"/>
  <c r="H27" i="8"/>
  <c r="H26" i="8"/>
  <c r="I26" i="8" s="1"/>
  <c r="K26" i="8" s="1"/>
  <c r="H25" i="8"/>
  <c r="I25" i="8" s="1"/>
  <c r="K25" i="8" s="1"/>
  <c r="I24" i="8"/>
  <c r="K24" i="8" s="1"/>
  <c r="H24" i="8"/>
  <c r="H23" i="8"/>
  <c r="I23" i="8" s="1"/>
  <c r="K23" i="8" s="1"/>
  <c r="H22" i="8"/>
  <c r="I22" i="8" s="1"/>
  <c r="K22" i="8" s="1"/>
  <c r="H21" i="8"/>
  <c r="I21" i="8" s="1"/>
  <c r="K21" i="8" s="1"/>
  <c r="H20" i="8"/>
  <c r="I20" i="8" s="1"/>
  <c r="K20" i="8" s="1"/>
  <c r="H19" i="8"/>
  <c r="I19" i="8" s="1"/>
  <c r="K19" i="8" s="1"/>
  <c r="I18" i="8"/>
  <c r="K18" i="8" s="1"/>
  <c r="H18" i="8"/>
  <c r="K17" i="8"/>
  <c r="I17" i="8"/>
  <c r="H17" i="8"/>
  <c r="H16" i="8"/>
  <c r="I16" i="8" s="1"/>
  <c r="K16" i="8" s="1"/>
  <c r="H15" i="8"/>
  <c r="I15" i="8" s="1"/>
  <c r="K15" i="8" s="1"/>
  <c r="I14" i="8"/>
  <c r="K14" i="8" s="1"/>
  <c r="H14" i="8"/>
  <c r="H13" i="8"/>
  <c r="I13" i="8" s="1"/>
  <c r="K13" i="8" s="1"/>
  <c r="H12" i="8"/>
  <c r="I12" i="8" s="1"/>
  <c r="K12" i="8" s="1"/>
  <c r="H11" i="8"/>
  <c r="I11" i="8" s="1"/>
  <c r="K11" i="8" s="1"/>
  <c r="H10" i="8"/>
  <c r="I10" i="8" s="1"/>
  <c r="K10" i="8" s="1"/>
  <c r="H9" i="8"/>
  <c r="I9" i="8" s="1"/>
  <c r="K9" i="8" s="1"/>
  <c r="I8" i="8"/>
  <c r="K8" i="8" s="1"/>
  <c r="H8" i="8"/>
  <c r="K7" i="8"/>
  <c r="I7" i="8"/>
  <c r="H7" i="8"/>
  <c r="H6" i="8"/>
  <c r="I6" i="8" s="1"/>
  <c r="K6" i="8" s="1"/>
  <c r="H5" i="8"/>
  <c r="I5" i="8" s="1"/>
  <c r="K5" i="8" s="1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C22" i="2"/>
  <c r="C21" i="2"/>
  <c r="C20" i="2"/>
  <c r="C19" i="2"/>
  <c r="C18" i="2"/>
  <c r="C66" i="1"/>
  <c r="C65" i="1"/>
  <c r="C64" i="1"/>
  <c r="C63" i="1"/>
  <c r="C53" i="1"/>
  <c r="C52" i="1"/>
  <c r="C51" i="1"/>
  <c r="C50" i="1"/>
  <c r="C59" i="1" l="1"/>
  <c r="C58" i="1"/>
  <c r="C57" i="1"/>
</calcChain>
</file>

<file path=xl/sharedStrings.xml><?xml version="1.0" encoding="utf-8"?>
<sst xmlns="http://schemas.openxmlformats.org/spreadsheetml/2006/main" count="587" uniqueCount="409">
  <si>
    <t>AI Automation Managed Services — Phase 2 Scope Definition / MVP Design</t>
  </si>
  <si>
    <t>Purpose</t>
  </si>
  <si>
    <t>Use this workbook after Phase 1 Discovery to convert client answers into a controlled MVP scope.</t>
  </si>
  <si>
    <t>Core question</t>
  </si>
  <si>
    <t>What exactly will we build first, what is excluded, and what must stay under human control?</t>
  </si>
  <si>
    <t>Main workflow</t>
  </si>
  <si>
    <t>1) Transfer relevant Phase 1 findings → 2) Decide scope → 3) Define MVP → 4) Set automation boundaries → 5) Produce final scope summary.</t>
  </si>
  <si>
    <t>MVP meaning</t>
  </si>
  <si>
    <t>Minimum Viable Product: the smallest useful and safe first automation version that solves the main client problem without unnecessary complexity.</t>
  </si>
  <si>
    <t>Important rule</t>
  </si>
  <si>
    <t>Do not include everything the client mentioned. Include only what is valuable, safe, feasible, and needed for the first version.</t>
  </si>
  <si>
    <t>Color guide</t>
  </si>
  <si>
    <t>Grey</t>
  </si>
  <si>
    <t>Fixed guidance / reference fields — normally do not edit.</t>
  </si>
  <si>
    <t>Green</t>
  </si>
  <si>
    <t>Client/discovery input — copied or summarized from Phase 1.</t>
  </si>
  <si>
    <t>Yellow</t>
  </si>
  <si>
    <t>Internal package / automation decision support.</t>
  </si>
  <si>
    <t>Blue</t>
  </si>
  <si>
    <t>PM decision fields — fill after analysis.</t>
  </si>
  <si>
    <t>Recommended step-by-step use</t>
  </si>
  <si>
    <t>1</t>
  </si>
  <si>
    <t>Open 'Phase1 to Phase2 Handoff' and summarize the strongest findings from Phase 1.</t>
  </si>
  <si>
    <t>2</t>
  </si>
  <si>
    <t>Use 'Phase2 Scope Builder' to decide Yes / Later / No for each requirement.</t>
  </si>
  <si>
    <t>3</t>
  </si>
  <si>
    <t>Use 'MVP Definition' to write the first version of the solution in plain language.</t>
  </si>
  <si>
    <t>4</t>
  </si>
  <si>
    <t>Use 'Automation Boundary' to define what AI may classify, draft, send, or escalate.</t>
  </si>
  <si>
    <t>5</t>
  </si>
  <si>
    <t>Use 'Priority Scoring' if there are too many possible features.</t>
  </si>
  <si>
    <t>6</t>
  </si>
  <si>
    <t>Complete 'Final Scope Summary' as the project-ready output.</t>
  </si>
  <si>
    <t>We planned this PM flow:</t>
  </si>
  <si>
    <t>Phase 1 — Discovery / Analysis</t>
  </si>
  <si>
    <t>Understand client needs, channels, risks, pain points, possible package direction.</t>
  </si>
  <si>
    <t>Phase 2 — Scope Definition / MVP Design</t>
  </si>
  <si>
    <t>Convert discovery answers into a clear first project scope.</t>
  </si>
  <si>
    <t>Phase 3 — Solution Blueprint</t>
  </si>
  <si>
    <t>Design workflow logic, tools, data fields, routing, approvals, security.</t>
  </si>
  <si>
    <t>Phase 4 — MVP Build</t>
  </si>
  <si>
    <t>Build the first safe automation version.</t>
  </si>
  <si>
    <t>Phase 5 — Testing / Validation</t>
  </si>
  <si>
    <t>Test real cases, edge cases, errors, wrong classifications, approvals.</t>
  </si>
  <si>
    <t>Phase 6 — Go-live / Managed Service</t>
  </si>
  <si>
    <t>Launch, monitor, maintain, improve, report.</t>
  </si>
  <si>
    <t>Phase 2 Progress (auto-computed)</t>
  </si>
  <si>
    <t>By MVP Decision (Phase2 Scope Builder col F)</t>
  </si>
  <si>
    <t>Status</t>
  </si>
  <si>
    <t>Meaning</t>
  </si>
  <si>
    <t>Count</t>
  </si>
  <si>
    <t>Yes</t>
  </si>
  <si>
    <t>Included in MVP.</t>
  </si>
  <si>
    <t>Later</t>
  </si>
  <si>
    <t>Deferred to a later phase.</t>
  </si>
  <si>
    <t>No</t>
  </si>
  <si>
    <t>Excluded from project.</t>
  </si>
  <si>
    <t>Needs clarification</t>
  </si>
  <si>
    <t>Open question — needs client confirmation.</t>
  </si>
  <si>
    <t>By Completeness (Phase2 Scope Builder col N)</t>
  </si>
  <si>
    <t>Empty</t>
  </si>
  <si>
    <t>No fields filled yet.</t>
  </si>
  <si>
    <t>Partial</t>
  </si>
  <si>
    <t>Some required fields still missing.</t>
  </si>
  <si>
    <t>Complete</t>
  </si>
  <si>
    <t>All required fields filled.</t>
  </si>
  <si>
    <t>By Workflow Status (Phase2 Scope Builder col M)</t>
  </si>
  <si>
    <t>Open</t>
  </si>
  <si>
    <t>Decision pending.</t>
  </si>
  <si>
    <t>Decided</t>
  </si>
  <si>
    <t>Decision locked.</t>
  </si>
  <si>
    <t>Blocked</t>
  </si>
  <si>
    <t>Cannot proceed — needs resolution.</t>
  </si>
  <si>
    <t>Needs client confirmation</t>
  </si>
  <si>
    <t>Waiting on client.</t>
  </si>
  <si>
    <t>Tip: ready for Phase 3 when (a) every Scope Builder row is 'Complete', (b) zero rows remain 'Needs clarification', and (c) the Final Scope Summary narrative fields are filled.</t>
  </si>
  <si>
    <t>Scope Decision Helper — one requirement at a time</t>
  </si>
  <si>
    <t>Use this for a single candidate requirement when you're unsure whether to include it in MVP, defer it, or exclude it. Fill the 9 yellow inputs; the blue cells suggest MVP Decision, Package Direction, Approval rule, Risk flag, and a top caution. PM judgment still final — this just removes the staring-at-a-blank-cell moment.</t>
  </si>
  <si>
    <t>INPUTS — about this one requirement</t>
  </si>
  <si>
    <t>#</t>
  </si>
  <si>
    <t>Question</t>
  </si>
  <si>
    <t>Allowed values</t>
  </si>
  <si>
    <t>Answer</t>
  </si>
  <si>
    <t>Q1</t>
  </si>
  <si>
    <t>Q1. Requirement (short label)</t>
  </si>
  <si>
    <t>Free text — e.g., 'Draft replies to booking questions'</t>
  </si>
  <si>
    <t>Q2</t>
  </si>
  <si>
    <t>Q2. Business Value (1-5, 5 = critical to client)</t>
  </si>
  <si>
    <t>1 / 2 / 3 / 4 / 5</t>
  </si>
  <si>
    <t>Q3</t>
  </si>
  <si>
    <t>Q3. Risk Level from Phase 1</t>
  </si>
  <si>
    <t>Low / Medium / High / Critical</t>
  </si>
  <si>
    <t>Medium</t>
  </si>
  <si>
    <t>Q4</t>
  </si>
  <si>
    <t>Q4. Feasibility (1-5, 5 = easy, APIs ready)</t>
  </si>
  <si>
    <t>Q5</t>
  </si>
  <si>
    <t>Q5. Complexity (1-5, 5 = very complex)</t>
  </si>
  <si>
    <t>Q6</t>
  </si>
  <si>
    <t>Q6. Sensitive topic? (health, legal, financial, emotional)</t>
  </si>
  <si>
    <t>Yes / No</t>
  </si>
  <si>
    <t>Q7</t>
  </si>
  <si>
    <t>Q7. Phase 1 flagged it as MVP-relevant?</t>
  </si>
  <si>
    <t>Yes / Later / No / Unknown</t>
  </si>
  <si>
    <t>Unknown</t>
  </si>
  <si>
    <t>Q8</t>
  </si>
  <si>
    <t>Q8. AI autonomy desired</t>
  </si>
  <si>
    <t>Classify only / Classify + draft / Draft + auto-send / Multi-step agent</t>
  </si>
  <si>
    <t>Classify + draft</t>
  </si>
  <si>
    <t>Q9</t>
  </si>
  <si>
    <t>Q9. Time pressure to deliver</t>
  </si>
  <si>
    <t>None / Some / High</t>
  </si>
  <si>
    <t>Some</t>
  </si>
  <si>
    <t>SUGGESTED DECISIONS (auto-calculated)</t>
  </si>
  <si>
    <t>Indicator</t>
  </si>
  <si>
    <t>Suggested Value (formula)</t>
  </si>
  <si>
    <t>Reasoning hint</t>
  </si>
  <si>
    <t>O1</t>
  </si>
  <si>
    <t>Suggested MVP Decision</t>
  </si>
  <si>
    <t>Risk Critical → No. Phase 1 Unknown → Needs clarification. Low feasibility → Later. High value + manageable → Yes.</t>
  </si>
  <si>
    <t>O2</t>
  </si>
  <si>
    <t>Suggested Package Direction</t>
  </si>
  <si>
    <t>Multi-step → Agentic. Auto-send → Pro/Managed. Drafts → Pro. Classify only → Basic.</t>
  </si>
  <si>
    <t>O3</t>
  </si>
  <si>
    <t>Approval rule (product flag)</t>
  </si>
  <si>
    <t>Sensitive or high-risk → always approve. Classify-only → no approval needed.</t>
  </si>
  <si>
    <t>O4</t>
  </si>
  <si>
    <t>Risk flag</t>
  </si>
  <si>
    <t>Surfaces blockers and high-risk combinations early.</t>
  </si>
  <si>
    <t>O5</t>
  </si>
  <si>
    <t>Top caution</t>
  </si>
  <si>
    <t>The single biggest watch-out for this requirement.</t>
  </si>
  <si>
    <t>How to use this with the Scope Builder:</t>
  </si>
  <si>
    <t xml:space="preserve">  1) Fill the 9 yellow inputs for one candidate requirement.</t>
  </si>
  <si>
    <t xml:space="preserve">  2) Read the 5 blue suggestions.</t>
  </si>
  <si>
    <t xml:space="preserve">  3) Open Phase2 Scope Builder, add a new row with the requirement and PM-confirm the values (Risk, MVP Decision, Package, Approval, Status). The Helper does not write to the Scope Builder automatically.</t>
  </si>
  <si>
    <t xml:space="preserve">  4) Use Priority Scoring for cross-comparison when you have many candidates.</t>
  </si>
  <si>
    <t>Caveat: the Helper is decision support, not authority. PM judgment overrides whenever local context (client trust, contract scope, existing tools) changes the picture.</t>
  </si>
  <si>
    <t>Phase 1 Finding / Flag</t>
  </si>
  <si>
    <t>Client Answer / Evidence (GREEN)</t>
  </si>
  <si>
    <t>Risk Level (GREEN)</t>
  </si>
  <si>
    <t>Possible Package Direction (YELLOW)</t>
  </si>
  <si>
    <t>Phase 2 Question to Decide (BLUE)</t>
  </si>
  <si>
    <t>Decision Owner</t>
  </si>
  <si>
    <t>Notes</t>
  </si>
  <si>
    <t>Channels used</t>
  </si>
  <si>
    <t>Example: Gmail, Instagram, website form</t>
  </si>
  <si>
    <t>Pro</t>
  </si>
  <si>
    <t>Which channels enter MVP first?</t>
  </si>
  <si>
    <t>PM + Client</t>
  </si>
  <si>
    <t>Start with highest-value / easiest channel.</t>
  </si>
  <si>
    <t>Main pain point</t>
  </si>
  <si>
    <t>Example: too much time answering booking questions</t>
  </si>
  <si>
    <t>Low</t>
  </si>
  <si>
    <t>Basic</t>
  </si>
  <si>
    <t>Which pain must MVP solve first?</t>
  </si>
  <si>
    <t>PM</t>
  </si>
  <si>
    <t>Avoid solving secondary problems in first version.</t>
  </si>
  <si>
    <t>Sensitive data</t>
  </si>
  <si>
    <t>Example: clients sometimes share personal/health details</t>
  </si>
  <si>
    <t>High</t>
  </si>
  <si>
    <t>Managed</t>
  </si>
  <si>
    <t>Which messages require human-only handling?</t>
  </si>
  <si>
    <t>No direct AI advice for sensitive topics.</t>
  </si>
  <si>
    <t>Approval preference</t>
  </si>
  <si>
    <t>Example: client wants to approve all outgoing replies</t>
  </si>
  <si>
    <t>Can AI create drafts only?</t>
  </si>
  <si>
    <t>Client</t>
  </si>
  <si>
    <t>Human approval protects quality.</t>
  </si>
  <si>
    <t>Reporting need</t>
  </si>
  <si>
    <t>Example: client wants weekly overview of missed inquiries</t>
  </si>
  <si>
    <t>Is reporting in MVP or later?</t>
  </si>
  <si>
    <t>Could be Managed package driver.</t>
  </si>
  <si>
    <t>ID</t>
  </si>
  <si>
    <t>Requirement / Need from Phase 1</t>
  </si>
  <si>
    <t>Source / Evidence</t>
  </si>
  <si>
    <t>Business Value</t>
  </si>
  <si>
    <t>Risk Level</t>
  </si>
  <si>
    <t>MVP Decision</t>
  </si>
  <si>
    <t>Package Direction</t>
  </si>
  <si>
    <t>Automation Method Candidate</t>
  </si>
  <si>
    <t>Human Approval Required?</t>
  </si>
  <si>
    <t>Scope Boundary / Constraint</t>
  </si>
  <si>
    <t>Output / Decision</t>
  </si>
  <si>
    <t>Next Action</t>
  </si>
  <si>
    <t>Completeness Status (AUTO)</t>
  </si>
  <si>
    <t>Classify website form inquiries</t>
  </si>
  <si>
    <t>Website form sends subject + message</t>
  </si>
  <si>
    <t>Reduce manual sorting</t>
  </si>
  <si>
    <t>AI classification</t>
  </si>
  <si>
    <t>Only classify, no auto-send</t>
  </si>
  <si>
    <t>Build as MVP core</t>
  </si>
  <si>
    <t>Define categories</t>
  </si>
  <si>
    <t>Route spam/test messages</t>
  </si>
  <si>
    <t>Many low-value messages</t>
  </si>
  <si>
    <t>Reduce inbox noise</t>
  </si>
  <si>
    <t>Rule-based automation</t>
  </si>
  <si>
    <t>Move to review folder, do not delete</t>
  </si>
  <si>
    <t>Include in MVP</t>
  </si>
  <si>
    <t>Create folder labels</t>
  </si>
  <si>
    <t>Draft replies to booking questions</t>
  </si>
  <si>
    <t>Client loses time replying</t>
  </si>
  <si>
    <t>Save response time</t>
  </si>
  <si>
    <t>AI draft reply</t>
  </si>
  <si>
    <t>Draft only; human sends</t>
  </si>
  <si>
    <t>Include if approved</t>
  </si>
  <si>
    <t>Collect approved answer templates</t>
  </si>
  <si>
    <t>Instagram DM intake</t>
  </si>
  <si>
    <t>Client receives social messages</t>
  </si>
  <si>
    <t>No missed leads</t>
  </si>
  <si>
    <t>Depends on Meta access/API</t>
  </si>
  <si>
    <t>Phase 2 or later</t>
  </si>
  <si>
    <t>Check account/API feasibility</t>
  </si>
  <si>
    <t>Auto-send replies to sensitive topics</t>
  </si>
  <si>
    <t>Sensitive content possible</t>
  </si>
  <si>
    <t>Risk reduction</t>
  </si>
  <si>
    <t>Not applicable</t>
  </si>
  <si>
    <t>Manual only</t>
  </si>
  <si>
    <t>Always</t>
  </si>
  <si>
    <t>Never auto-send</t>
  </si>
  <si>
    <t>Excluded</t>
  </si>
  <si>
    <t>Document boundary</t>
  </si>
  <si>
    <t>[Lead Pipeline] Score and route inbound leads by source and value</t>
  </si>
  <si>
    <t>CRM / web form / email submissions</t>
  </si>
  <si>
    <t>Faster follow-up; no missed high-value leads</t>
  </si>
  <si>
    <t>AI classification + CRM logging</t>
  </si>
  <si>
    <t>Conditional</t>
  </si>
  <si>
    <t>CRM enrichment only; no auto-send of proposals or follow-up sequences</t>
  </si>
  <si>
    <t>Leads routed and logged; owner notified per category</t>
  </si>
  <si>
    <t>Map lead categories and routing rules</t>
  </si>
  <si>
    <t>[Document Processing] Extract invoice data and log to accounting</t>
  </si>
  <si>
    <t>Supplier invoices received by email (PDF attachments)</t>
  </si>
  <si>
    <t>Saves 3–4 h/week on manual data entry</t>
  </si>
  <si>
    <t>Extract and log only; human confirms before posting to accounting system</t>
  </si>
  <si>
    <t>Invoice fields extracted and logged; mismatches flagged for review</t>
  </si>
  <si>
    <t>Define required extraction fields and acceptable error threshold</t>
  </si>
  <si>
    <t>[Content &amp; Marketing] Repurpose blog post into platform-specific draft formats</t>
  </si>
  <si>
    <t>Client produces weekly long-form post or article</t>
  </si>
  <si>
    <t>Saves 2 h/week; extends reach without extra writing effort</t>
  </si>
  <si>
    <t>Draft only; no auto-publish; one source format per run in MVP</t>
  </si>
  <si>
    <t>Draft posts for Instagram, LinkedIn, and newsletter ready for owner review</t>
  </si>
  <si>
    <t>Agree on approved tone guide and platform templates</t>
  </si>
  <si>
    <t>[Internal Ops] Route approval requests with automated reminder</t>
  </si>
  <si>
    <t>Staff submit requests by email or intake form</t>
  </si>
  <si>
    <t>Reduces approval delays from days to hours</t>
  </si>
  <si>
    <t>Routing and notification only; no auto-approve under any circumstance</t>
  </si>
  <si>
    <t>Request logged; approver notified; reminder sent if no reply within 24h</t>
  </si>
  <si>
    <t>Define routing rules, approver list, and reminder timing</t>
  </si>
  <si>
    <t>[Reporting] Weekly KPI digest pulled from CRM and calendar</t>
  </si>
  <si>
    <t>Existing CRM and calendar data sources</t>
  </si>
  <si>
    <t>Saves 1 h/week; ensures consistent management visibility</t>
  </si>
  <si>
    <t>Monitoring/reporting</t>
  </si>
  <si>
    <t>Read-only data access only; no write actions</t>
  </si>
  <si>
    <t>Weekly email digest with agreed KPIs sent to defined recipients</t>
  </si>
  <si>
    <t>Agree on KPIs, recipients, and report cadence</t>
  </si>
  <si>
    <t>[Finance &amp; Admin] Send payment reminders for overdue invoices</t>
  </si>
  <si>
    <t>Accounting tool export or spreadsheet (Bexio / Banana / CSV)</t>
  </si>
  <si>
    <t>Reduces overdue accounts; replaces manual follow-up</t>
  </si>
  <si>
    <t>Reminder only; no payment processing or accounting write-back</t>
  </si>
  <si>
    <t>Reminder sent at day 7 and day 14 after due date</t>
  </si>
  <si>
    <t>Define overdue threshold and approved reminder text</t>
  </si>
  <si>
    <t>[Scheduling] Propose available calendar slots in reply to meeting request</t>
  </si>
  <si>
    <t>Incoming email or form requesting an appointment</t>
  </si>
  <si>
    <t>Removes scheduling back-and-forth; faster booking confirmation</t>
  </si>
  <si>
    <t>Agentic</t>
  </si>
  <si>
    <t>Agentic calendar action</t>
  </si>
  <si>
    <t>Read-only calendar access in MVP; no auto-booking or event creation</t>
  </si>
  <si>
    <t>Draft reply with 3 available slots ready for human to review and send</t>
  </si>
  <si>
    <t>Confirm calendar API access and permission scope</t>
  </si>
  <si>
    <t>[Customer Support] Triage and route support tickets by urgency and type</t>
  </si>
  <si>
    <t>Support inbox or shared helpdesk email</t>
  </si>
  <si>
    <t>Reduces response time; urgent cases handled with priority</t>
  </si>
  <si>
    <t>Triage and routing only; no auto-reply to customers in MVP</t>
  </si>
  <si>
    <t>Ticket classified, tagged, and routed to correct agent queue</t>
  </si>
  <si>
    <t>Define ticket categories and urgency keywords</t>
  </si>
  <si>
    <t>[E-commerce] Send order confirmation and shipping update notifications</t>
  </si>
  <si>
    <t>E-commerce platform order events / webhooks</t>
  </si>
  <si>
    <t>Reduces WISMO inquiries; improves customer experience</t>
  </si>
  <si>
    <t>Outbound notification only; no order modification or refund logic</t>
  </si>
  <si>
    <t>Order confirmation and shipping update sent automatically on trigger</t>
  </si>
  <si>
    <t>Confirm webhook access and notification templates</t>
  </si>
  <si>
    <t>Phase 2 Output — MVP Definition</t>
  </si>
  <si>
    <t>MVP Element</t>
  </si>
  <si>
    <t>Instruction</t>
  </si>
  <si>
    <t>Example</t>
  </si>
  <si>
    <t>Your Phase 2 Decision (EDIT)</t>
  </si>
  <si>
    <t>MVP Goal</t>
  </si>
  <si>
    <t>Write one clear sentence describing the first useful automation version.</t>
  </si>
  <si>
    <t>Example: Reduce manual checking of Gmail and website inquiries by classifying messages, logging them, and preparing human-approved replies.</t>
  </si>
  <si>
    <t>Primary Business Problem</t>
  </si>
  <si>
    <t>What problem must be solved first?</t>
  </si>
  <si>
    <t>Example: Client loses time sorting and answering repeated booking questions.</t>
  </si>
  <si>
    <t>Included Channels</t>
  </si>
  <si>
    <t>Only channels in first version.</t>
  </si>
  <si>
    <t>Example: Gmail + website form. Instagram later.</t>
  </si>
  <si>
    <t>Included Message Categories</t>
  </si>
  <si>
    <t>Categories handled in MVP.</t>
  </si>
  <si>
    <t>Example: Booking, price question, spam/test, general inquiry.</t>
  </si>
  <si>
    <t>Included Automations</t>
  </si>
  <si>
    <t>Concrete automations included.</t>
  </si>
  <si>
    <t>Example: classify, route, create CRM item, draft reply.</t>
  </si>
  <si>
    <t>Human Approval Points</t>
  </si>
  <si>
    <t>Where human must approve before action.</t>
  </si>
  <si>
    <t>Example: all outgoing replies must be reviewed.</t>
  </si>
  <si>
    <t>Explicit Exclusions</t>
  </si>
  <si>
    <t>What is not included now.</t>
  </si>
  <si>
    <t>Example: WhatsApp, payment handling, automatic sending, sensitive advice.</t>
  </si>
  <si>
    <t>Success Criteria</t>
  </si>
  <si>
    <t>How we know MVP works.</t>
  </si>
  <si>
    <t>Example: 90%+ correct routing in test set; zero auto-sent sensitive replies.</t>
  </si>
  <si>
    <t>Internal direction only, not final offer.</t>
  </si>
  <si>
    <t>Example: Basic now, Pro later.</t>
  </si>
  <si>
    <t>Item / Feature</t>
  </si>
  <si>
    <t>In Scope</t>
  </si>
  <si>
    <t>Out of Scope</t>
  </si>
  <si>
    <t>Reason / Boundary</t>
  </si>
  <si>
    <t>Client Confirmation Needed?</t>
  </si>
  <si>
    <t>Gmail intake</t>
  </si>
  <si>
    <t>Core MVP channel</t>
  </si>
  <si>
    <t>Website form intake</t>
  </si>
  <si>
    <t>Needs API/access check</t>
  </si>
  <si>
    <t>Automatic email sending</t>
  </si>
  <si>
    <t>Not in first version due to approval risk</t>
  </si>
  <si>
    <t>AI draft replies</t>
  </si>
  <si>
    <t>Draft only, human sends</t>
  </si>
  <si>
    <t>Sensitive advice replies</t>
  </si>
  <si>
    <t>Human-only</t>
  </si>
  <si>
    <t>Message / Task Type</t>
  </si>
  <si>
    <t>AI May Classify?</t>
  </si>
  <si>
    <t>AI May Summarize?</t>
  </si>
  <si>
    <t>AI May Draft?</t>
  </si>
  <si>
    <t>AI May Send?</t>
  </si>
  <si>
    <t>AI May Update CRM?</t>
  </si>
  <si>
    <t>Human Approval Rule</t>
  </si>
  <si>
    <t>Escalation / Boundary Note</t>
  </si>
  <si>
    <t>Booking request</t>
  </si>
  <si>
    <t>Human approves reply</t>
  </si>
  <si>
    <t>No autonomous booking in MVP unless approved.</t>
  </si>
  <si>
    <t>Price question</t>
  </si>
  <si>
    <t>Use approved FAQ only.</t>
  </si>
  <si>
    <t>Spam/Test</t>
  </si>
  <si>
    <t>No approval needed for folder routing</t>
  </si>
  <si>
    <t>Move to review folder; do not delete.</t>
  </si>
  <si>
    <t>Complaint</t>
  </si>
  <si>
    <t>Always human</t>
  </si>
  <si>
    <t>Mark urgent / review.</t>
  </si>
  <si>
    <t>Sensitive personal/health/legal/financial topic</t>
  </si>
  <si>
    <t>Maybe</t>
  </si>
  <si>
    <t>No advice; escalate to business owner.</t>
  </si>
  <si>
    <t>Priority Scoring — rank candidate features for MVP</t>
  </si>
  <si>
    <t>Score each candidate feature on 5 dimensions (1-5). The score, class, and suggested MVP decision are calculated automatically. Lower complexity is better — that dimension is subtracted, not added. Empty rows are blank (no fake scores).</t>
  </si>
  <si>
    <t>Feature / Requirement</t>
  </si>
  <si>
    <t>Business Value
(1-5)</t>
  </si>
  <si>
    <t>Urgency
(1-5)</t>
  </si>
  <si>
    <t>Risk Reduction
(1-5)</t>
  </si>
  <si>
    <t>Complexity
(1-5)
(subtracts!)</t>
  </si>
  <si>
    <t>Data/API Feasibility
(1-5)</t>
  </si>
  <si>
    <t>Priority Score
(auto)</t>
  </si>
  <si>
    <t>Priority Class
(auto)</t>
  </si>
  <si>
    <t>MVP Decision
(your call)</t>
  </si>
  <si>
    <t>Suggested MVP
(auto)</t>
  </si>
  <si>
    <t>Classify Gmail inquiries</t>
  </si>
  <si>
    <t>Classify Instagram DMs</t>
  </si>
  <si>
    <t>Auto-send replies (sensitive)</t>
  </si>
  <si>
    <t>How the formulas work</t>
  </si>
  <si>
    <t>Priority Score</t>
  </si>
  <si>
    <t>Formula: (Business Value + Urgency + Risk Reduction + Feasibility) − Complexity. Range: −4 to 20.</t>
  </si>
  <si>
    <t>Priority Class — Must have</t>
  </si>
  <si>
    <t>Score ≥ 14. Strong candidate for MVP.</t>
  </si>
  <si>
    <t>Priority Class — Should have</t>
  </si>
  <si>
    <t>Score 10-13. Solid candidate.</t>
  </si>
  <si>
    <t>Priority Class — Could have</t>
  </si>
  <si>
    <t>Score 7-9. Optional / nice-to-have.</t>
  </si>
  <si>
    <t>Priority Class — Won't have now</t>
  </si>
  <si>
    <t>Score &lt; 7. Defer or exclude.</t>
  </si>
  <si>
    <t>Suggested MVP</t>
  </si>
  <si>
    <t>Must/Should → 'Yes'. Could → 'Later'. Won't → 'No'. You can override in the MVP Decision column.</t>
  </si>
  <si>
    <t>Complexity</t>
  </si>
  <si>
    <t>This is the only dimension that REDUCES the score. High complexity = harder = lower priority.</t>
  </si>
  <si>
    <t>Tip: enter the feature name in column B first — that activates the formulas. Leaving B blank keeps the row empty (no fake '0' score).</t>
  </si>
  <si>
    <t>Final Phase 2 Scope Summary</t>
  </si>
  <si>
    <t>Client / Project Name</t>
  </si>
  <si>
    <t>Date</t>
  </si>
  <si>
    <t>2026-06-23</t>
  </si>
  <si>
    <t>MVP Package Direction</t>
  </si>
  <si>
    <t>Prepared by</t>
  </si>
  <si>
    <t>Human Approval Rules</t>
  </si>
  <si>
    <t>Key Risks / Boundaries</t>
  </si>
  <si>
    <t>Next Phase Trigger</t>
  </si>
  <si>
    <t>Proceed to Phase 3 Solution Blueprint when client confirms this scope.</t>
  </si>
  <si>
    <t>Scope at a Glance (auto-computed)</t>
  </si>
  <si>
    <t>In Scope (MVP=Yes)</t>
  </si>
  <si>
    <t>Deferred (MVP=Later)</t>
  </si>
  <si>
    <t>Excluded (MVP=No)</t>
  </si>
  <si>
    <t>High-risk items (Risk=High or Critical)</t>
  </si>
  <si>
    <t>Items requiring human approval</t>
  </si>
  <si>
    <t>Total scope items defined</t>
  </si>
  <si>
    <t>Automation Method</t>
  </si>
  <si>
    <t>Human Approval</t>
  </si>
  <si>
    <t>Priority</t>
  </si>
  <si>
    <t>Must have</t>
  </si>
  <si>
    <t>Should have</t>
  </si>
  <si>
    <t>AI summary</t>
  </si>
  <si>
    <t>Could have</t>
  </si>
  <si>
    <t>Critical</t>
  </si>
  <si>
    <t>Won't have now</t>
  </si>
  <si>
    <t>Mixed</t>
  </si>
  <si>
    <t>Human approval workflow</t>
  </si>
  <si>
    <t>CRM logging</t>
  </si>
  <si>
    <t>Agentic CRM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</si>
</sst>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  <charset val="1"/>
    </font>
    <font>
      <b/>
      <sz val="14"/>
      <color rgb="FFFFFFFF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name val="Calibri"/>
      <family val="2"/>
      <charset val="1"/>
    </font>
    <font>
      <b/>
      <sz val="14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3"/>
      <color rgb="FFFFFFFF"/>
      <name val="Calibri"/>
      <family val="2"/>
      <charset val="1"/>
    </font>
    <font>
      <b/>
      <sz val="14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i/>
      <sz val="11"/>
      <color rgb="FFFF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DDEBF7"/>
      </patternFill>
    </fill>
    <fill>
      <patternFill patternType="solid">
        <fgColor rgb="FFE7E6E6"/>
        <bgColor rgb="FFDDEBF7"/>
      </patternFill>
    </fill>
    <fill>
      <patternFill patternType="solid">
        <fgColor rgb="FFE2F0D9"/>
        <bgColor rgb="FFD9EAD3"/>
      </patternFill>
    </fill>
    <fill>
      <patternFill patternType="solid">
        <fgColor rgb="FFFFF2CC"/>
        <bgColor rgb="FFFCE4E4"/>
      </patternFill>
    </fill>
    <fill>
      <patternFill patternType="solid">
        <fgColor rgb="FFDDEBF7"/>
        <bgColor rgb="FFD9EAF7"/>
      </patternFill>
    </fill>
    <fill>
      <patternFill patternType="solid">
        <fgColor rgb="FF000000"/>
        <bgColor rgb="FF0033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1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horizontal="left" vertical="center" wrapText="1"/>
    </xf>
    <xf numFmtId="0" fontId="12" fillId="0" borderId="0" xfId="0" applyFont="1"/>
    <xf numFmtId="0" fontId="10" fillId="0" borderId="0" xfId="0" applyFont="1" applyAlignment="1">
      <alignment vertical="top" wrapText="1"/>
    </xf>
    <xf numFmtId="0" fontId="9" fillId="0" borderId="0" xfId="0" applyFont="1"/>
    <xf numFmtId="0" fontId="8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horizontal="center" vertical="center" wrapText="1"/>
    </xf>
    <xf numFmtId="0" fontId="5" fillId="0" borderId="0" xfId="0" applyFont="1"/>
    <xf numFmtId="0" fontId="4" fillId="0" borderId="0" xfId="0" applyFont="1" applyAlignment="1">
      <alignment vertical="top" wrapText="1"/>
    </xf>
    <xf numFmtId="0" fontId="2" fillId="4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horizontal="center" wrapText="1"/>
    </xf>
    <xf numFmtId="0" fontId="2" fillId="5" borderId="0" xfId="0" applyFont="1" applyFill="1" applyAlignment="1">
      <alignment horizontal="center" wrapText="1"/>
    </xf>
    <xf numFmtId="0" fontId="2" fillId="6" borderId="0" xfId="0" applyFont="1" applyFill="1" applyAlignment="1">
      <alignment horizontal="center" wrapText="1"/>
    </xf>
    <xf numFmtId="0" fontId="2" fillId="7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6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0" fillId="4" borderId="1" xfId="0" applyFill="1" applyBorder="1" applyAlignment="1">
      <alignment horizontal="center" vertical="center" wrapText="1"/>
    </xf>
    <xf numFmtId="0" fontId="0" fillId="8" borderId="0" xfId="0" applyFill="1" applyAlignment="1">
      <alignment horizontal="left" vertical="top" wrapText="1"/>
    </xf>
    <xf numFmtId="0" fontId="3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7" borderId="0" xfId="0" applyFill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6" fillId="6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wrapText="1"/>
    </xf>
    <xf numFmtId="0" fontId="0" fillId="7" borderId="0" xfId="0" applyFill="1" applyAlignment="1">
      <alignment wrapText="1"/>
    </xf>
    <xf numFmtId="0" fontId="3" fillId="2" borderId="0" xfId="0" applyFont="1" applyFill="1" applyAlignment="1">
      <alignment horizontal="center" vertical="center"/>
    </xf>
    <xf numFmtId="0" fontId="0" fillId="4" borderId="1" xfId="0" applyFill="1" applyBorder="1" applyAlignment="1">
      <alignment vertical="top" wrapText="1"/>
    </xf>
    <xf numFmtId="0" fontId="13" fillId="0" borderId="0" xfId="0" applyFont="1" applyAlignment="1">
      <alignment vertical="top" wrapText="1"/>
    </xf>
  </cellXfs>
  <cellStyles count="1">
    <cellStyle name="Normal" xfId="0" builtinId="0"/>
  </cellStyles>
  <dxfs count="14">
    <dxf>
      <fill>
        <patternFill>
          <bgColor rgb="FFFCE4E4"/>
        </patternFill>
      </fill>
    </dxf>
    <dxf>
      <fill>
        <patternFill>
          <bgColor rgb="FFFFF2CC"/>
        </patternFill>
      </fill>
    </dxf>
    <dxf>
      <fill>
        <patternFill>
          <bgColor rgb="FFD5EAD0"/>
        </patternFill>
      </fill>
    </dxf>
    <dxf>
      <fill>
        <patternFill>
          <bgColor rgb="FFFCE4E4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D5EAD0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ill>
        <patternFill>
          <bgColor theme="6" tint="0.59978026673177287"/>
        </patternFill>
      </fill>
    </dxf>
    <dxf>
      <fill>
        <patternFill>
          <bgColor rgb="FFFFFF00"/>
        </patternFill>
      </fill>
    </dxf>
    <dxf>
      <fill>
        <patternFill>
          <bgColor rgb="FFEA8885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EA8885"/>
      <rgbColor rgb="FF0066CC"/>
      <rgbColor rgb="FFE7E6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D5EAD0"/>
      <rgbColor rgb="FFE2F0D9"/>
      <rgbColor rgb="FF84E291"/>
      <rgbColor rgb="FFFCE4E4"/>
      <rgbColor rgb="FFD9EAD3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Phase1HandoffTable" displayName="Phase1HandoffTable" ref="A1:G20" totalsRowShown="0">
  <tableColumns count="7">
    <tableColumn id="1" xr3:uid="{00000000-0010-0000-0000-000001000000}" name="Phase 1 Finding / Flag"/>
    <tableColumn id="2" xr3:uid="{00000000-0010-0000-0000-000002000000}" name="Client Answer / Evidence (GREEN)"/>
    <tableColumn id="3" xr3:uid="{00000000-0010-0000-0000-000003000000}" name="Risk Level (GREEN)"/>
    <tableColumn id="4" xr3:uid="{00000000-0010-0000-0000-000004000000}" name="Possible Package Direction (YELLOW)"/>
    <tableColumn id="5" xr3:uid="{00000000-0010-0000-0000-000005000000}" name="Phase 2 Question to Decide (BLUE)"/>
    <tableColumn id="6" xr3:uid="{00000000-0010-0000-0000-000006000000}" name="Decision Owner"/>
    <tableColumn id="7" xr3:uid="{00000000-0010-0000-0000-000007000000}" name="Not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ScopeBuilderTable" displayName="ScopeBuilderTable" ref="A1:M50" totalsRowShown="0">
  <tableColumns count="13">
    <tableColumn id="1" xr3:uid="{00000000-0010-0000-0100-000001000000}" name="ID"/>
    <tableColumn id="2" xr3:uid="{00000000-0010-0000-0100-000002000000}" name="Requirement / Need from Phase 1"/>
    <tableColumn id="3" xr3:uid="{00000000-0010-0000-0100-000003000000}" name="Source / Evidence"/>
    <tableColumn id="4" xr3:uid="{00000000-0010-0000-0100-000004000000}" name="Business Value"/>
    <tableColumn id="5" xr3:uid="{00000000-0010-0000-0100-000005000000}" name="Risk Level"/>
    <tableColumn id="6" xr3:uid="{00000000-0010-0000-0100-000006000000}" name="MVP Decision"/>
    <tableColumn id="7" xr3:uid="{00000000-0010-0000-0100-000007000000}" name="Package Direction"/>
    <tableColumn id="8" xr3:uid="{00000000-0010-0000-0100-000008000000}" name="Automation Method Candidate"/>
    <tableColumn id="9" xr3:uid="{00000000-0010-0000-0100-000009000000}" name="Human Approval Required?"/>
    <tableColumn id="10" xr3:uid="{00000000-0010-0000-0100-00000A000000}" name="Scope Boundary / Constraint"/>
    <tableColumn id="11" xr3:uid="{00000000-0010-0000-0100-00000B000000}" name="Output / Decision"/>
    <tableColumn id="12" xr3:uid="{00000000-0010-0000-0100-00000C000000}" name="Next Action"/>
    <tableColumn id="13" xr3:uid="{00000000-0010-0000-0100-00000D000000}" name="Statu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copeMatrixTable" displayName="ScopeMatrixTable" ref="A1:F50" totalsRowShown="0">
  <tableColumns count="6">
    <tableColumn id="1" xr3:uid="{00000000-0010-0000-0200-000001000000}" name="Item / Feature"/>
    <tableColumn id="2" xr3:uid="{00000000-0010-0000-0200-000002000000}" name="In Scope"/>
    <tableColumn id="3" xr3:uid="{00000000-0010-0000-0200-000003000000}" name="Out of Scope"/>
    <tableColumn id="4" xr3:uid="{00000000-0010-0000-0200-000004000000}" name="Later"/>
    <tableColumn id="5" xr3:uid="{00000000-0010-0000-0200-000005000000}" name="Reason / Boundary"/>
    <tableColumn id="6" xr3:uid="{00000000-0010-0000-0200-000006000000}" name="Client Confirmation Needed?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AutomationBoundaryTable" displayName="AutomationBoundaryTable" ref="A1:H50" totalsRowShown="0">
  <tableColumns count="8">
    <tableColumn id="1" xr3:uid="{00000000-0010-0000-0300-000001000000}" name="Message / Task Type"/>
    <tableColumn id="2" xr3:uid="{00000000-0010-0000-0300-000002000000}" name="AI May Classify?"/>
    <tableColumn id="3" xr3:uid="{00000000-0010-0000-0300-000003000000}" name="AI May Summarize?"/>
    <tableColumn id="4" xr3:uid="{00000000-0010-0000-0300-000004000000}" name="AI May Draft?"/>
    <tableColumn id="5" xr3:uid="{00000000-0010-0000-0300-000005000000}" name="AI May Send?"/>
    <tableColumn id="6" xr3:uid="{00000000-0010-0000-0300-000006000000}" name="AI May Update CRM?"/>
    <tableColumn id="7" xr3:uid="{00000000-0010-0000-0300-000007000000}" name="Human Approval Rule"/>
    <tableColumn id="8" xr3:uid="{00000000-0010-0000-0300-000008000000}" name="Escalation / Boundary No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"/>
  <sheetViews>
    <sheetView tabSelected="1" zoomScale="120" zoomScaleNormal="120" workbookViewId="0">
      <selection activeCell="A3" sqref="A3"/>
    </sheetView>
  </sheetViews>
  <sheetFormatPr baseColWidth="10" defaultColWidth="8.83203125" defaultRowHeight="15" x14ac:dyDescent="0.2"/>
  <cols>
    <col min="1" max="1" width="28" customWidth="1"/>
    <col min="2" max="2" width="121.83203125" customWidth="1"/>
    <col min="3" max="3" width="13" customWidth="1"/>
  </cols>
  <sheetData>
    <row r="1" spans="1:3" s="15" customFormat="1" ht="33.75" customHeight="1" x14ac:dyDescent="0.2">
      <c r="A1" s="14" t="s">
        <v>0</v>
      </c>
      <c r="B1" s="14"/>
      <c r="C1" s="14"/>
    </row>
    <row r="2" spans="1:3" x14ac:dyDescent="0.2">
      <c r="A2" s="16"/>
      <c r="B2" s="16"/>
      <c r="C2" s="16"/>
    </row>
    <row r="3" spans="1:3" ht="21" customHeight="1" x14ac:dyDescent="0.2">
      <c r="A3" s="17" t="s">
        <v>1</v>
      </c>
      <c r="B3" s="16" t="s">
        <v>2</v>
      </c>
      <c r="C3" s="16"/>
    </row>
    <row r="4" spans="1:3" ht="21" customHeight="1" x14ac:dyDescent="0.2">
      <c r="A4" s="17" t="s">
        <v>3</v>
      </c>
      <c r="B4" s="16" t="s">
        <v>4</v>
      </c>
      <c r="C4" s="16"/>
    </row>
    <row r="5" spans="1:3" ht="21" customHeight="1" x14ac:dyDescent="0.2">
      <c r="A5" s="17" t="s">
        <v>5</v>
      </c>
      <c r="B5" s="16" t="s">
        <v>6</v>
      </c>
      <c r="C5" s="16"/>
    </row>
    <row r="6" spans="1:3" ht="21" customHeight="1" x14ac:dyDescent="0.2">
      <c r="A6" s="17" t="s">
        <v>7</v>
      </c>
      <c r="B6" s="16" t="s">
        <v>8</v>
      </c>
      <c r="C6" s="16"/>
    </row>
    <row r="7" spans="1:3" ht="21" customHeight="1" x14ac:dyDescent="0.2">
      <c r="A7" s="17" t="s">
        <v>9</v>
      </c>
      <c r="B7" s="16" t="s">
        <v>10</v>
      </c>
      <c r="C7" s="16"/>
    </row>
    <row r="8" spans="1:3" x14ac:dyDescent="0.2">
      <c r="A8" s="16"/>
      <c r="B8" s="16"/>
      <c r="C8" s="16"/>
    </row>
    <row r="9" spans="1:3" s="15" customFormat="1" ht="33.75" customHeight="1" x14ac:dyDescent="0.2">
      <c r="A9" s="13" t="s">
        <v>11</v>
      </c>
      <c r="B9" s="13"/>
      <c r="C9" s="13"/>
    </row>
    <row r="10" spans="1:3" x14ac:dyDescent="0.2">
      <c r="A10" s="16"/>
      <c r="B10" s="16"/>
      <c r="C10" s="16"/>
    </row>
    <row r="11" spans="1:3" ht="21" customHeight="1" x14ac:dyDescent="0.2">
      <c r="A11" s="18" t="s">
        <v>12</v>
      </c>
      <c r="B11" s="16" t="s">
        <v>13</v>
      </c>
      <c r="C11" s="16"/>
    </row>
    <row r="12" spans="1:3" ht="21" customHeight="1" x14ac:dyDescent="0.2">
      <c r="A12" s="19" t="s">
        <v>14</v>
      </c>
      <c r="B12" s="16" t="s">
        <v>15</v>
      </c>
      <c r="C12" s="16"/>
    </row>
    <row r="13" spans="1:3" ht="21" customHeight="1" x14ac:dyDescent="0.2">
      <c r="A13" s="20" t="s">
        <v>16</v>
      </c>
      <c r="B13" s="16" t="s">
        <v>17</v>
      </c>
      <c r="C13" s="16"/>
    </row>
    <row r="14" spans="1:3" ht="21" customHeight="1" x14ac:dyDescent="0.2">
      <c r="A14" s="21" t="s">
        <v>18</v>
      </c>
      <c r="B14" s="16" t="s">
        <v>19</v>
      </c>
      <c r="C14" s="16"/>
    </row>
    <row r="15" spans="1:3" x14ac:dyDescent="0.2">
      <c r="A15" s="16"/>
      <c r="B15" s="16"/>
      <c r="C15" s="16"/>
    </row>
    <row r="16" spans="1:3" s="15" customFormat="1" ht="33.75" customHeight="1" x14ac:dyDescent="0.2">
      <c r="A16" s="13" t="s">
        <v>20</v>
      </c>
      <c r="B16" s="13"/>
      <c r="C16" s="13"/>
    </row>
    <row r="17" spans="1:3" x14ac:dyDescent="0.2">
      <c r="A17" s="16"/>
      <c r="B17" s="16"/>
      <c r="C17" s="16"/>
    </row>
    <row r="18" spans="1:3" ht="21" customHeight="1" x14ac:dyDescent="0.2">
      <c r="A18" s="22" t="s">
        <v>21</v>
      </c>
      <c r="B18" s="16" t="s">
        <v>22</v>
      </c>
      <c r="C18" s="16"/>
    </row>
    <row r="19" spans="1:3" ht="21" customHeight="1" x14ac:dyDescent="0.2">
      <c r="A19" s="22" t="s">
        <v>23</v>
      </c>
      <c r="B19" s="16" t="s">
        <v>24</v>
      </c>
      <c r="C19" s="16"/>
    </row>
    <row r="20" spans="1:3" ht="21" customHeight="1" x14ac:dyDescent="0.2">
      <c r="A20" s="22" t="s">
        <v>25</v>
      </c>
      <c r="B20" s="16" t="s">
        <v>26</v>
      </c>
      <c r="C20" s="16"/>
    </row>
    <row r="21" spans="1:3" ht="21" customHeight="1" x14ac:dyDescent="0.2">
      <c r="A21" s="22" t="s">
        <v>27</v>
      </c>
      <c r="B21" s="16" t="s">
        <v>28</v>
      </c>
      <c r="C21" s="16"/>
    </row>
    <row r="22" spans="1:3" ht="21" customHeight="1" x14ac:dyDescent="0.2">
      <c r="A22" s="22" t="s">
        <v>29</v>
      </c>
      <c r="B22" s="16" t="s">
        <v>30</v>
      </c>
      <c r="C22" s="16"/>
    </row>
    <row r="23" spans="1:3" ht="21" customHeight="1" x14ac:dyDescent="0.2">
      <c r="A23" s="22" t="s">
        <v>31</v>
      </c>
      <c r="B23" s="16" t="s">
        <v>32</v>
      </c>
      <c r="C23" s="16"/>
    </row>
    <row r="26" spans="1:3" x14ac:dyDescent="0.2">
      <c r="A26" t="s">
        <v>33</v>
      </c>
    </row>
    <row r="28" spans="1:3" x14ac:dyDescent="0.2">
      <c r="A28" s="23" t="s">
        <v>34</v>
      </c>
    </row>
    <row r="29" spans="1:3" x14ac:dyDescent="0.2">
      <c r="A29" t="s">
        <v>35</v>
      </c>
    </row>
    <row r="31" spans="1:3" x14ac:dyDescent="0.2">
      <c r="A31" s="23" t="s">
        <v>36</v>
      </c>
    </row>
    <row r="32" spans="1:3" x14ac:dyDescent="0.2">
      <c r="A32" t="s">
        <v>37</v>
      </c>
    </row>
    <row r="34" spans="1:3" x14ac:dyDescent="0.2">
      <c r="A34" s="23" t="s">
        <v>38</v>
      </c>
    </row>
    <row r="35" spans="1:3" x14ac:dyDescent="0.2">
      <c r="A35" t="s">
        <v>39</v>
      </c>
    </row>
    <row r="37" spans="1:3" x14ac:dyDescent="0.2">
      <c r="A37" s="23" t="s">
        <v>40</v>
      </c>
    </row>
    <row r="38" spans="1:3" x14ac:dyDescent="0.2">
      <c r="A38" t="s">
        <v>41</v>
      </c>
    </row>
    <row r="40" spans="1:3" x14ac:dyDescent="0.2">
      <c r="A40" s="23" t="s">
        <v>42</v>
      </c>
    </row>
    <row r="41" spans="1:3" x14ac:dyDescent="0.2">
      <c r="A41" t="s">
        <v>43</v>
      </c>
    </row>
    <row r="43" spans="1:3" x14ac:dyDescent="0.2">
      <c r="A43" s="23" t="s">
        <v>44</v>
      </c>
    </row>
    <row r="44" spans="1:3" x14ac:dyDescent="0.2">
      <c r="A44" t="s">
        <v>45</v>
      </c>
    </row>
    <row r="46" spans="1:3" ht="15" customHeight="1" x14ac:dyDescent="0.2">
      <c r="A46" s="12" t="s">
        <v>46</v>
      </c>
      <c r="B46" s="12"/>
      <c r="C46" s="12"/>
    </row>
    <row r="48" spans="1:3" ht="15" customHeight="1" x14ac:dyDescent="0.2">
      <c r="A48" s="11" t="s">
        <v>47</v>
      </c>
      <c r="B48" s="11"/>
      <c r="C48" s="11"/>
    </row>
    <row r="49" spans="1:3" ht="15.75" customHeight="1" x14ac:dyDescent="0.2">
      <c r="A49" s="24" t="s">
        <v>48</v>
      </c>
      <c r="B49" s="24" t="s">
        <v>49</v>
      </c>
      <c r="C49" s="24" t="s">
        <v>50</v>
      </c>
    </row>
    <row r="50" spans="1:3" ht="15.75" customHeight="1" x14ac:dyDescent="0.2">
      <c r="A50" s="25" t="s">
        <v>51</v>
      </c>
      <c r="B50" s="26" t="s">
        <v>52</v>
      </c>
      <c r="C50" s="27">
        <f>COUNTIF('Phase2 Scope Builder'!F2:F100,"Yes")</f>
        <v>10</v>
      </c>
    </row>
    <row r="51" spans="1:3" ht="15.75" customHeight="1" x14ac:dyDescent="0.2">
      <c r="A51" s="25" t="s">
        <v>53</v>
      </c>
      <c r="B51" s="26" t="s">
        <v>54</v>
      </c>
      <c r="C51" s="27">
        <f>COUNTIF('Phase2 Scope Builder'!F2:F100,"Later")</f>
        <v>3</v>
      </c>
    </row>
    <row r="52" spans="1:3" ht="15.75" customHeight="1" x14ac:dyDescent="0.2">
      <c r="A52" s="25" t="s">
        <v>55</v>
      </c>
      <c r="B52" s="26" t="s">
        <v>56</v>
      </c>
      <c r="C52" s="27">
        <f>COUNTIF('Phase2 Scope Builder'!F2:F100,"No")</f>
        <v>1</v>
      </c>
    </row>
    <row r="53" spans="1:3" ht="15.75" customHeight="1" x14ac:dyDescent="0.2">
      <c r="A53" s="25" t="s">
        <v>57</v>
      </c>
      <c r="B53" s="26" t="s">
        <v>58</v>
      </c>
      <c r="C53" s="27">
        <f>COUNTIF('Phase2 Scope Builder'!F2:F100,"Needs clarification")</f>
        <v>0</v>
      </c>
    </row>
    <row r="55" spans="1:3" ht="15" customHeight="1" x14ac:dyDescent="0.2">
      <c r="A55" s="11" t="s">
        <v>59</v>
      </c>
      <c r="B55" s="11"/>
      <c r="C55" s="11"/>
    </row>
    <row r="56" spans="1:3" ht="15.75" customHeight="1" x14ac:dyDescent="0.2">
      <c r="A56" s="24" t="s">
        <v>48</v>
      </c>
      <c r="B56" s="24" t="s">
        <v>49</v>
      </c>
      <c r="C56" s="24" t="s">
        <v>50</v>
      </c>
    </row>
    <row r="57" spans="1:3" ht="15.75" customHeight="1" x14ac:dyDescent="0.2">
      <c r="A57" s="25" t="s">
        <v>60</v>
      </c>
      <c r="B57" s="26" t="s">
        <v>61</v>
      </c>
      <c r="C57" s="27">
        <f>COUNTIF('Phase2 Scope Builder'!N2:N100,"Empty")</f>
        <v>85</v>
      </c>
    </row>
    <row r="58" spans="1:3" ht="15.75" customHeight="1" x14ac:dyDescent="0.2">
      <c r="A58" s="25" t="s">
        <v>62</v>
      </c>
      <c r="B58" s="26" t="s">
        <v>63</v>
      </c>
      <c r="C58" s="27">
        <f>COUNTIF('Phase2 Scope Builder'!N2:N100,"Partial")</f>
        <v>0</v>
      </c>
    </row>
    <row r="59" spans="1:3" ht="15.75" customHeight="1" x14ac:dyDescent="0.2">
      <c r="A59" s="25" t="s">
        <v>64</v>
      </c>
      <c r="B59" s="26" t="s">
        <v>65</v>
      </c>
      <c r="C59" s="27">
        <f>COUNTIF('Phase2 Scope Builder'!N2:N100,"Complete")</f>
        <v>14</v>
      </c>
    </row>
    <row r="61" spans="1:3" ht="15" customHeight="1" x14ac:dyDescent="0.2">
      <c r="A61" s="11" t="s">
        <v>66</v>
      </c>
      <c r="B61" s="11"/>
      <c r="C61" s="11"/>
    </row>
    <row r="62" spans="1:3" ht="15.75" customHeight="1" x14ac:dyDescent="0.2">
      <c r="A62" s="24" t="s">
        <v>48</v>
      </c>
      <c r="B62" s="24" t="s">
        <v>49</v>
      </c>
      <c r="C62" s="24" t="s">
        <v>50</v>
      </c>
    </row>
    <row r="63" spans="1:3" ht="15.75" customHeight="1" x14ac:dyDescent="0.2">
      <c r="A63" s="25" t="s">
        <v>67</v>
      </c>
      <c r="B63" s="26" t="s">
        <v>68</v>
      </c>
      <c r="C63" s="27">
        <f>COUNTIF('Phase2 Scope Builder'!M2:M100,"Open")</f>
        <v>13</v>
      </c>
    </row>
    <row r="64" spans="1:3" ht="15.75" customHeight="1" x14ac:dyDescent="0.2">
      <c r="A64" s="25" t="s">
        <v>69</v>
      </c>
      <c r="B64" s="26" t="s">
        <v>70</v>
      </c>
      <c r="C64" s="27">
        <f>COUNTIF('Phase2 Scope Builder'!M2:M100,"Decided")</f>
        <v>1</v>
      </c>
    </row>
    <row r="65" spans="1:3" ht="15.75" customHeight="1" x14ac:dyDescent="0.2">
      <c r="A65" s="25" t="s">
        <v>71</v>
      </c>
      <c r="B65" s="26" t="s">
        <v>72</v>
      </c>
      <c r="C65" s="27">
        <f>COUNTIF('Phase2 Scope Builder'!M2:M100,"Blocked")</f>
        <v>0</v>
      </c>
    </row>
    <row r="66" spans="1:3" ht="15.75" customHeight="1" x14ac:dyDescent="0.2">
      <c r="A66" s="25" t="s">
        <v>73</v>
      </c>
      <c r="B66" s="26" t="s">
        <v>74</v>
      </c>
      <c r="C66" s="27">
        <f>COUNTIF('Phase2 Scope Builder'!M2:M100,"Needs client confirmation")</f>
        <v>0</v>
      </c>
    </row>
    <row r="69" spans="1:3" ht="15" customHeight="1" x14ac:dyDescent="0.2">
      <c r="A69" s="10" t="s">
        <v>75</v>
      </c>
      <c r="B69" s="10"/>
      <c r="C69" s="10"/>
    </row>
  </sheetData>
  <mergeCells count="8">
    <mergeCell ref="A55:C55"/>
    <mergeCell ref="A61:C61"/>
    <mergeCell ref="A69:C69"/>
    <mergeCell ref="A1:C1"/>
    <mergeCell ref="A9:C9"/>
    <mergeCell ref="A16:C16"/>
    <mergeCell ref="A46:C46"/>
    <mergeCell ref="A48:C4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zoomScale="120" zoomScaleNormal="120" workbookViewId="0">
      <selection sqref="A1:D1"/>
    </sheetView>
  </sheetViews>
  <sheetFormatPr baseColWidth="10" defaultColWidth="8.6640625" defaultRowHeight="15" x14ac:dyDescent="0.2"/>
  <cols>
    <col min="1" max="1" width="6" customWidth="1"/>
    <col min="2" max="2" width="38" customWidth="1"/>
    <col min="3" max="3" width="50" customWidth="1"/>
    <col min="4" max="4" width="48" customWidth="1"/>
  </cols>
  <sheetData>
    <row r="1" spans="1:4" ht="18.75" customHeight="1" x14ac:dyDescent="0.25">
      <c r="A1" s="9" t="s">
        <v>76</v>
      </c>
      <c r="B1" s="9"/>
      <c r="C1" s="9"/>
      <c r="D1" s="9"/>
    </row>
    <row r="2" spans="1:4" ht="60" customHeight="1" x14ac:dyDescent="0.2">
      <c r="A2" s="66" t="s">
        <v>77</v>
      </c>
      <c r="B2" s="66"/>
      <c r="C2" s="66"/>
      <c r="D2" s="66"/>
    </row>
    <row r="4" spans="1:4" ht="24" customHeight="1" x14ac:dyDescent="0.2">
      <c r="A4" s="11" t="s">
        <v>78</v>
      </c>
      <c r="B4" s="11"/>
      <c r="C4" s="11"/>
      <c r="D4" s="11"/>
    </row>
    <row r="5" spans="1:4" ht="25.5" customHeight="1" x14ac:dyDescent="0.2">
      <c r="A5" s="24" t="s">
        <v>79</v>
      </c>
      <c r="B5" s="24" t="s">
        <v>80</v>
      </c>
      <c r="C5" s="24" t="s">
        <v>81</v>
      </c>
      <c r="D5" s="28" t="s">
        <v>82</v>
      </c>
    </row>
    <row r="6" spans="1:4" ht="30" customHeight="1" x14ac:dyDescent="0.2">
      <c r="A6" s="25" t="s">
        <v>83</v>
      </c>
      <c r="B6" s="25" t="s">
        <v>84</v>
      </c>
      <c r="C6" s="26" t="s">
        <v>85</v>
      </c>
      <c r="D6" s="29"/>
    </row>
    <row r="7" spans="1:4" ht="30" customHeight="1" x14ac:dyDescent="0.2">
      <c r="A7" s="25" t="s">
        <v>86</v>
      </c>
      <c r="B7" s="25" t="s">
        <v>87</v>
      </c>
      <c r="C7" s="26" t="s">
        <v>88</v>
      </c>
      <c r="D7" s="29" t="s">
        <v>25</v>
      </c>
    </row>
    <row r="8" spans="1:4" ht="30" customHeight="1" x14ac:dyDescent="0.2">
      <c r="A8" s="25" t="s">
        <v>89</v>
      </c>
      <c r="B8" s="25" t="s">
        <v>90</v>
      </c>
      <c r="C8" s="26" t="s">
        <v>91</v>
      </c>
      <c r="D8" s="29" t="s">
        <v>92</v>
      </c>
    </row>
    <row r="9" spans="1:4" ht="30" customHeight="1" x14ac:dyDescent="0.2">
      <c r="A9" s="25" t="s">
        <v>93</v>
      </c>
      <c r="B9" s="25" t="s">
        <v>94</v>
      </c>
      <c r="C9" s="26" t="s">
        <v>88</v>
      </c>
      <c r="D9" s="29" t="s">
        <v>25</v>
      </c>
    </row>
    <row r="10" spans="1:4" ht="30" customHeight="1" x14ac:dyDescent="0.2">
      <c r="A10" s="25" t="s">
        <v>95</v>
      </c>
      <c r="B10" s="25" t="s">
        <v>96</v>
      </c>
      <c r="C10" s="26" t="s">
        <v>88</v>
      </c>
      <c r="D10" s="29" t="s">
        <v>25</v>
      </c>
    </row>
    <row r="11" spans="1:4" ht="30" customHeight="1" x14ac:dyDescent="0.2">
      <c r="A11" s="25" t="s">
        <v>97</v>
      </c>
      <c r="B11" s="25" t="s">
        <v>98</v>
      </c>
      <c r="C11" s="26" t="s">
        <v>99</v>
      </c>
      <c r="D11" s="29" t="s">
        <v>55</v>
      </c>
    </row>
    <row r="12" spans="1:4" ht="30" customHeight="1" x14ac:dyDescent="0.2">
      <c r="A12" s="25" t="s">
        <v>100</v>
      </c>
      <c r="B12" s="25" t="s">
        <v>101</v>
      </c>
      <c r="C12" s="26" t="s">
        <v>102</v>
      </c>
      <c r="D12" s="29" t="s">
        <v>103</v>
      </c>
    </row>
    <row r="13" spans="1:4" ht="30" customHeight="1" x14ac:dyDescent="0.2">
      <c r="A13" s="25" t="s">
        <v>104</v>
      </c>
      <c r="B13" s="25" t="s">
        <v>105</v>
      </c>
      <c r="C13" s="26" t="s">
        <v>106</v>
      </c>
      <c r="D13" s="29" t="s">
        <v>107</v>
      </c>
    </row>
    <row r="14" spans="1:4" ht="30" customHeight="1" x14ac:dyDescent="0.2">
      <c r="A14" s="25" t="s">
        <v>108</v>
      </c>
      <c r="B14" s="25" t="s">
        <v>109</v>
      </c>
      <c r="C14" s="26" t="s">
        <v>110</v>
      </c>
      <c r="D14" s="29" t="s">
        <v>111</v>
      </c>
    </row>
    <row r="16" spans="1:4" ht="24" customHeight="1" x14ac:dyDescent="0.2">
      <c r="A16" s="8" t="s">
        <v>112</v>
      </c>
      <c r="B16" s="8"/>
      <c r="C16" s="8"/>
      <c r="D16" s="8"/>
    </row>
    <row r="17" spans="1:4" ht="27.75" customHeight="1" x14ac:dyDescent="0.2">
      <c r="A17" s="30" t="s">
        <v>79</v>
      </c>
      <c r="B17" s="30" t="s">
        <v>113</v>
      </c>
      <c r="C17" s="30" t="s">
        <v>114</v>
      </c>
      <c r="D17" s="30" t="s">
        <v>115</v>
      </c>
    </row>
    <row r="18" spans="1:4" ht="39.75" customHeight="1" x14ac:dyDescent="0.2">
      <c r="A18" s="31" t="s">
        <v>116</v>
      </c>
      <c r="B18" s="31" t="s">
        <v>117</v>
      </c>
      <c r="C18" s="31" t="str">
        <f>IF(D8="Critical","No (Risk too high)",IF(AND(D11="Yes",D13="Draft + auto-send"),"No (sensitive + auto-send unsafe)",IF(D12="No","No (Phase 1 excluded)",IF(D12="Unknown","Needs clarification",IF(D9&lt;=2,"Later (low feasibility)",IF(AND(D7&gt;=4,D10&lt;=3,D9&gt;=3),"Yes (high value, manageable)",IF(AND(D7&gt;=3,D9&gt;=3),"Yes (workable)","Later (defer to Phase 2+)")))))))</f>
        <v>Needs clarification</v>
      </c>
      <c r="D18" s="26" t="s">
        <v>118</v>
      </c>
    </row>
    <row r="19" spans="1:4" ht="39.75" customHeight="1" x14ac:dyDescent="0.2">
      <c r="A19" s="31" t="s">
        <v>119</v>
      </c>
      <c r="B19" s="31" t="s">
        <v>120</v>
      </c>
      <c r="C19" s="31" t="str">
        <f>IF(D13="Multi-step agent","Agentic (with guardrails)",IF(D13="Draft + auto-send",IF(D11="Yes","Pro (with strict approval)","Pro to Managed"),IF(D13="Classify + draft","Pro","Basic")))</f>
        <v>Pro</v>
      </c>
      <c r="D19" s="26" t="s">
        <v>121</v>
      </c>
    </row>
    <row r="20" spans="1:4" ht="39.75" customHeight="1" x14ac:dyDescent="0.2">
      <c r="A20" s="31" t="s">
        <v>122</v>
      </c>
      <c r="B20" s="31" t="s">
        <v>123</v>
      </c>
      <c r="C20" s="31" t="str">
        <f>IF(OR(D11="Yes",D8="High",D8="Critical"),"Always (every outbound action)",IF(D13="Classify only","Not required (read-only)",IF(D13="Draft + auto-send","Category-based (safe vs sensitive)","Required (drafts reviewed before send)")))</f>
        <v>Required (drafts reviewed before send)</v>
      </c>
      <c r="D20" s="26" t="s">
        <v>124</v>
      </c>
    </row>
    <row r="21" spans="1:4" ht="39.75" customHeight="1" x14ac:dyDescent="0.2">
      <c r="A21" s="31" t="s">
        <v>125</v>
      </c>
      <c r="B21" s="31" t="s">
        <v>126</v>
      </c>
      <c r="C21" s="31" t="str">
        <f>IF(D8="Critical","BLOCK — needs PM/client escalation before scoping.",IF(AND(D8="High",D13&lt;&gt;"Classify only"),"HIGH RISK — limit to classify+escalate in MVP.",IF(AND(D11="Yes",D13="Multi-step agent"),"HIGH RISK — agentic on sensitive data needs strict allow-list.",IF(D8="Medium","Watch — review approval and audit before go-live.","Standard caution."))))</f>
        <v>Watch — review approval and audit before go-live.</v>
      </c>
      <c r="D21" s="26" t="s">
        <v>127</v>
      </c>
    </row>
    <row r="22" spans="1:4" ht="39.75" customHeight="1" x14ac:dyDescent="0.2">
      <c r="A22" s="31" t="s">
        <v>128</v>
      </c>
      <c r="B22" s="31" t="s">
        <v>129</v>
      </c>
      <c r="C22" s="31" t="str">
        <f>IF(D9&lt;=2,"Feasibility low — confirm API/access before committing.",IF(AND(D10&gt;=4,D7&lt;=3),"Complexity high vs value — consider deferring or simplifying.",IF(AND(D11="Yes",D13="Classify only"),"Safe path: classify + escalate only, no AI advice.",IF(D14="High","Time pressure — narrow MVP to one channel/category first.","No major caution flagged."))))</f>
        <v>No major caution flagged.</v>
      </c>
      <c r="D22" s="26" t="s">
        <v>130</v>
      </c>
    </row>
    <row r="25" spans="1:4" ht="15" customHeight="1" x14ac:dyDescent="0.2">
      <c r="A25" s="7" t="s">
        <v>131</v>
      </c>
      <c r="B25" s="7"/>
      <c r="C25" s="7"/>
      <c r="D25" s="7"/>
    </row>
    <row r="26" spans="1:4" ht="15" customHeight="1" x14ac:dyDescent="0.2">
      <c r="A26" s="10" t="s">
        <v>132</v>
      </c>
      <c r="B26" s="10"/>
      <c r="C26" s="10"/>
      <c r="D26" s="10"/>
    </row>
    <row r="27" spans="1:4" ht="15" customHeight="1" x14ac:dyDescent="0.2">
      <c r="A27" s="10" t="s">
        <v>133</v>
      </c>
      <c r="B27" s="10"/>
      <c r="C27" s="10"/>
      <c r="D27" s="10"/>
    </row>
    <row r="28" spans="1:4" ht="27.75" customHeight="1" x14ac:dyDescent="0.2">
      <c r="A28" s="10" t="s">
        <v>134</v>
      </c>
      <c r="B28" s="10"/>
      <c r="C28" s="10"/>
      <c r="D28" s="10"/>
    </row>
    <row r="29" spans="1:4" ht="15" customHeight="1" x14ac:dyDescent="0.2">
      <c r="A29" s="10" t="s">
        <v>135</v>
      </c>
      <c r="B29" s="10"/>
      <c r="C29" s="10"/>
      <c r="D29" s="10"/>
    </row>
    <row r="30" spans="1:4" x14ac:dyDescent="0.2">
      <c r="A30" s="10"/>
      <c r="B30" s="10"/>
      <c r="C30" s="10"/>
      <c r="D30" s="10"/>
    </row>
    <row r="31" spans="1:4" ht="15" customHeight="1" x14ac:dyDescent="0.2">
      <c r="A31" s="10" t="s">
        <v>136</v>
      </c>
      <c r="B31" s="10"/>
      <c r="C31" s="10"/>
      <c r="D31" s="10"/>
    </row>
  </sheetData>
  <mergeCells count="11">
    <mergeCell ref="A31:D31"/>
    <mergeCell ref="A26:D26"/>
    <mergeCell ref="A27:D27"/>
    <mergeCell ref="A28:D28"/>
    <mergeCell ref="A29:D29"/>
    <mergeCell ref="A30:D30"/>
    <mergeCell ref="A1:D1"/>
    <mergeCell ref="A2:D2"/>
    <mergeCell ref="A4:D4"/>
    <mergeCell ref="A16:D16"/>
    <mergeCell ref="A25:D25"/>
  </mergeCells>
  <dataValidations count="6">
    <dataValidation type="list" allowBlank="1" sqref="D7 D9:D10" xr:uid="{00000000-0002-0000-0100-000000000000}">
      <formula1>"1,2,3,4,5"</formula1>
      <formula2>0</formula2>
    </dataValidation>
    <dataValidation type="list" allowBlank="1" sqref="D8" xr:uid="{00000000-0002-0000-0100-000001000000}">
      <formula1>"Low,Medium,High,Critical"</formula1>
      <formula2>0</formula2>
    </dataValidation>
    <dataValidation type="list" allowBlank="1" sqref="D11" xr:uid="{00000000-0002-0000-0100-000002000000}">
      <formula1>"Yes,No"</formula1>
      <formula2>0</formula2>
    </dataValidation>
    <dataValidation type="list" allowBlank="1" sqref="D12" xr:uid="{00000000-0002-0000-0100-000003000000}">
      <formula1>"Yes,Later,No,Unknown"</formula1>
      <formula2>0</formula2>
    </dataValidation>
    <dataValidation type="list" allowBlank="1" sqref="D13" xr:uid="{00000000-0002-0000-0100-000004000000}">
      <formula1>"Classify only,Classify + draft,Draft + auto-send,Multi-step agent"</formula1>
      <formula2>0</formula2>
    </dataValidation>
    <dataValidation type="list" allowBlank="1" sqref="D14" xr:uid="{00000000-0002-0000-0100-000005000000}">
      <formula1>"None,Some,High"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"/>
  <sheetViews>
    <sheetView zoomScale="120" zoomScaleNormal="120" workbookViewId="0"/>
  </sheetViews>
  <sheetFormatPr baseColWidth="10" defaultColWidth="8.83203125" defaultRowHeight="15" x14ac:dyDescent="0.2"/>
  <cols>
    <col min="1" max="1" width="24" customWidth="1"/>
    <col min="2" max="2" width="38" customWidth="1"/>
    <col min="3" max="3" width="14" customWidth="1"/>
    <col min="4" max="4" width="24" customWidth="1"/>
    <col min="5" max="5" width="34" customWidth="1"/>
    <col min="6" max="6" width="18" customWidth="1"/>
    <col min="7" max="7" width="36" customWidth="1"/>
  </cols>
  <sheetData>
    <row r="1" spans="1:7" s="36" customFormat="1" ht="31.5" customHeight="1" x14ac:dyDescent="0.2">
      <c r="A1" s="32" t="s">
        <v>137</v>
      </c>
      <c r="B1" s="33" t="s">
        <v>138</v>
      </c>
      <c r="C1" s="33" t="s">
        <v>139</v>
      </c>
      <c r="D1" s="34" t="s">
        <v>140</v>
      </c>
      <c r="E1" s="35" t="s">
        <v>141</v>
      </c>
      <c r="F1" s="35" t="s">
        <v>142</v>
      </c>
      <c r="G1" s="35" t="s">
        <v>143</v>
      </c>
    </row>
    <row r="2" spans="1:7" ht="33.75" customHeight="1" x14ac:dyDescent="0.2">
      <c r="A2" s="37" t="s">
        <v>144</v>
      </c>
      <c r="B2" s="16" t="s">
        <v>145</v>
      </c>
      <c r="C2" s="16" t="s">
        <v>92</v>
      </c>
      <c r="D2" s="16" t="s">
        <v>146</v>
      </c>
      <c r="E2" s="16" t="s">
        <v>147</v>
      </c>
      <c r="F2" s="16" t="s">
        <v>148</v>
      </c>
      <c r="G2" s="16" t="s">
        <v>149</v>
      </c>
    </row>
    <row r="3" spans="1:7" ht="33.75" customHeight="1" x14ac:dyDescent="0.2">
      <c r="A3" s="37" t="s">
        <v>150</v>
      </c>
      <c r="B3" s="16" t="s">
        <v>151</v>
      </c>
      <c r="C3" s="16" t="s">
        <v>152</v>
      </c>
      <c r="D3" s="16" t="s">
        <v>153</v>
      </c>
      <c r="E3" s="16" t="s">
        <v>154</v>
      </c>
      <c r="F3" s="16" t="s">
        <v>155</v>
      </c>
      <c r="G3" s="16" t="s">
        <v>156</v>
      </c>
    </row>
    <row r="4" spans="1:7" ht="33.75" customHeight="1" x14ac:dyDescent="0.2">
      <c r="A4" s="37" t="s">
        <v>157</v>
      </c>
      <c r="B4" s="16" t="s">
        <v>158</v>
      </c>
      <c r="C4" s="16" t="s">
        <v>159</v>
      </c>
      <c r="D4" s="16" t="s">
        <v>160</v>
      </c>
      <c r="E4" s="16" t="s">
        <v>161</v>
      </c>
      <c r="F4" s="16" t="s">
        <v>148</v>
      </c>
      <c r="G4" s="16" t="s">
        <v>162</v>
      </c>
    </row>
    <row r="5" spans="1:7" ht="33.75" customHeight="1" x14ac:dyDescent="0.2">
      <c r="A5" s="37" t="s">
        <v>163</v>
      </c>
      <c r="B5" s="16" t="s">
        <v>164</v>
      </c>
      <c r="C5" s="16" t="s">
        <v>92</v>
      </c>
      <c r="D5" s="16" t="s">
        <v>146</v>
      </c>
      <c r="E5" s="16" t="s">
        <v>165</v>
      </c>
      <c r="F5" s="16" t="s">
        <v>166</v>
      </c>
      <c r="G5" s="16" t="s">
        <v>167</v>
      </c>
    </row>
    <row r="6" spans="1:7" ht="33.75" customHeight="1" x14ac:dyDescent="0.2">
      <c r="A6" s="37" t="s">
        <v>168</v>
      </c>
      <c r="B6" s="16" t="s">
        <v>169</v>
      </c>
      <c r="C6" s="16" t="s">
        <v>152</v>
      </c>
      <c r="D6" s="16" t="s">
        <v>160</v>
      </c>
      <c r="E6" s="16" t="s">
        <v>170</v>
      </c>
      <c r="F6" s="16" t="s">
        <v>155</v>
      </c>
      <c r="G6" s="16" t="s">
        <v>171</v>
      </c>
    </row>
    <row r="7" spans="1:7" ht="33.75" customHeight="1" x14ac:dyDescent="0.2">
      <c r="A7" s="16"/>
      <c r="B7" s="16"/>
      <c r="C7" s="16"/>
      <c r="D7" s="16"/>
      <c r="E7" s="16"/>
      <c r="F7" s="16"/>
      <c r="G7" s="16"/>
    </row>
    <row r="8" spans="1:7" ht="33.75" customHeight="1" x14ac:dyDescent="0.2">
      <c r="A8" s="16"/>
      <c r="B8" s="16"/>
      <c r="C8" s="16"/>
      <c r="D8" s="16"/>
      <c r="E8" s="16"/>
      <c r="F8" s="16"/>
      <c r="G8" s="16"/>
    </row>
    <row r="9" spans="1:7" ht="33.75" customHeight="1" x14ac:dyDescent="0.2">
      <c r="A9" s="16"/>
      <c r="B9" s="16"/>
      <c r="C9" s="16"/>
      <c r="D9" s="16"/>
      <c r="E9" s="16"/>
      <c r="F9" s="16"/>
      <c r="G9" s="16"/>
    </row>
    <row r="10" spans="1:7" ht="33.75" customHeight="1" x14ac:dyDescent="0.2">
      <c r="A10" s="16"/>
      <c r="B10" s="16"/>
      <c r="C10" s="16"/>
      <c r="D10" s="16"/>
      <c r="E10" s="16"/>
      <c r="F10" s="16"/>
      <c r="G10" s="16"/>
    </row>
    <row r="11" spans="1:7" ht="33.75" customHeight="1" x14ac:dyDescent="0.2">
      <c r="A11" s="16"/>
      <c r="B11" s="16"/>
      <c r="C11" s="16"/>
      <c r="D11" s="16"/>
      <c r="E11" s="16"/>
      <c r="F11" s="16"/>
      <c r="G11" s="16"/>
    </row>
    <row r="12" spans="1:7" ht="33.75" customHeight="1" x14ac:dyDescent="0.2">
      <c r="A12" s="16"/>
      <c r="B12" s="16"/>
      <c r="C12" s="16"/>
      <c r="D12" s="16"/>
      <c r="E12" s="16"/>
      <c r="F12" s="16"/>
      <c r="G12" s="16"/>
    </row>
    <row r="13" spans="1:7" ht="33.75" customHeight="1" x14ac:dyDescent="0.2">
      <c r="A13" s="16"/>
      <c r="B13" s="16"/>
      <c r="C13" s="16"/>
      <c r="D13" s="16"/>
      <c r="E13" s="16"/>
      <c r="F13" s="16"/>
      <c r="G13" s="16"/>
    </row>
    <row r="14" spans="1:7" ht="33.75" customHeight="1" x14ac:dyDescent="0.2">
      <c r="A14" s="16"/>
      <c r="B14" s="16"/>
      <c r="C14" s="16"/>
      <c r="D14" s="16"/>
      <c r="E14" s="16"/>
      <c r="F14" s="16"/>
      <c r="G14" s="16"/>
    </row>
    <row r="15" spans="1:7" ht="33.75" customHeight="1" x14ac:dyDescent="0.2">
      <c r="A15" s="16"/>
      <c r="B15" s="16"/>
      <c r="C15" s="16"/>
      <c r="D15" s="16"/>
      <c r="E15" s="16"/>
      <c r="F15" s="16"/>
      <c r="G15" s="16"/>
    </row>
    <row r="16" spans="1:7" ht="33.75" customHeight="1" x14ac:dyDescent="0.2">
      <c r="A16" s="16"/>
      <c r="B16" s="16"/>
      <c r="C16" s="16"/>
      <c r="D16" s="16"/>
      <c r="E16" s="16"/>
      <c r="F16" s="16"/>
      <c r="G16" s="16"/>
    </row>
    <row r="17" spans="1:7" ht="33.75" customHeight="1" x14ac:dyDescent="0.2">
      <c r="A17" s="16"/>
      <c r="B17" s="16"/>
      <c r="C17" s="16"/>
      <c r="D17" s="16"/>
      <c r="E17" s="16"/>
      <c r="F17" s="16"/>
      <c r="G17" s="16"/>
    </row>
    <row r="18" spans="1:7" ht="33.75" customHeight="1" x14ac:dyDescent="0.2">
      <c r="A18" s="16"/>
      <c r="B18" s="16"/>
      <c r="C18" s="16"/>
      <c r="D18" s="16"/>
      <c r="E18" s="16"/>
      <c r="F18" s="16"/>
      <c r="G18" s="16"/>
    </row>
    <row r="19" spans="1:7" ht="33.75" customHeight="1" x14ac:dyDescent="0.2">
      <c r="A19" s="16"/>
      <c r="B19" s="16"/>
      <c r="C19" s="16"/>
      <c r="D19" s="16"/>
      <c r="E19" s="16"/>
      <c r="F19" s="16"/>
      <c r="G19" s="16"/>
    </row>
    <row r="20" spans="1:7" ht="33.75" customHeight="1" x14ac:dyDescent="0.2">
      <c r="A20" s="16"/>
      <c r="B20" s="16"/>
      <c r="C20" s="16"/>
      <c r="D20" s="16"/>
      <c r="E20" s="16"/>
      <c r="F20" s="16"/>
      <c r="G20" s="16"/>
    </row>
    <row r="21" spans="1:7" x14ac:dyDescent="0.2">
      <c r="A21" s="16"/>
      <c r="B21" s="16"/>
      <c r="C21" s="16"/>
      <c r="D21" s="16"/>
      <c r="E21" s="16"/>
      <c r="F21" s="16"/>
      <c r="G21" s="16"/>
    </row>
    <row r="22" spans="1:7" x14ac:dyDescent="0.2">
      <c r="A22" s="16"/>
      <c r="B22" s="16"/>
      <c r="C22" s="16"/>
      <c r="D22" s="16"/>
      <c r="E22" s="16"/>
      <c r="F22" s="16"/>
      <c r="G22" s="16"/>
    </row>
    <row r="23" spans="1:7" x14ac:dyDescent="0.2">
      <c r="A23" s="16"/>
      <c r="B23" s="16"/>
      <c r="C23" s="16"/>
      <c r="D23" s="16"/>
      <c r="E23" s="16"/>
      <c r="F23" s="16"/>
      <c r="G23" s="16"/>
    </row>
    <row r="24" spans="1:7" x14ac:dyDescent="0.2">
      <c r="A24" s="16"/>
      <c r="B24" s="16"/>
      <c r="C24" s="16"/>
      <c r="D24" s="16"/>
      <c r="E24" s="16"/>
      <c r="F24" s="16"/>
      <c r="G24" s="16"/>
    </row>
    <row r="25" spans="1:7" x14ac:dyDescent="0.2">
      <c r="A25" s="16"/>
      <c r="B25" s="16"/>
      <c r="C25" s="16"/>
      <c r="D25" s="16"/>
      <c r="E25" s="16"/>
      <c r="F25" s="16"/>
      <c r="G25" s="16"/>
    </row>
    <row r="26" spans="1:7" x14ac:dyDescent="0.2">
      <c r="A26" s="16"/>
      <c r="B26" s="16"/>
      <c r="C26" s="16"/>
      <c r="D26" s="16"/>
      <c r="E26" s="16"/>
      <c r="F26" s="16"/>
      <c r="G26" s="16"/>
    </row>
    <row r="27" spans="1:7" x14ac:dyDescent="0.2">
      <c r="A27" s="16"/>
      <c r="B27" s="16"/>
      <c r="C27" s="16"/>
      <c r="D27" s="16"/>
      <c r="E27" s="16"/>
      <c r="F27" s="16"/>
      <c r="G27" s="16"/>
    </row>
    <row r="28" spans="1:7" x14ac:dyDescent="0.2">
      <c r="A28" s="16"/>
      <c r="B28" s="16"/>
      <c r="C28" s="16"/>
      <c r="D28" s="16"/>
      <c r="E28" s="16"/>
      <c r="F28" s="16"/>
      <c r="G28" s="16"/>
    </row>
    <row r="29" spans="1:7" x14ac:dyDescent="0.2">
      <c r="A29" s="16"/>
      <c r="B29" s="16"/>
      <c r="C29" s="16"/>
      <c r="D29" s="16"/>
      <c r="E29" s="16"/>
      <c r="F29" s="16"/>
      <c r="G29" s="16"/>
    </row>
    <row r="30" spans="1:7" x14ac:dyDescent="0.2">
      <c r="A30" s="16"/>
      <c r="B30" s="16"/>
      <c r="C30" s="16"/>
      <c r="D30" s="16"/>
      <c r="E30" s="16"/>
      <c r="F30" s="16"/>
      <c r="G30" s="16"/>
    </row>
    <row r="31" spans="1:7" x14ac:dyDescent="0.2">
      <c r="A31" s="16"/>
      <c r="B31" s="16"/>
      <c r="C31" s="16"/>
      <c r="D31" s="16"/>
      <c r="E31" s="16"/>
      <c r="F31" s="16"/>
      <c r="G31" s="16"/>
    </row>
    <row r="32" spans="1:7" x14ac:dyDescent="0.2">
      <c r="A32" s="16"/>
      <c r="B32" s="16"/>
      <c r="C32" s="16"/>
      <c r="D32" s="16"/>
      <c r="E32" s="16"/>
      <c r="F32" s="16"/>
      <c r="G32" s="16"/>
    </row>
    <row r="33" spans="1:7" x14ac:dyDescent="0.2">
      <c r="A33" s="16"/>
      <c r="B33" s="16"/>
      <c r="C33" s="16"/>
      <c r="D33" s="16"/>
      <c r="E33" s="16"/>
      <c r="F33" s="16"/>
      <c r="G33" s="16"/>
    </row>
    <row r="34" spans="1:7" x14ac:dyDescent="0.2">
      <c r="A34" s="16"/>
      <c r="B34" s="16"/>
      <c r="C34" s="16"/>
      <c r="D34" s="16"/>
      <c r="E34" s="16"/>
      <c r="F34" s="16"/>
      <c r="G34" s="16"/>
    </row>
    <row r="35" spans="1:7" x14ac:dyDescent="0.2">
      <c r="A35" s="16"/>
      <c r="B35" s="16"/>
      <c r="C35" s="16"/>
      <c r="D35" s="16"/>
      <c r="E35" s="16"/>
      <c r="F35" s="16"/>
      <c r="G35" s="16"/>
    </row>
    <row r="36" spans="1:7" x14ac:dyDescent="0.2">
      <c r="A36" s="16"/>
      <c r="B36" s="16"/>
      <c r="C36" s="16"/>
      <c r="D36" s="16"/>
      <c r="E36" s="16"/>
      <c r="F36" s="16"/>
      <c r="G36" s="16"/>
    </row>
    <row r="37" spans="1:7" x14ac:dyDescent="0.2">
      <c r="A37" s="16"/>
      <c r="B37" s="16"/>
      <c r="C37" s="16"/>
      <c r="D37" s="16"/>
      <c r="E37" s="16"/>
      <c r="F37" s="16"/>
      <c r="G37" s="16"/>
    </row>
    <row r="38" spans="1:7" x14ac:dyDescent="0.2">
      <c r="A38" s="16"/>
      <c r="B38" s="16"/>
      <c r="C38" s="16"/>
      <c r="D38" s="16"/>
      <c r="E38" s="16"/>
      <c r="F38" s="16"/>
      <c r="G38" s="16"/>
    </row>
    <row r="39" spans="1:7" x14ac:dyDescent="0.2">
      <c r="A39" s="16"/>
      <c r="B39" s="16"/>
      <c r="C39" s="16"/>
      <c r="D39" s="16"/>
      <c r="E39" s="16"/>
      <c r="F39" s="16"/>
      <c r="G39" s="16"/>
    </row>
    <row r="40" spans="1:7" x14ac:dyDescent="0.2">
      <c r="A40" s="16"/>
      <c r="B40" s="16"/>
      <c r="C40" s="16"/>
      <c r="D40" s="16"/>
      <c r="E40" s="16"/>
      <c r="F40" s="16"/>
      <c r="G40" s="16"/>
    </row>
    <row r="41" spans="1:7" x14ac:dyDescent="0.2">
      <c r="A41" s="16"/>
      <c r="B41" s="16"/>
      <c r="C41" s="16"/>
      <c r="D41" s="16"/>
      <c r="E41" s="16"/>
      <c r="F41" s="16"/>
      <c r="G41" s="16"/>
    </row>
    <row r="42" spans="1:7" x14ac:dyDescent="0.2">
      <c r="A42" s="16"/>
      <c r="B42" s="16"/>
      <c r="C42" s="16"/>
      <c r="D42" s="16"/>
      <c r="E42" s="16"/>
      <c r="F42" s="16"/>
      <c r="G42" s="16"/>
    </row>
    <row r="43" spans="1:7" x14ac:dyDescent="0.2">
      <c r="A43" s="16"/>
      <c r="B43" s="16"/>
      <c r="C43" s="16"/>
      <c r="D43" s="16"/>
      <c r="E43" s="16"/>
      <c r="F43" s="16"/>
      <c r="G43" s="16"/>
    </row>
    <row r="44" spans="1:7" x14ac:dyDescent="0.2">
      <c r="A44" s="16"/>
      <c r="B44" s="16"/>
      <c r="C44" s="16"/>
      <c r="D44" s="16"/>
      <c r="E44" s="16"/>
      <c r="F44" s="16"/>
      <c r="G44" s="16"/>
    </row>
    <row r="45" spans="1:7" x14ac:dyDescent="0.2">
      <c r="A45" s="16"/>
      <c r="B45" s="16"/>
      <c r="C45" s="16"/>
      <c r="D45" s="16"/>
      <c r="E45" s="16"/>
      <c r="F45" s="16"/>
      <c r="G45" s="16"/>
    </row>
    <row r="46" spans="1:7" x14ac:dyDescent="0.2">
      <c r="A46" s="16"/>
      <c r="B46" s="16"/>
      <c r="C46" s="16"/>
      <c r="D46" s="16"/>
      <c r="E46" s="16"/>
      <c r="F46" s="16"/>
      <c r="G46" s="16"/>
    </row>
    <row r="47" spans="1:7" x14ac:dyDescent="0.2">
      <c r="A47" s="16"/>
      <c r="B47" s="16"/>
      <c r="C47" s="16"/>
      <c r="D47" s="16"/>
      <c r="E47" s="16"/>
      <c r="F47" s="16"/>
      <c r="G47" s="16"/>
    </row>
    <row r="48" spans="1:7" x14ac:dyDescent="0.2">
      <c r="A48" s="16"/>
      <c r="B48" s="16"/>
      <c r="C48" s="16"/>
      <c r="D48" s="16"/>
      <c r="E48" s="16"/>
      <c r="F48" s="16"/>
      <c r="G48" s="16"/>
    </row>
    <row r="49" spans="1:7" x14ac:dyDescent="0.2">
      <c r="A49" s="16"/>
      <c r="B49" s="16"/>
      <c r="C49" s="16"/>
      <c r="D49" s="16"/>
      <c r="E49" s="16"/>
      <c r="F49" s="16"/>
      <c r="G49" s="16"/>
    </row>
    <row r="50" spans="1:7" x14ac:dyDescent="0.2">
      <c r="A50" s="16"/>
      <c r="B50" s="16"/>
      <c r="C50" s="16"/>
      <c r="D50" s="16"/>
      <c r="E50" s="16"/>
      <c r="F50" s="16"/>
      <c r="G50" s="16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"/>
  <sheetViews>
    <sheetView zoomScale="120" zoomScaleNormal="120" workbookViewId="0"/>
  </sheetViews>
  <sheetFormatPr baseColWidth="10" defaultColWidth="22" defaultRowHeight="15" x14ac:dyDescent="0.2"/>
  <cols>
    <col min="1" max="1" width="8.83203125" style="38" customWidth="1"/>
    <col min="2" max="4" width="25.83203125" style="39" customWidth="1"/>
    <col min="5" max="6" width="13.83203125" style="38" customWidth="1"/>
    <col min="7" max="7" width="20" style="38" customWidth="1"/>
    <col min="8" max="8" width="28" style="38" customWidth="1"/>
    <col min="9" max="9" width="13.83203125" style="38" customWidth="1"/>
    <col min="10" max="10" width="30" style="38" customWidth="1"/>
    <col min="11" max="11" width="28" style="38" customWidth="1"/>
    <col min="12" max="12" width="26" style="38" customWidth="1"/>
    <col min="13" max="13" width="13.83203125" style="38" customWidth="1"/>
    <col min="14" max="16384" width="22" style="38"/>
  </cols>
  <sheetData>
    <row r="1" spans="1:14" s="40" customFormat="1" ht="48" customHeight="1" x14ac:dyDescent="0.2">
      <c r="A1" s="32" t="s">
        <v>172</v>
      </c>
      <c r="B1" s="33" t="s">
        <v>173</v>
      </c>
      <c r="C1" s="33" t="s">
        <v>174</v>
      </c>
      <c r="D1" s="33" t="s">
        <v>175</v>
      </c>
      <c r="E1" s="33" t="s">
        <v>176</v>
      </c>
      <c r="F1" s="34" t="s">
        <v>177</v>
      </c>
      <c r="G1" s="34" t="s">
        <v>178</v>
      </c>
      <c r="H1" s="34" t="s">
        <v>179</v>
      </c>
      <c r="I1" s="34" t="s">
        <v>180</v>
      </c>
      <c r="J1" s="34" t="s">
        <v>181</v>
      </c>
      <c r="K1" s="35" t="s">
        <v>182</v>
      </c>
      <c r="L1" s="35" t="s">
        <v>183</v>
      </c>
      <c r="M1" s="35" t="s">
        <v>48</v>
      </c>
      <c r="N1" s="24" t="s">
        <v>184</v>
      </c>
    </row>
    <row r="2" spans="1:14" ht="31.5" customHeight="1" x14ac:dyDescent="0.2">
      <c r="A2" s="41">
        <v>1</v>
      </c>
      <c r="B2" s="39" t="s">
        <v>185</v>
      </c>
      <c r="C2" s="39" t="s">
        <v>186</v>
      </c>
      <c r="D2" s="39" t="s">
        <v>187</v>
      </c>
      <c r="E2" s="39" t="s">
        <v>152</v>
      </c>
      <c r="F2" s="39" t="s">
        <v>51</v>
      </c>
      <c r="G2" s="39" t="s">
        <v>153</v>
      </c>
      <c r="H2" s="39" t="s">
        <v>188</v>
      </c>
      <c r="I2" s="39" t="s">
        <v>55</v>
      </c>
      <c r="J2" s="39" t="s">
        <v>189</v>
      </c>
      <c r="K2" s="39" t="s">
        <v>190</v>
      </c>
      <c r="L2" s="39" t="s">
        <v>191</v>
      </c>
      <c r="M2" s="39" t="s">
        <v>67</v>
      </c>
      <c r="N2" s="42" t="str">
        <f t="shared" ref="N2:N33" si="0">IF(COUNTA(B2,E2,F2,K2,L2,M2)=0,"Empty",IF(COUNTA(B2,E2,F2,K2,L2,M2)&lt;6,"Partial","Complete"))</f>
        <v>Complete</v>
      </c>
    </row>
    <row r="3" spans="1:14" ht="31.5" customHeight="1" x14ac:dyDescent="0.2">
      <c r="A3" s="41">
        <v>2</v>
      </c>
      <c r="B3" s="39" t="s">
        <v>192</v>
      </c>
      <c r="C3" s="39" t="s">
        <v>193</v>
      </c>
      <c r="D3" s="39" t="s">
        <v>194</v>
      </c>
      <c r="E3" s="39" t="s">
        <v>152</v>
      </c>
      <c r="F3" s="39" t="s">
        <v>51</v>
      </c>
      <c r="G3" s="39" t="s">
        <v>153</v>
      </c>
      <c r="H3" s="39" t="s">
        <v>195</v>
      </c>
      <c r="I3" s="39" t="s">
        <v>55</v>
      </c>
      <c r="J3" s="39" t="s">
        <v>196</v>
      </c>
      <c r="K3" s="39" t="s">
        <v>197</v>
      </c>
      <c r="L3" s="39" t="s">
        <v>198</v>
      </c>
      <c r="M3" s="39" t="s">
        <v>67</v>
      </c>
      <c r="N3" s="42" t="str">
        <f t="shared" si="0"/>
        <v>Complete</v>
      </c>
    </row>
    <row r="4" spans="1:14" ht="31.5" customHeight="1" x14ac:dyDescent="0.2">
      <c r="A4" s="41">
        <v>3</v>
      </c>
      <c r="B4" s="39" t="s">
        <v>199</v>
      </c>
      <c r="C4" s="39" t="s">
        <v>200</v>
      </c>
      <c r="D4" s="39" t="s">
        <v>201</v>
      </c>
      <c r="E4" s="39" t="s">
        <v>92</v>
      </c>
      <c r="F4" s="39" t="s">
        <v>51</v>
      </c>
      <c r="G4" s="39" t="s">
        <v>146</v>
      </c>
      <c r="H4" s="39" t="s">
        <v>202</v>
      </c>
      <c r="I4" s="39" t="s">
        <v>51</v>
      </c>
      <c r="J4" s="39" t="s">
        <v>203</v>
      </c>
      <c r="K4" s="39" t="s">
        <v>204</v>
      </c>
      <c r="L4" s="39" t="s">
        <v>205</v>
      </c>
      <c r="M4" s="39" t="s">
        <v>67</v>
      </c>
      <c r="N4" s="42" t="str">
        <f t="shared" si="0"/>
        <v>Complete</v>
      </c>
    </row>
    <row r="5" spans="1:14" ht="31.5" customHeight="1" x14ac:dyDescent="0.2">
      <c r="A5" s="41">
        <v>4</v>
      </c>
      <c r="B5" s="39" t="s">
        <v>206</v>
      </c>
      <c r="C5" s="39" t="s">
        <v>207</v>
      </c>
      <c r="D5" s="39" t="s">
        <v>208</v>
      </c>
      <c r="E5" s="39" t="s">
        <v>92</v>
      </c>
      <c r="F5" s="39" t="s">
        <v>53</v>
      </c>
      <c r="G5" s="39" t="s">
        <v>146</v>
      </c>
      <c r="H5" s="39" t="s">
        <v>188</v>
      </c>
      <c r="I5" s="39" t="s">
        <v>51</v>
      </c>
      <c r="J5" s="39" t="s">
        <v>209</v>
      </c>
      <c r="K5" s="39" t="s">
        <v>210</v>
      </c>
      <c r="L5" s="39" t="s">
        <v>211</v>
      </c>
      <c r="M5" s="39" t="s">
        <v>67</v>
      </c>
      <c r="N5" s="42" t="str">
        <f t="shared" si="0"/>
        <v>Complete</v>
      </c>
    </row>
    <row r="6" spans="1:14" ht="31.5" customHeight="1" x14ac:dyDescent="0.2">
      <c r="A6" s="41">
        <v>5</v>
      </c>
      <c r="B6" s="39" t="s">
        <v>212</v>
      </c>
      <c r="C6" s="39" t="s">
        <v>213</v>
      </c>
      <c r="D6" s="39" t="s">
        <v>214</v>
      </c>
      <c r="E6" s="39" t="s">
        <v>159</v>
      </c>
      <c r="F6" s="39" t="s">
        <v>55</v>
      </c>
      <c r="G6" s="39" t="s">
        <v>215</v>
      </c>
      <c r="H6" s="39" t="s">
        <v>216</v>
      </c>
      <c r="I6" s="39" t="s">
        <v>217</v>
      </c>
      <c r="J6" s="39" t="s">
        <v>218</v>
      </c>
      <c r="K6" s="39" t="s">
        <v>219</v>
      </c>
      <c r="L6" s="39" t="s">
        <v>220</v>
      </c>
      <c r="M6" s="39" t="s">
        <v>69</v>
      </c>
      <c r="N6" s="42" t="str">
        <f t="shared" si="0"/>
        <v>Complete</v>
      </c>
    </row>
    <row r="7" spans="1:14" ht="31.5" customHeight="1" x14ac:dyDescent="0.2">
      <c r="A7" s="41">
        <v>6</v>
      </c>
      <c r="B7" s="39" t="s">
        <v>221</v>
      </c>
      <c r="C7" s="39" t="s">
        <v>222</v>
      </c>
      <c r="D7" s="39" t="s">
        <v>223</v>
      </c>
      <c r="E7" s="43" t="s">
        <v>92</v>
      </c>
      <c r="F7" s="43" t="s">
        <v>51</v>
      </c>
      <c r="G7" s="39" t="s">
        <v>146</v>
      </c>
      <c r="H7" s="39" t="s">
        <v>224</v>
      </c>
      <c r="I7" s="39" t="s">
        <v>225</v>
      </c>
      <c r="J7" s="39" t="s">
        <v>226</v>
      </c>
      <c r="K7" s="39" t="s">
        <v>227</v>
      </c>
      <c r="L7" s="39" t="s">
        <v>228</v>
      </c>
      <c r="M7" s="39" t="s">
        <v>67</v>
      </c>
      <c r="N7" s="42" t="str">
        <f t="shared" si="0"/>
        <v>Complete</v>
      </c>
    </row>
    <row r="8" spans="1:14" ht="31.5" customHeight="1" x14ac:dyDescent="0.2">
      <c r="A8" s="41">
        <v>7</v>
      </c>
      <c r="B8" s="39" t="s">
        <v>229</v>
      </c>
      <c r="C8" s="39" t="s">
        <v>230</v>
      </c>
      <c r="D8" s="39" t="s">
        <v>231</v>
      </c>
      <c r="E8" s="43" t="s">
        <v>92</v>
      </c>
      <c r="F8" s="43" t="s">
        <v>51</v>
      </c>
      <c r="G8" s="39" t="s">
        <v>153</v>
      </c>
      <c r="H8" s="39" t="s">
        <v>188</v>
      </c>
      <c r="I8" s="39" t="s">
        <v>51</v>
      </c>
      <c r="J8" s="39" t="s">
        <v>232</v>
      </c>
      <c r="K8" s="39" t="s">
        <v>233</v>
      </c>
      <c r="L8" s="39" t="s">
        <v>234</v>
      </c>
      <c r="M8" s="39" t="s">
        <v>67</v>
      </c>
      <c r="N8" s="42" t="str">
        <f t="shared" si="0"/>
        <v>Complete</v>
      </c>
    </row>
    <row r="9" spans="1:14" ht="31.5" customHeight="1" x14ac:dyDescent="0.2">
      <c r="A9" s="41">
        <v>8</v>
      </c>
      <c r="B9" s="39" t="s">
        <v>235</v>
      </c>
      <c r="C9" s="39" t="s">
        <v>236</v>
      </c>
      <c r="D9" s="39" t="s">
        <v>237</v>
      </c>
      <c r="E9" s="43" t="s">
        <v>152</v>
      </c>
      <c r="F9" s="43" t="s">
        <v>51</v>
      </c>
      <c r="G9" s="39" t="s">
        <v>146</v>
      </c>
      <c r="H9" s="39" t="s">
        <v>202</v>
      </c>
      <c r="I9" s="39" t="s">
        <v>51</v>
      </c>
      <c r="J9" s="39" t="s">
        <v>238</v>
      </c>
      <c r="K9" s="39" t="s">
        <v>239</v>
      </c>
      <c r="L9" s="39" t="s">
        <v>240</v>
      </c>
      <c r="M9" s="39" t="s">
        <v>67</v>
      </c>
      <c r="N9" s="42" t="str">
        <f t="shared" si="0"/>
        <v>Complete</v>
      </c>
    </row>
    <row r="10" spans="1:14" ht="31.5" customHeight="1" x14ac:dyDescent="0.2">
      <c r="A10" s="41">
        <v>9</v>
      </c>
      <c r="B10" s="39" t="s">
        <v>241</v>
      </c>
      <c r="C10" s="39" t="s">
        <v>242</v>
      </c>
      <c r="D10" s="39" t="s">
        <v>243</v>
      </c>
      <c r="E10" s="43" t="s">
        <v>152</v>
      </c>
      <c r="F10" s="43" t="s">
        <v>51</v>
      </c>
      <c r="G10" s="39" t="s">
        <v>153</v>
      </c>
      <c r="H10" s="39" t="s">
        <v>195</v>
      </c>
      <c r="I10" s="39" t="s">
        <v>51</v>
      </c>
      <c r="J10" s="39" t="s">
        <v>244</v>
      </c>
      <c r="K10" s="39" t="s">
        <v>245</v>
      </c>
      <c r="L10" s="39" t="s">
        <v>246</v>
      </c>
      <c r="M10" s="39" t="s">
        <v>67</v>
      </c>
      <c r="N10" s="42" t="str">
        <f t="shared" si="0"/>
        <v>Complete</v>
      </c>
    </row>
    <row r="11" spans="1:14" ht="31.5" customHeight="1" x14ac:dyDescent="0.2">
      <c r="A11" s="41">
        <v>10</v>
      </c>
      <c r="B11" s="39" t="s">
        <v>247</v>
      </c>
      <c r="C11" s="39" t="s">
        <v>248</v>
      </c>
      <c r="D11" s="39" t="s">
        <v>249</v>
      </c>
      <c r="E11" s="43" t="s">
        <v>152</v>
      </c>
      <c r="F11" s="43" t="s">
        <v>53</v>
      </c>
      <c r="G11" s="39" t="s">
        <v>160</v>
      </c>
      <c r="H11" s="39" t="s">
        <v>250</v>
      </c>
      <c r="I11" s="39" t="s">
        <v>55</v>
      </c>
      <c r="J11" s="39" t="s">
        <v>251</v>
      </c>
      <c r="K11" s="39" t="s">
        <v>252</v>
      </c>
      <c r="L11" s="39" t="s">
        <v>253</v>
      </c>
      <c r="M11" s="39" t="s">
        <v>67</v>
      </c>
      <c r="N11" s="42" t="str">
        <f t="shared" si="0"/>
        <v>Complete</v>
      </c>
    </row>
    <row r="12" spans="1:14" ht="31.5" customHeight="1" x14ac:dyDescent="0.2">
      <c r="A12" s="41">
        <v>11</v>
      </c>
      <c r="B12" s="39" t="s">
        <v>254</v>
      </c>
      <c r="C12" s="39" t="s">
        <v>255</v>
      </c>
      <c r="D12" s="39" t="s">
        <v>256</v>
      </c>
      <c r="E12" s="43" t="s">
        <v>92</v>
      </c>
      <c r="F12" s="43" t="s">
        <v>51</v>
      </c>
      <c r="G12" s="39" t="s">
        <v>160</v>
      </c>
      <c r="H12" s="39" t="s">
        <v>195</v>
      </c>
      <c r="I12" s="39" t="s">
        <v>225</v>
      </c>
      <c r="J12" s="39" t="s">
        <v>257</v>
      </c>
      <c r="K12" s="39" t="s">
        <v>258</v>
      </c>
      <c r="L12" s="39" t="s">
        <v>259</v>
      </c>
      <c r="M12" s="39" t="s">
        <v>67</v>
      </c>
      <c r="N12" s="42" t="str">
        <f t="shared" si="0"/>
        <v>Complete</v>
      </c>
    </row>
    <row r="13" spans="1:14" ht="31.5" customHeight="1" x14ac:dyDescent="0.2">
      <c r="A13" s="41">
        <v>12</v>
      </c>
      <c r="B13" s="39" t="s">
        <v>260</v>
      </c>
      <c r="C13" s="39" t="s">
        <v>261</v>
      </c>
      <c r="D13" s="39" t="s">
        <v>262</v>
      </c>
      <c r="E13" s="43" t="s">
        <v>152</v>
      </c>
      <c r="F13" s="43" t="s">
        <v>53</v>
      </c>
      <c r="G13" s="39" t="s">
        <v>263</v>
      </c>
      <c r="H13" s="39" t="s">
        <v>264</v>
      </c>
      <c r="I13" s="39" t="s">
        <v>51</v>
      </c>
      <c r="J13" s="39" t="s">
        <v>265</v>
      </c>
      <c r="K13" s="39" t="s">
        <v>266</v>
      </c>
      <c r="L13" s="39" t="s">
        <v>267</v>
      </c>
      <c r="M13" s="39" t="s">
        <v>67</v>
      </c>
      <c r="N13" s="42" t="str">
        <f t="shared" si="0"/>
        <v>Complete</v>
      </c>
    </row>
    <row r="14" spans="1:14" ht="31.5" customHeight="1" x14ac:dyDescent="0.2">
      <c r="A14" s="41">
        <v>13</v>
      </c>
      <c r="B14" s="39" t="s">
        <v>268</v>
      </c>
      <c r="C14" s="39" t="s">
        <v>269</v>
      </c>
      <c r="D14" s="39" t="s">
        <v>270</v>
      </c>
      <c r="E14" s="43" t="s">
        <v>92</v>
      </c>
      <c r="F14" s="43" t="s">
        <v>51</v>
      </c>
      <c r="G14" s="39" t="s">
        <v>146</v>
      </c>
      <c r="H14" s="39" t="s">
        <v>188</v>
      </c>
      <c r="I14" s="39" t="s">
        <v>217</v>
      </c>
      <c r="J14" s="39" t="s">
        <v>271</v>
      </c>
      <c r="K14" s="39" t="s">
        <v>272</v>
      </c>
      <c r="L14" s="39" t="s">
        <v>273</v>
      </c>
      <c r="M14" s="39" t="s">
        <v>67</v>
      </c>
      <c r="N14" s="42" t="str">
        <f t="shared" si="0"/>
        <v>Complete</v>
      </c>
    </row>
    <row r="15" spans="1:14" ht="31.5" customHeight="1" x14ac:dyDescent="0.2">
      <c r="A15" s="41">
        <v>14</v>
      </c>
      <c r="B15" s="39" t="s">
        <v>274</v>
      </c>
      <c r="C15" s="39" t="s">
        <v>275</v>
      </c>
      <c r="D15" s="39" t="s">
        <v>276</v>
      </c>
      <c r="E15" s="43" t="s">
        <v>152</v>
      </c>
      <c r="F15" s="43" t="s">
        <v>51</v>
      </c>
      <c r="G15" s="39" t="s">
        <v>153</v>
      </c>
      <c r="H15" s="39" t="s">
        <v>195</v>
      </c>
      <c r="I15" s="39" t="s">
        <v>55</v>
      </c>
      <c r="J15" s="39" t="s">
        <v>277</v>
      </c>
      <c r="K15" s="39" t="s">
        <v>278</v>
      </c>
      <c r="L15" s="39" t="s">
        <v>279</v>
      </c>
      <c r="M15" s="39" t="s">
        <v>67</v>
      </c>
      <c r="N15" s="42" t="str">
        <f t="shared" si="0"/>
        <v>Complete</v>
      </c>
    </row>
    <row r="16" spans="1:14" ht="15.75" customHeight="1" x14ac:dyDescent="0.2">
      <c r="A16" s="39"/>
      <c r="E16" s="39"/>
      <c r="F16" s="39"/>
      <c r="G16" s="39"/>
      <c r="H16" s="39"/>
      <c r="I16" s="39"/>
      <c r="J16" s="39"/>
      <c r="K16" s="39"/>
      <c r="L16" s="39"/>
      <c r="M16" s="39"/>
      <c r="N16" s="42" t="str">
        <f t="shared" si="0"/>
        <v>Empty</v>
      </c>
    </row>
    <row r="17" spans="1:14" ht="15.75" customHeight="1" x14ac:dyDescent="0.2">
      <c r="A17" s="39"/>
      <c r="E17" s="39"/>
      <c r="F17" s="39"/>
      <c r="G17" s="39"/>
      <c r="H17" s="39"/>
      <c r="I17" s="39"/>
      <c r="J17" s="39"/>
      <c r="K17" s="39"/>
      <c r="L17" s="39"/>
      <c r="M17" s="39"/>
      <c r="N17" s="42" t="str">
        <f t="shared" si="0"/>
        <v>Empty</v>
      </c>
    </row>
    <row r="18" spans="1:14" ht="15.75" customHeight="1" x14ac:dyDescent="0.2">
      <c r="A18" s="39"/>
      <c r="E18" s="39"/>
      <c r="F18" s="39"/>
      <c r="G18" s="39"/>
      <c r="H18" s="39"/>
      <c r="I18" s="39"/>
      <c r="J18" s="39"/>
      <c r="K18" s="39"/>
      <c r="L18" s="39"/>
      <c r="M18" s="39"/>
      <c r="N18" s="42" t="str">
        <f t="shared" si="0"/>
        <v>Empty</v>
      </c>
    </row>
    <row r="19" spans="1:14" ht="15.75" customHeight="1" x14ac:dyDescent="0.2">
      <c r="A19" s="39"/>
      <c r="E19" s="39"/>
      <c r="F19" s="39"/>
      <c r="G19" s="39"/>
      <c r="H19" s="39"/>
      <c r="I19" s="39"/>
      <c r="J19" s="39"/>
      <c r="K19" s="39"/>
      <c r="L19" s="39"/>
      <c r="M19" s="39"/>
      <c r="N19" s="42" t="str">
        <f t="shared" si="0"/>
        <v>Empty</v>
      </c>
    </row>
    <row r="20" spans="1:14" ht="15.75" customHeight="1" x14ac:dyDescent="0.2">
      <c r="A20" s="39"/>
      <c r="E20" s="39"/>
      <c r="F20" s="39"/>
      <c r="G20" s="39"/>
      <c r="H20" s="39"/>
      <c r="I20" s="39"/>
      <c r="J20" s="39"/>
      <c r="K20" s="39"/>
      <c r="L20" s="39"/>
      <c r="M20" s="39"/>
      <c r="N20" s="42" t="str">
        <f t="shared" si="0"/>
        <v>Empty</v>
      </c>
    </row>
    <row r="21" spans="1:14" ht="15.75" customHeight="1" x14ac:dyDescent="0.2">
      <c r="A21" s="39"/>
      <c r="E21" s="39"/>
      <c r="F21" s="39"/>
      <c r="G21" s="39"/>
      <c r="H21" s="39"/>
      <c r="I21" s="39"/>
      <c r="J21" s="39"/>
      <c r="K21" s="39"/>
      <c r="L21" s="39"/>
      <c r="M21" s="39"/>
      <c r="N21" s="42" t="str">
        <f t="shared" si="0"/>
        <v>Empty</v>
      </c>
    </row>
    <row r="22" spans="1:14" ht="15.75" customHeight="1" x14ac:dyDescent="0.2">
      <c r="A22" s="39"/>
      <c r="E22" s="39"/>
      <c r="F22" s="39"/>
      <c r="G22" s="39"/>
      <c r="H22" s="39"/>
      <c r="I22" s="39"/>
      <c r="J22" s="39"/>
      <c r="K22" s="39"/>
      <c r="L22" s="39"/>
      <c r="M22" s="39"/>
      <c r="N22" s="42" t="str">
        <f t="shared" si="0"/>
        <v>Empty</v>
      </c>
    </row>
    <row r="23" spans="1:14" ht="15.75" customHeight="1" x14ac:dyDescent="0.2">
      <c r="A23" s="39"/>
      <c r="E23" s="39"/>
      <c r="F23" s="39"/>
      <c r="G23" s="39"/>
      <c r="H23" s="39"/>
      <c r="I23" s="39"/>
      <c r="J23" s="39"/>
      <c r="K23" s="39"/>
      <c r="L23" s="39"/>
      <c r="M23" s="39"/>
      <c r="N23" s="42" t="str">
        <f t="shared" si="0"/>
        <v>Empty</v>
      </c>
    </row>
    <row r="24" spans="1:14" ht="15.75" customHeight="1" x14ac:dyDescent="0.2">
      <c r="A24" s="39"/>
      <c r="E24" s="39"/>
      <c r="F24" s="39"/>
      <c r="G24" s="39"/>
      <c r="H24" s="39"/>
      <c r="I24" s="39"/>
      <c r="J24" s="39"/>
      <c r="K24" s="39"/>
      <c r="L24" s="39"/>
      <c r="M24" s="39"/>
      <c r="N24" s="42" t="str">
        <f t="shared" si="0"/>
        <v>Empty</v>
      </c>
    </row>
    <row r="25" spans="1:14" ht="15.75" customHeight="1" x14ac:dyDescent="0.2">
      <c r="A25" s="39"/>
      <c r="E25" s="39"/>
      <c r="F25" s="39"/>
      <c r="G25" s="39"/>
      <c r="H25" s="39"/>
      <c r="I25" s="39"/>
      <c r="J25" s="39"/>
      <c r="K25" s="39"/>
      <c r="L25" s="39"/>
      <c r="M25" s="39"/>
      <c r="N25" s="42" t="str">
        <f t="shared" si="0"/>
        <v>Empty</v>
      </c>
    </row>
    <row r="26" spans="1:14" ht="15.75" customHeight="1" x14ac:dyDescent="0.2">
      <c r="A26" s="39"/>
      <c r="E26" s="39"/>
      <c r="F26" s="39"/>
      <c r="G26" s="39"/>
      <c r="H26" s="39"/>
      <c r="I26" s="39"/>
      <c r="J26" s="39"/>
      <c r="K26" s="39"/>
      <c r="L26" s="39"/>
      <c r="M26" s="39"/>
      <c r="N26" s="42" t="str">
        <f t="shared" si="0"/>
        <v>Empty</v>
      </c>
    </row>
    <row r="27" spans="1:14" ht="15.75" customHeight="1" x14ac:dyDescent="0.2">
      <c r="A27" s="39"/>
      <c r="E27" s="39"/>
      <c r="F27" s="39"/>
      <c r="G27" s="39"/>
      <c r="H27" s="39"/>
      <c r="I27" s="39"/>
      <c r="J27" s="39"/>
      <c r="K27" s="39"/>
      <c r="L27" s="39"/>
      <c r="M27" s="39"/>
      <c r="N27" s="42" t="str">
        <f t="shared" si="0"/>
        <v>Empty</v>
      </c>
    </row>
    <row r="28" spans="1:14" ht="15.75" customHeight="1" x14ac:dyDescent="0.2">
      <c r="A28" s="39"/>
      <c r="E28" s="39"/>
      <c r="F28" s="39"/>
      <c r="G28" s="39"/>
      <c r="H28" s="39"/>
      <c r="I28" s="39"/>
      <c r="J28" s="39"/>
      <c r="K28" s="39"/>
      <c r="L28" s="39"/>
      <c r="M28" s="39"/>
      <c r="N28" s="42" t="str">
        <f t="shared" si="0"/>
        <v>Empty</v>
      </c>
    </row>
    <row r="29" spans="1:14" ht="15.75" customHeight="1" x14ac:dyDescent="0.2">
      <c r="A29" s="39"/>
      <c r="E29" s="39"/>
      <c r="F29" s="39"/>
      <c r="G29" s="39"/>
      <c r="H29" s="39"/>
      <c r="I29" s="39"/>
      <c r="J29" s="39"/>
      <c r="K29" s="39"/>
      <c r="L29" s="39"/>
      <c r="M29" s="39"/>
      <c r="N29" s="42" t="str">
        <f t="shared" si="0"/>
        <v>Empty</v>
      </c>
    </row>
    <row r="30" spans="1:14" ht="15.75" customHeight="1" x14ac:dyDescent="0.2">
      <c r="A30" s="39"/>
      <c r="E30" s="39"/>
      <c r="F30" s="39"/>
      <c r="G30" s="39"/>
      <c r="H30" s="39"/>
      <c r="I30" s="39"/>
      <c r="J30" s="39"/>
      <c r="K30" s="39"/>
      <c r="L30" s="39"/>
      <c r="M30" s="39"/>
      <c r="N30" s="42" t="str">
        <f t="shared" si="0"/>
        <v>Empty</v>
      </c>
    </row>
    <row r="31" spans="1:14" ht="15.75" customHeight="1" x14ac:dyDescent="0.2">
      <c r="A31" s="39"/>
      <c r="E31" s="39"/>
      <c r="F31" s="39"/>
      <c r="G31" s="39"/>
      <c r="H31" s="39"/>
      <c r="I31" s="39"/>
      <c r="J31" s="39"/>
      <c r="K31" s="39"/>
      <c r="L31" s="39"/>
      <c r="M31" s="39"/>
      <c r="N31" s="42" t="str">
        <f t="shared" si="0"/>
        <v>Empty</v>
      </c>
    </row>
    <row r="32" spans="1:14" ht="15.75" customHeight="1" x14ac:dyDescent="0.2">
      <c r="A32" s="39"/>
      <c r="E32" s="39"/>
      <c r="F32" s="39"/>
      <c r="G32" s="39"/>
      <c r="H32" s="39"/>
      <c r="I32" s="39"/>
      <c r="J32" s="39"/>
      <c r="K32" s="39"/>
      <c r="L32" s="39"/>
      <c r="M32" s="39"/>
      <c r="N32" s="42" t="str">
        <f t="shared" si="0"/>
        <v>Empty</v>
      </c>
    </row>
    <row r="33" spans="1:14" ht="15.75" customHeight="1" x14ac:dyDescent="0.2">
      <c r="A33" s="39"/>
      <c r="E33" s="39"/>
      <c r="F33" s="39"/>
      <c r="G33" s="39"/>
      <c r="H33" s="39"/>
      <c r="I33" s="39"/>
      <c r="J33" s="39"/>
      <c r="K33" s="39"/>
      <c r="L33" s="39"/>
      <c r="M33" s="39"/>
      <c r="N33" s="42" t="str">
        <f t="shared" si="0"/>
        <v>Empty</v>
      </c>
    </row>
    <row r="34" spans="1:14" ht="15.75" customHeight="1" x14ac:dyDescent="0.2">
      <c r="A34" s="39"/>
      <c r="E34" s="39"/>
      <c r="F34" s="39"/>
      <c r="G34" s="39"/>
      <c r="H34" s="39"/>
      <c r="I34" s="39"/>
      <c r="J34" s="39"/>
      <c r="K34" s="39"/>
      <c r="L34" s="39"/>
      <c r="M34" s="39"/>
      <c r="N34" s="42" t="str">
        <f t="shared" ref="N34:N65" si="1">IF(COUNTA(B34,E34,F34,K34,L34,M34)=0,"Empty",IF(COUNTA(B34,E34,F34,K34,L34,M34)&lt;6,"Partial","Complete"))</f>
        <v>Empty</v>
      </c>
    </row>
    <row r="35" spans="1:14" ht="15.75" customHeight="1" x14ac:dyDescent="0.2">
      <c r="A35" s="39"/>
      <c r="E35" s="39"/>
      <c r="F35" s="39"/>
      <c r="G35" s="39"/>
      <c r="H35" s="39"/>
      <c r="I35" s="39"/>
      <c r="J35" s="39"/>
      <c r="K35" s="39"/>
      <c r="L35" s="39"/>
      <c r="M35" s="39"/>
      <c r="N35" s="42" t="str">
        <f t="shared" si="1"/>
        <v>Empty</v>
      </c>
    </row>
    <row r="36" spans="1:14" ht="15.75" customHeight="1" x14ac:dyDescent="0.2">
      <c r="A36" s="39"/>
      <c r="E36" s="39"/>
      <c r="F36" s="39"/>
      <c r="G36" s="39"/>
      <c r="H36" s="39"/>
      <c r="I36" s="39"/>
      <c r="J36" s="39"/>
      <c r="K36" s="39"/>
      <c r="L36" s="39"/>
      <c r="M36" s="39"/>
      <c r="N36" s="42" t="str">
        <f t="shared" si="1"/>
        <v>Empty</v>
      </c>
    </row>
    <row r="37" spans="1:14" ht="15.75" customHeight="1" x14ac:dyDescent="0.2">
      <c r="A37" s="39"/>
      <c r="E37" s="39"/>
      <c r="F37" s="39"/>
      <c r="G37" s="39"/>
      <c r="H37" s="39"/>
      <c r="I37" s="39"/>
      <c r="J37" s="39"/>
      <c r="K37" s="39"/>
      <c r="L37" s="39"/>
      <c r="M37" s="39"/>
      <c r="N37" s="42" t="str">
        <f t="shared" si="1"/>
        <v>Empty</v>
      </c>
    </row>
    <row r="38" spans="1:14" ht="15.75" customHeight="1" x14ac:dyDescent="0.2">
      <c r="A38" s="39"/>
      <c r="E38" s="39"/>
      <c r="F38" s="39"/>
      <c r="G38" s="39"/>
      <c r="H38" s="39"/>
      <c r="I38" s="39"/>
      <c r="J38" s="39"/>
      <c r="K38" s="39"/>
      <c r="L38" s="39"/>
      <c r="M38" s="39"/>
      <c r="N38" s="42" t="str">
        <f t="shared" si="1"/>
        <v>Empty</v>
      </c>
    </row>
    <row r="39" spans="1:14" ht="15.75" customHeight="1" x14ac:dyDescent="0.2">
      <c r="A39" s="39"/>
      <c r="E39" s="39"/>
      <c r="F39" s="39"/>
      <c r="G39" s="39"/>
      <c r="H39" s="39"/>
      <c r="I39" s="39"/>
      <c r="J39" s="39"/>
      <c r="K39" s="39"/>
      <c r="L39" s="39"/>
      <c r="M39" s="39"/>
      <c r="N39" s="42" t="str">
        <f t="shared" si="1"/>
        <v>Empty</v>
      </c>
    </row>
    <row r="40" spans="1:14" ht="15.75" customHeight="1" x14ac:dyDescent="0.2">
      <c r="A40" s="39"/>
      <c r="E40" s="39"/>
      <c r="F40" s="39"/>
      <c r="G40" s="39"/>
      <c r="H40" s="39"/>
      <c r="I40" s="39"/>
      <c r="J40" s="39"/>
      <c r="K40" s="39"/>
      <c r="L40" s="39"/>
      <c r="M40" s="39"/>
      <c r="N40" s="42" t="str">
        <f t="shared" si="1"/>
        <v>Empty</v>
      </c>
    </row>
    <row r="41" spans="1:14" ht="15.75" customHeight="1" x14ac:dyDescent="0.2">
      <c r="A41" s="39"/>
      <c r="E41" s="39"/>
      <c r="F41" s="39"/>
      <c r="G41" s="39"/>
      <c r="H41" s="39"/>
      <c r="I41" s="39"/>
      <c r="J41" s="39"/>
      <c r="K41" s="39"/>
      <c r="L41" s="39"/>
      <c r="M41" s="39"/>
      <c r="N41" s="42" t="str">
        <f t="shared" si="1"/>
        <v>Empty</v>
      </c>
    </row>
    <row r="42" spans="1:14" ht="15.75" customHeight="1" x14ac:dyDescent="0.2">
      <c r="A42" s="39"/>
      <c r="E42" s="39"/>
      <c r="F42" s="39"/>
      <c r="G42" s="39"/>
      <c r="H42" s="39"/>
      <c r="I42" s="39"/>
      <c r="J42" s="39"/>
      <c r="K42" s="39"/>
      <c r="L42" s="39"/>
      <c r="M42" s="39"/>
      <c r="N42" s="42" t="str">
        <f t="shared" si="1"/>
        <v>Empty</v>
      </c>
    </row>
    <row r="43" spans="1:14" ht="15.75" customHeight="1" x14ac:dyDescent="0.2">
      <c r="A43" s="39"/>
      <c r="E43" s="39"/>
      <c r="F43" s="39"/>
      <c r="G43" s="39"/>
      <c r="H43" s="39"/>
      <c r="I43" s="39"/>
      <c r="J43" s="39"/>
      <c r="K43" s="39"/>
      <c r="L43" s="39"/>
      <c r="M43" s="39"/>
      <c r="N43" s="42" t="str">
        <f t="shared" si="1"/>
        <v>Empty</v>
      </c>
    </row>
    <row r="44" spans="1:14" ht="15.75" customHeight="1" x14ac:dyDescent="0.2">
      <c r="A44" s="39"/>
      <c r="E44" s="39"/>
      <c r="F44" s="39"/>
      <c r="G44" s="39"/>
      <c r="H44" s="39"/>
      <c r="I44" s="39"/>
      <c r="J44" s="39"/>
      <c r="K44" s="39"/>
      <c r="L44" s="39"/>
      <c r="M44" s="39"/>
      <c r="N44" s="42" t="str">
        <f t="shared" si="1"/>
        <v>Empty</v>
      </c>
    </row>
    <row r="45" spans="1:14" ht="15.75" customHeight="1" x14ac:dyDescent="0.2">
      <c r="A45" s="39"/>
      <c r="E45" s="39"/>
      <c r="F45" s="39"/>
      <c r="G45" s="39"/>
      <c r="H45" s="39"/>
      <c r="I45" s="39"/>
      <c r="J45" s="39"/>
      <c r="K45" s="39"/>
      <c r="L45" s="39"/>
      <c r="M45" s="39"/>
      <c r="N45" s="42" t="str">
        <f t="shared" si="1"/>
        <v>Empty</v>
      </c>
    </row>
    <row r="46" spans="1:14" ht="15.75" customHeight="1" x14ac:dyDescent="0.2">
      <c r="A46" s="39"/>
      <c r="E46" s="39"/>
      <c r="F46" s="39"/>
      <c r="G46" s="39"/>
      <c r="H46" s="39"/>
      <c r="I46" s="39"/>
      <c r="J46" s="39"/>
      <c r="K46" s="39"/>
      <c r="L46" s="39"/>
      <c r="M46" s="39"/>
      <c r="N46" s="42" t="str">
        <f t="shared" si="1"/>
        <v>Empty</v>
      </c>
    </row>
    <row r="47" spans="1:14" ht="15.75" customHeight="1" x14ac:dyDescent="0.2">
      <c r="A47" s="39"/>
      <c r="E47" s="39"/>
      <c r="F47" s="39"/>
      <c r="G47" s="39"/>
      <c r="H47" s="39"/>
      <c r="I47" s="39"/>
      <c r="J47" s="39"/>
      <c r="K47" s="39"/>
      <c r="L47" s="39"/>
      <c r="M47" s="39"/>
      <c r="N47" s="42" t="str">
        <f t="shared" si="1"/>
        <v>Empty</v>
      </c>
    </row>
    <row r="48" spans="1:14" ht="15.75" customHeight="1" x14ac:dyDescent="0.2">
      <c r="A48" s="39"/>
      <c r="E48" s="39"/>
      <c r="F48" s="39"/>
      <c r="G48" s="39"/>
      <c r="H48" s="39"/>
      <c r="I48" s="39"/>
      <c r="J48" s="39"/>
      <c r="K48" s="39"/>
      <c r="L48" s="39"/>
      <c r="M48" s="39"/>
      <c r="N48" s="42" t="str">
        <f t="shared" si="1"/>
        <v>Empty</v>
      </c>
    </row>
    <row r="49" spans="1:14" ht="15.75" customHeight="1" x14ac:dyDescent="0.2">
      <c r="A49" s="39"/>
      <c r="E49" s="39"/>
      <c r="F49" s="39"/>
      <c r="G49" s="39"/>
      <c r="H49" s="39"/>
      <c r="I49" s="39"/>
      <c r="J49" s="39"/>
      <c r="K49" s="39"/>
      <c r="L49" s="39"/>
      <c r="M49" s="39"/>
      <c r="N49" s="42" t="str">
        <f t="shared" si="1"/>
        <v>Empty</v>
      </c>
    </row>
    <row r="50" spans="1:14" ht="15.75" customHeight="1" x14ac:dyDescent="0.2">
      <c r="A50" s="39"/>
      <c r="E50" s="39"/>
      <c r="F50" s="39"/>
      <c r="G50" s="39"/>
      <c r="H50" s="39"/>
      <c r="I50" s="39"/>
      <c r="J50" s="39"/>
      <c r="K50" s="39"/>
      <c r="L50" s="39"/>
      <c r="M50" s="39"/>
      <c r="N50" s="42" t="str">
        <f t="shared" si="1"/>
        <v>Empty</v>
      </c>
    </row>
    <row r="51" spans="1:14" ht="15.75" customHeight="1" x14ac:dyDescent="0.2">
      <c r="A51" s="39"/>
      <c r="E51" s="39"/>
      <c r="F51" s="39"/>
      <c r="G51" s="39"/>
      <c r="H51" s="39"/>
      <c r="I51" s="39"/>
      <c r="J51" s="39"/>
      <c r="K51" s="39"/>
      <c r="L51" s="39"/>
      <c r="M51" s="39"/>
      <c r="N51" s="42" t="str">
        <f t="shared" si="1"/>
        <v>Empty</v>
      </c>
    </row>
    <row r="52" spans="1:14" ht="15.75" customHeight="1" x14ac:dyDescent="0.2">
      <c r="A52" s="39"/>
      <c r="E52" s="39"/>
      <c r="F52" s="39"/>
      <c r="G52" s="39"/>
      <c r="H52" s="39"/>
      <c r="I52" s="39"/>
      <c r="J52" s="39"/>
      <c r="K52" s="39"/>
      <c r="L52" s="39"/>
      <c r="M52" s="39"/>
      <c r="N52" s="42" t="str">
        <f t="shared" si="1"/>
        <v>Empty</v>
      </c>
    </row>
    <row r="53" spans="1:14" ht="15.75" customHeight="1" x14ac:dyDescent="0.2">
      <c r="A53" s="39"/>
      <c r="E53" s="39"/>
      <c r="F53" s="39"/>
      <c r="G53" s="39"/>
      <c r="H53" s="39"/>
      <c r="I53" s="39"/>
      <c r="J53" s="39"/>
      <c r="K53" s="39"/>
      <c r="L53" s="39"/>
      <c r="M53" s="39"/>
      <c r="N53" s="42" t="str">
        <f t="shared" si="1"/>
        <v>Empty</v>
      </c>
    </row>
    <row r="54" spans="1:14" ht="15.75" customHeight="1" x14ac:dyDescent="0.2">
      <c r="A54" s="39"/>
      <c r="E54" s="39"/>
      <c r="F54" s="39"/>
      <c r="G54" s="39"/>
      <c r="H54" s="39"/>
      <c r="I54" s="39"/>
      <c r="J54" s="39"/>
      <c r="K54" s="39"/>
      <c r="L54" s="39"/>
      <c r="M54" s="39"/>
      <c r="N54" s="42" t="str">
        <f t="shared" si="1"/>
        <v>Empty</v>
      </c>
    </row>
    <row r="55" spans="1:14" ht="15.75" customHeight="1" x14ac:dyDescent="0.2">
      <c r="A55" s="39"/>
      <c r="E55" s="39"/>
      <c r="F55" s="39"/>
      <c r="G55" s="39"/>
      <c r="H55" s="39"/>
      <c r="I55" s="39"/>
      <c r="J55" s="39"/>
      <c r="K55" s="39"/>
      <c r="L55" s="39"/>
      <c r="M55" s="39"/>
      <c r="N55" s="42" t="str">
        <f t="shared" si="1"/>
        <v>Empty</v>
      </c>
    </row>
    <row r="56" spans="1:14" ht="15.75" customHeight="1" x14ac:dyDescent="0.2">
      <c r="A56" s="39"/>
      <c r="E56" s="39"/>
      <c r="F56" s="39"/>
      <c r="G56" s="39"/>
      <c r="H56" s="39"/>
      <c r="I56" s="39"/>
      <c r="J56" s="39"/>
      <c r="K56" s="39"/>
      <c r="L56" s="39"/>
      <c r="M56" s="39"/>
      <c r="N56" s="42" t="str">
        <f t="shared" si="1"/>
        <v>Empty</v>
      </c>
    </row>
    <row r="57" spans="1:14" ht="15.75" customHeight="1" x14ac:dyDescent="0.2">
      <c r="A57" s="39"/>
      <c r="E57" s="39"/>
      <c r="F57" s="39"/>
      <c r="G57" s="39"/>
      <c r="H57" s="39"/>
      <c r="I57" s="39"/>
      <c r="J57" s="39"/>
      <c r="K57" s="39"/>
      <c r="L57" s="39"/>
      <c r="M57" s="39"/>
      <c r="N57" s="42" t="str">
        <f t="shared" si="1"/>
        <v>Empty</v>
      </c>
    </row>
    <row r="58" spans="1:14" ht="15.75" customHeight="1" x14ac:dyDescent="0.2">
      <c r="A58" s="39"/>
      <c r="E58" s="39"/>
      <c r="F58" s="39"/>
      <c r="G58" s="39"/>
      <c r="H58" s="39"/>
      <c r="I58" s="39"/>
      <c r="J58" s="39"/>
      <c r="K58" s="39"/>
      <c r="L58" s="39"/>
      <c r="M58" s="39"/>
      <c r="N58" s="42" t="str">
        <f t="shared" si="1"/>
        <v>Empty</v>
      </c>
    </row>
    <row r="59" spans="1:14" ht="15.75" customHeight="1" x14ac:dyDescent="0.2">
      <c r="A59" s="39"/>
      <c r="E59" s="39"/>
      <c r="F59" s="39"/>
      <c r="G59" s="39"/>
      <c r="H59" s="39"/>
      <c r="I59" s="39"/>
      <c r="J59" s="39"/>
      <c r="K59" s="39"/>
      <c r="L59" s="39"/>
      <c r="M59" s="39"/>
      <c r="N59" s="42" t="str">
        <f t="shared" si="1"/>
        <v>Empty</v>
      </c>
    </row>
    <row r="60" spans="1:14" ht="15.75" customHeight="1" x14ac:dyDescent="0.2">
      <c r="A60" s="39"/>
      <c r="E60" s="39"/>
      <c r="F60" s="39"/>
      <c r="G60" s="39"/>
      <c r="H60" s="39"/>
      <c r="I60" s="39"/>
      <c r="J60" s="39"/>
      <c r="K60" s="39"/>
      <c r="L60" s="39"/>
      <c r="M60" s="39"/>
      <c r="N60" s="42" t="str">
        <f t="shared" si="1"/>
        <v>Empty</v>
      </c>
    </row>
    <row r="61" spans="1:14" ht="15.75" customHeight="1" x14ac:dyDescent="0.2">
      <c r="A61" s="39"/>
      <c r="E61" s="39"/>
      <c r="F61" s="39"/>
      <c r="G61" s="39"/>
      <c r="H61" s="39"/>
      <c r="I61" s="39"/>
      <c r="J61" s="39"/>
      <c r="K61" s="39"/>
      <c r="L61" s="39"/>
      <c r="M61" s="39"/>
      <c r="N61" s="42" t="str">
        <f t="shared" si="1"/>
        <v>Empty</v>
      </c>
    </row>
    <row r="62" spans="1:14" ht="15.75" customHeight="1" x14ac:dyDescent="0.2">
      <c r="A62" s="39"/>
      <c r="E62" s="39"/>
      <c r="F62" s="39"/>
      <c r="G62" s="39"/>
      <c r="H62" s="39"/>
      <c r="I62" s="39"/>
      <c r="J62" s="39"/>
      <c r="K62" s="39"/>
      <c r="L62" s="39"/>
      <c r="M62" s="39"/>
      <c r="N62" s="42" t="str">
        <f t="shared" si="1"/>
        <v>Empty</v>
      </c>
    </row>
    <row r="63" spans="1:14" ht="15.75" customHeight="1" x14ac:dyDescent="0.2">
      <c r="A63" s="39"/>
      <c r="E63" s="39"/>
      <c r="F63" s="39"/>
      <c r="G63" s="39"/>
      <c r="H63" s="39"/>
      <c r="I63" s="39"/>
      <c r="J63" s="39"/>
      <c r="K63" s="39"/>
      <c r="L63" s="39"/>
      <c r="M63" s="39"/>
      <c r="N63" s="42" t="str">
        <f t="shared" si="1"/>
        <v>Empty</v>
      </c>
    </row>
    <row r="64" spans="1:14" ht="15.75" customHeight="1" x14ac:dyDescent="0.2">
      <c r="A64" s="39"/>
      <c r="E64" s="39"/>
      <c r="F64" s="39"/>
      <c r="G64" s="39"/>
      <c r="H64" s="39"/>
      <c r="I64" s="39"/>
      <c r="J64" s="39"/>
      <c r="K64" s="39"/>
      <c r="L64" s="39"/>
      <c r="M64" s="39"/>
      <c r="N64" s="42" t="str">
        <f t="shared" si="1"/>
        <v>Empty</v>
      </c>
    </row>
    <row r="65" spans="1:14" ht="15.75" customHeight="1" x14ac:dyDescent="0.2">
      <c r="A65" s="39"/>
      <c r="E65" s="39"/>
      <c r="F65" s="39"/>
      <c r="G65" s="39"/>
      <c r="H65" s="39"/>
      <c r="I65" s="39"/>
      <c r="J65" s="39"/>
      <c r="K65" s="39"/>
      <c r="L65" s="39"/>
      <c r="M65" s="39"/>
      <c r="N65" s="42" t="str">
        <f t="shared" si="1"/>
        <v>Empty</v>
      </c>
    </row>
    <row r="66" spans="1:14" ht="15.75" customHeight="1" x14ac:dyDescent="0.2">
      <c r="A66" s="39"/>
      <c r="E66" s="39"/>
      <c r="F66" s="39"/>
      <c r="G66" s="39"/>
      <c r="H66" s="39"/>
      <c r="I66" s="39"/>
      <c r="J66" s="39"/>
      <c r="K66" s="39"/>
      <c r="L66" s="39"/>
      <c r="M66" s="39"/>
      <c r="N66" s="42" t="str">
        <f t="shared" ref="N66:N97" si="2">IF(COUNTA(B66,E66,F66,K66,L66,M66)=0,"Empty",IF(COUNTA(B66,E66,F66,K66,L66,M66)&lt;6,"Partial","Complete"))</f>
        <v>Empty</v>
      </c>
    </row>
    <row r="67" spans="1:14" ht="15.75" customHeight="1" x14ac:dyDescent="0.2">
      <c r="A67" s="39"/>
      <c r="E67" s="39"/>
      <c r="F67" s="39"/>
      <c r="G67" s="39"/>
      <c r="H67" s="39"/>
      <c r="I67" s="39"/>
      <c r="J67" s="39"/>
      <c r="K67" s="39"/>
      <c r="L67" s="39"/>
      <c r="M67" s="39"/>
      <c r="N67" s="42" t="str">
        <f t="shared" si="2"/>
        <v>Empty</v>
      </c>
    </row>
    <row r="68" spans="1:14" ht="15.75" customHeight="1" x14ac:dyDescent="0.2">
      <c r="A68" s="39"/>
      <c r="E68" s="39"/>
      <c r="F68" s="39"/>
      <c r="G68" s="39"/>
      <c r="H68" s="39"/>
      <c r="I68" s="39"/>
      <c r="J68" s="39"/>
      <c r="K68" s="39"/>
      <c r="L68" s="39"/>
      <c r="M68" s="39"/>
      <c r="N68" s="42" t="str">
        <f t="shared" si="2"/>
        <v>Empty</v>
      </c>
    </row>
    <row r="69" spans="1:14" ht="15.75" customHeight="1" x14ac:dyDescent="0.2">
      <c r="A69" s="39"/>
      <c r="E69" s="39"/>
      <c r="F69" s="39"/>
      <c r="G69" s="39"/>
      <c r="H69" s="39"/>
      <c r="I69" s="39"/>
      <c r="J69" s="39"/>
      <c r="K69" s="39"/>
      <c r="L69" s="39"/>
      <c r="M69" s="39"/>
      <c r="N69" s="42" t="str">
        <f t="shared" si="2"/>
        <v>Empty</v>
      </c>
    </row>
    <row r="70" spans="1:14" ht="15.75" customHeight="1" x14ac:dyDescent="0.2">
      <c r="A70" s="39"/>
      <c r="E70" s="39"/>
      <c r="F70" s="39"/>
      <c r="G70" s="39"/>
      <c r="H70" s="39"/>
      <c r="I70" s="39"/>
      <c r="J70" s="39"/>
      <c r="K70" s="39"/>
      <c r="L70" s="39"/>
      <c r="M70" s="39"/>
      <c r="N70" s="42" t="str">
        <f t="shared" si="2"/>
        <v>Empty</v>
      </c>
    </row>
    <row r="71" spans="1:14" ht="15.75" customHeight="1" x14ac:dyDescent="0.2">
      <c r="A71" s="39"/>
      <c r="E71" s="39"/>
      <c r="F71" s="39"/>
      <c r="G71" s="39"/>
      <c r="H71" s="39"/>
      <c r="I71" s="39"/>
      <c r="J71" s="39"/>
      <c r="K71" s="39"/>
      <c r="L71" s="39"/>
      <c r="M71" s="39"/>
      <c r="N71" s="42" t="str">
        <f t="shared" si="2"/>
        <v>Empty</v>
      </c>
    </row>
    <row r="72" spans="1:14" ht="15.75" customHeight="1" x14ac:dyDescent="0.2">
      <c r="A72" s="39"/>
      <c r="E72" s="39"/>
      <c r="F72" s="39"/>
      <c r="G72" s="39"/>
      <c r="H72" s="39"/>
      <c r="I72" s="39"/>
      <c r="J72" s="39"/>
      <c r="K72" s="39"/>
      <c r="L72" s="39"/>
      <c r="M72" s="39"/>
      <c r="N72" s="42" t="str">
        <f t="shared" si="2"/>
        <v>Empty</v>
      </c>
    </row>
    <row r="73" spans="1:14" ht="15.75" customHeight="1" x14ac:dyDescent="0.2">
      <c r="A73" s="39"/>
      <c r="E73" s="39"/>
      <c r="F73" s="39"/>
      <c r="G73" s="39"/>
      <c r="H73" s="39"/>
      <c r="I73" s="39"/>
      <c r="J73" s="39"/>
      <c r="K73" s="39"/>
      <c r="L73" s="39"/>
      <c r="M73" s="39"/>
      <c r="N73" s="42" t="str">
        <f t="shared" si="2"/>
        <v>Empty</v>
      </c>
    </row>
    <row r="74" spans="1:14" ht="15.75" customHeight="1" x14ac:dyDescent="0.2">
      <c r="A74" s="39"/>
      <c r="E74" s="39"/>
      <c r="F74" s="39"/>
      <c r="G74" s="39"/>
      <c r="H74" s="39"/>
      <c r="I74" s="39"/>
      <c r="J74" s="39"/>
      <c r="K74" s="39"/>
      <c r="L74" s="39"/>
      <c r="M74" s="39"/>
      <c r="N74" s="42" t="str">
        <f t="shared" si="2"/>
        <v>Empty</v>
      </c>
    </row>
    <row r="75" spans="1:14" ht="15.75" customHeight="1" x14ac:dyDescent="0.2">
      <c r="A75" s="39"/>
      <c r="E75" s="39"/>
      <c r="F75" s="39"/>
      <c r="G75" s="39"/>
      <c r="H75" s="39"/>
      <c r="I75" s="39"/>
      <c r="J75" s="39"/>
      <c r="K75" s="39"/>
      <c r="L75" s="39"/>
      <c r="M75" s="39"/>
      <c r="N75" s="42" t="str">
        <f t="shared" si="2"/>
        <v>Empty</v>
      </c>
    </row>
    <row r="76" spans="1:14" ht="15.75" customHeight="1" x14ac:dyDescent="0.2">
      <c r="A76" s="39"/>
      <c r="E76" s="39"/>
      <c r="F76" s="39"/>
      <c r="G76" s="39"/>
      <c r="H76" s="39"/>
      <c r="I76" s="39"/>
      <c r="J76" s="39"/>
      <c r="K76" s="39"/>
      <c r="L76" s="39"/>
      <c r="M76" s="39"/>
      <c r="N76" s="42" t="str">
        <f t="shared" si="2"/>
        <v>Empty</v>
      </c>
    </row>
    <row r="77" spans="1:14" ht="15.75" customHeight="1" x14ac:dyDescent="0.2">
      <c r="A77" s="39"/>
      <c r="E77" s="39"/>
      <c r="F77" s="39"/>
      <c r="G77" s="39"/>
      <c r="H77" s="39"/>
      <c r="I77" s="39"/>
      <c r="J77" s="39"/>
      <c r="K77" s="39"/>
      <c r="L77" s="39"/>
      <c r="M77" s="39"/>
      <c r="N77" s="42" t="str">
        <f t="shared" si="2"/>
        <v>Empty</v>
      </c>
    </row>
    <row r="78" spans="1:14" ht="15.75" customHeight="1" x14ac:dyDescent="0.2">
      <c r="A78" s="39"/>
      <c r="E78" s="39"/>
      <c r="F78" s="39"/>
      <c r="G78" s="39"/>
      <c r="H78" s="39"/>
      <c r="I78" s="39"/>
      <c r="J78" s="39"/>
      <c r="K78" s="39"/>
      <c r="L78" s="39"/>
      <c r="M78" s="39"/>
      <c r="N78" s="42" t="str">
        <f t="shared" si="2"/>
        <v>Empty</v>
      </c>
    </row>
    <row r="79" spans="1:14" ht="15.75" customHeight="1" x14ac:dyDescent="0.2">
      <c r="A79" s="39"/>
      <c r="E79" s="39"/>
      <c r="F79" s="39"/>
      <c r="G79" s="39"/>
      <c r="H79" s="39"/>
      <c r="I79" s="39"/>
      <c r="J79" s="39"/>
      <c r="K79" s="39"/>
      <c r="L79" s="39"/>
      <c r="M79" s="39"/>
      <c r="N79" s="42" t="str">
        <f t="shared" si="2"/>
        <v>Empty</v>
      </c>
    </row>
    <row r="80" spans="1:14" ht="15.75" customHeight="1" x14ac:dyDescent="0.2">
      <c r="A80" s="39"/>
      <c r="E80" s="39"/>
      <c r="F80" s="39"/>
      <c r="G80" s="39"/>
      <c r="H80" s="39"/>
      <c r="I80" s="39"/>
      <c r="J80" s="39"/>
      <c r="K80" s="39"/>
      <c r="L80" s="39"/>
      <c r="M80" s="39"/>
      <c r="N80" s="42" t="str">
        <f t="shared" si="2"/>
        <v>Empty</v>
      </c>
    </row>
    <row r="81" spans="1:14" ht="15.75" customHeight="1" x14ac:dyDescent="0.2">
      <c r="A81" s="39"/>
      <c r="E81" s="39"/>
      <c r="F81" s="39"/>
      <c r="G81" s="39"/>
      <c r="H81" s="39"/>
      <c r="I81" s="39"/>
      <c r="J81" s="39"/>
      <c r="K81" s="39"/>
      <c r="L81" s="39"/>
      <c r="M81" s="39"/>
      <c r="N81" s="42" t="str">
        <f t="shared" si="2"/>
        <v>Empty</v>
      </c>
    </row>
    <row r="82" spans="1:14" ht="15.75" customHeight="1" x14ac:dyDescent="0.2">
      <c r="A82" s="39"/>
      <c r="E82" s="39"/>
      <c r="F82" s="39"/>
      <c r="G82" s="39"/>
      <c r="H82" s="39"/>
      <c r="I82" s="39"/>
      <c r="J82" s="39"/>
      <c r="K82" s="39"/>
      <c r="L82" s="39"/>
      <c r="M82" s="39"/>
      <c r="N82" s="42" t="str">
        <f t="shared" si="2"/>
        <v>Empty</v>
      </c>
    </row>
    <row r="83" spans="1:14" ht="15.75" customHeight="1" x14ac:dyDescent="0.2">
      <c r="A83" s="39"/>
      <c r="E83" s="39"/>
      <c r="F83" s="39"/>
      <c r="G83" s="39"/>
      <c r="H83" s="39"/>
      <c r="I83" s="39"/>
      <c r="J83" s="39"/>
      <c r="K83" s="39"/>
      <c r="L83" s="39"/>
      <c r="M83" s="39"/>
      <c r="N83" s="42" t="str">
        <f t="shared" si="2"/>
        <v>Empty</v>
      </c>
    </row>
    <row r="84" spans="1:14" ht="15.75" customHeight="1" x14ac:dyDescent="0.2">
      <c r="A84" s="39"/>
      <c r="E84" s="39"/>
      <c r="F84" s="39"/>
      <c r="G84" s="39"/>
      <c r="H84" s="39"/>
      <c r="I84" s="39"/>
      <c r="J84" s="39"/>
      <c r="K84" s="39"/>
      <c r="L84" s="39"/>
      <c r="M84" s="39"/>
      <c r="N84" s="42" t="str">
        <f t="shared" si="2"/>
        <v>Empty</v>
      </c>
    </row>
    <row r="85" spans="1:14" ht="15.75" customHeight="1" x14ac:dyDescent="0.2">
      <c r="A85" s="39"/>
      <c r="E85" s="39"/>
      <c r="F85" s="39"/>
      <c r="G85" s="39"/>
      <c r="H85" s="39"/>
      <c r="I85" s="39"/>
      <c r="J85" s="39"/>
      <c r="K85" s="39"/>
      <c r="L85" s="39"/>
      <c r="M85" s="39"/>
      <c r="N85" s="42" t="str">
        <f t="shared" si="2"/>
        <v>Empty</v>
      </c>
    </row>
    <row r="86" spans="1:14" ht="15.75" customHeight="1" x14ac:dyDescent="0.2">
      <c r="A86" s="39"/>
      <c r="E86" s="39"/>
      <c r="F86" s="39"/>
      <c r="G86" s="39"/>
      <c r="H86" s="39"/>
      <c r="I86" s="39"/>
      <c r="J86" s="39"/>
      <c r="K86" s="39"/>
      <c r="L86" s="39"/>
      <c r="M86" s="39"/>
      <c r="N86" s="42" t="str">
        <f t="shared" si="2"/>
        <v>Empty</v>
      </c>
    </row>
    <row r="87" spans="1:14" ht="15.75" customHeight="1" x14ac:dyDescent="0.2">
      <c r="A87" s="39"/>
      <c r="E87" s="39"/>
      <c r="F87" s="39"/>
      <c r="G87" s="39"/>
      <c r="H87" s="39"/>
      <c r="I87" s="39"/>
      <c r="J87" s="39"/>
      <c r="K87" s="39"/>
      <c r="L87" s="39"/>
      <c r="M87" s="39"/>
      <c r="N87" s="42" t="str">
        <f t="shared" si="2"/>
        <v>Empty</v>
      </c>
    </row>
    <row r="88" spans="1:14" ht="15.75" customHeight="1" x14ac:dyDescent="0.2">
      <c r="A88" s="39"/>
      <c r="E88" s="39"/>
      <c r="F88" s="39"/>
      <c r="G88" s="39"/>
      <c r="H88" s="39"/>
      <c r="I88" s="39"/>
      <c r="J88" s="39"/>
      <c r="K88" s="39"/>
      <c r="L88" s="39"/>
      <c r="M88" s="39"/>
      <c r="N88" s="42" t="str">
        <f t="shared" si="2"/>
        <v>Empty</v>
      </c>
    </row>
    <row r="89" spans="1:14" ht="15.75" customHeight="1" x14ac:dyDescent="0.2">
      <c r="A89" s="39"/>
      <c r="E89" s="39"/>
      <c r="F89" s="39"/>
      <c r="G89" s="39"/>
      <c r="H89" s="39"/>
      <c r="I89" s="39"/>
      <c r="J89" s="39"/>
      <c r="K89" s="39"/>
      <c r="L89" s="39"/>
      <c r="M89" s="39"/>
      <c r="N89" s="42" t="str">
        <f t="shared" si="2"/>
        <v>Empty</v>
      </c>
    </row>
    <row r="90" spans="1:14" ht="15.75" customHeight="1" x14ac:dyDescent="0.2">
      <c r="A90" s="39"/>
      <c r="E90" s="39"/>
      <c r="F90" s="39"/>
      <c r="G90" s="39"/>
      <c r="H90" s="39"/>
      <c r="I90" s="39"/>
      <c r="J90" s="39"/>
      <c r="K90" s="39"/>
      <c r="L90" s="39"/>
      <c r="M90" s="39"/>
      <c r="N90" s="42" t="str">
        <f t="shared" si="2"/>
        <v>Empty</v>
      </c>
    </row>
    <row r="91" spans="1:14" ht="15.75" customHeight="1" x14ac:dyDescent="0.2">
      <c r="A91" s="39"/>
      <c r="E91" s="39"/>
      <c r="F91" s="39"/>
      <c r="G91" s="39"/>
      <c r="H91" s="39"/>
      <c r="I91" s="39"/>
      <c r="J91" s="39"/>
      <c r="K91" s="39"/>
      <c r="L91" s="39"/>
      <c r="M91" s="39"/>
      <c r="N91" s="42" t="str">
        <f t="shared" si="2"/>
        <v>Empty</v>
      </c>
    </row>
    <row r="92" spans="1:14" ht="15.75" customHeight="1" x14ac:dyDescent="0.2">
      <c r="A92" s="39"/>
      <c r="E92" s="39"/>
      <c r="F92" s="39"/>
      <c r="G92" s="39"/>
      <c r="H92" s="39"/>
      <c r="I92" s="39"/>
      <c r="J92" s="39"/>
      <c r="K92" s="39"/>
      <c r="L92" s="39"/>
      <c r="M92" s="39"/>
      <c r="N92" s="42" t="str">
        <f t="shared" si="2"/>
        <v>Empty</v>
      </c>
    </row>
    <row r="93" spans="1:14" ht="15.75" customHeight="1" x14ac:dyDescent="0.2">
      <c r="A93" s="39"/>
      <c r="E93" s="39"/>
      <c r="F93" s="39"/>
      <c r="G93" s="39"/>
      <c r="H93" s="39"/>
      <c r="I93" s="39"/>
      <c r="J93" s="39"/>
      <c r="K93" s="39"/>
      <c r="L93" s="39"/>
      <c r="M93" s="39"/>
      <c r="N93" s="42" t="str">
        <f t="shared" si="2"/>
        <v>Empty</v>
      </c>
    </row>
    <row r="94" spans="1:14" ht="15.75" customHeight="1" x14ac:dyDescent="0.2">
      <c r="A94" s="39"/>
      <c r="E94" s="39"/>
      <c r="F94" s="39"/>
      <c r="G94" s="39"/>
      <c r="H94" s="39"/>
      <c r="I94" s="39"/>
      <c r="J94" s="39"/>
      <c r="K94" s="39"/>
      <c r="L94" s="39"/>
      <c r="M94" s="39"/>
      <c r="N94" s="42" t="str">
        <f t="shared" si="2"/>
        <v>Empty</v>
      </c>
    </row>
    <row r="95" spans="1:14" ht="15.75" customHeight="1" x14ac:dyDescent="0.2">
      <c r="A95" s="39"/>
      <c r="E95" s="39"/>
      <c r="F95" s="39"/>
      <c r="G95" s="39"/>
      <c r="H95" s="39"/>
      <c r="I95" s="39"/>
      <c r="J95" s="39"/>
      <c r="K95" s="39"/>
      <c r="L95" s="39"/>
      <c r="M95" s="39"/>
      <c r="N95" s="42" t="str">
        <f t="shared" si="2"/>
        <v>Empty</v>
      </c>
    </row>
    <row r="96" spans="1:14" ht="15.75" customHeight="1" x14ac:dyDescent="0.2">
      <c r="A96" s="39"/>
      <c r="E96" s="39"/>
      <c r="F96" s="39"/>
      <c r="G96" s="39"/>
      <c r="H96" s="39"/>
      <c r="I96" s="39"/>
      <c r="J96" s="39"/>
      <c r="K96" s="39"/>
      <c r="L96" s="39"/>
      <c r="M96" s="39"/>
      <c r="N96" s="42" t="str">
        <f t="shared" si="2"/>
        <v>Empty</v>
      </c>
    </row>
    <row r="97" spans="1:14" ht="15.75" customHeight="1" x14ac:dyDescent="0.2">
      <c r="A97" s="39"/>
      <c r="E97" s="39"/>
      <c r="F97" s="39"/>
      <c r="G97" s="39"/>
      <c r="H97" s="39"/>
      <c r="I97" s="39"/>
      <c r="J97" s="39"/>
      <c r="K97" s="39"/>
      <c r="L97" s="39"/>
      <c r="M97" s="39"/>
      <c r="N97" s="42" t="str">
        <f t="shared" si="2"/>
        <v>Empty</v>
      </c>
    </row>
    <row r="98" spans="1:14" ht="15.75" customHeight="1" x14ac:dyDescent="0.2">
      <c r="A98" s="39"/>
      <c r="E98" s="39"/>
      <c r="F98" s="39"/>
      <c r="G98" s="39"/>
      <c r="H98" s="39"/>
      <c r="I98" s="39"/>
      <c r="J98" s="39"/>
      <c r="K98" s="39"/>
      <c r="L98" s="39"/>
      <c r="M98" s="39"/>
      <c r="N98" s="42" t="str">
        <f t="shared" ref="N98:N129" si="3">IF(COUNTA(B98,E98,F98,K98,L98,M98)=0,"Empty",IF(COUNTA(B98,E98,F98,K98,L98,M98)&lt;6,"Partial","Complete"))</f>
        <v>Empty</v>
      </c>
    </row>
    <row r="99" spans="1:14" ht="15.75" customHeight="1" x14ac:dyDescent="0.2">
      <c r="A99" s="39"/>
      <c r="E99" s="39"/>
      <c r="F99" s="39"/>
      <c r="G99" s="39"/>
      <c r="H99" s="39"/>
      <c r="I99" s="39"/>
      <c r="J99" s="39"/>
      <c r="K99" s="39"/>
      <c r="L99" s="39"/>
      <c r="M99" s="39"/>
      <c r="N99" s="42" t="str">
        <f t="shared" si="3"/>
        <v>Empty</v>
      </c>
    </row>
    <row r="100" spans="1:14" ht="15.75" customHeight="1" x14ac:dyDescent="0.2">
      <c r="A100" s="39"/>
      <c r="E100" s="39"/>
      <c r="F100" s="39"/>
      <c r="G100" s="39"/>
      <c r="H100" s="39"/>
      <c r="I100" s="39"/>
      <c r="J100" s="39"/>
      <c r="K100" s="39"/>
      <c r="L100" s="39"/>
      <c r="M100" s="39"/>
      <c r="N100" s="42" t="str">
        <f t="shared" si="3"/>
        <v>Empty</v>
      </c>
    </row>
  </sheetData>
  <conditionalFormatting sqref="E2:E100">
    <cfRule type="expression" dxfId="13" priority="2">
      <formula>E2="Critical"</formula>
    </cfRule>
    <cfRule type="expression" dxfId="12" priority="3">
      <formula>E2="High"</formula>
    </cfRule>
    <cfRule type="expression" dxfId="11" priority="4">
      <formula>E2="Medium"</formula>
    </cfRule>
    <cfRule type="expression" dxfId="10" priority="5">
      <formula>E2="Low"</formula>
    </cfRule>
  </conditionalFormatting>
  <conditionalFormatting sqref="F2:F100">
    <cfRule type="expression" dxfId="9" priority="6">
      <formula>F2="Yes"</formula>
    </cfRule>
    <cfRule type="expression" dxfId="8" priority="7">
      <formula>F2="Later"</formula>
    </cfRule>
    <cfRule type="expression" dxfId="7" priority="8">
      <formula>F2="No"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zoomScale="120" zoomScaleNormal="120" workbookViewId="0">
      <selection activeCell="A3" sqref="A3"/>
    </sheetView>
  </sheetViews>
  <sheetFormatPr baseColWidth="10" defaultColWidth="8.83203125" defaultRowHeight="15" x14ac:dyDescent="0.2"/>
  <cols>
    <col min="1" max="1" width="22.5" style="38" customWidth="1"/>
    <col min="2" max="2" width="33.83203125" style="38" customWidth="1"/>
    <col min="3" max="3" width="51.5" style="38" customWidth="1"/>
    <col min="4" max="4" width="52" style="38" customWidth="1"/>
  </cols>
  <sheetData>
    <row r="1" spans="1:4" ht="33.75" customHeight="1" x14ac:dyDescent="0.2">
      <c r="A1" s="6" t="s">
        <v>280</v>
      </c>
      <c r="B1" s="6"/>
      <c r="C1" s="6"/>
      <c r="D1" s="6"/>
    </row>
    <row r="3" spans="1:4" s="15" customFormat="1" ht="33.75" customHeight="1" x14ac:dyDescent="0.2">
      <c r="A3" s="44" t="s">
        <v>281</v>
      </c>
      <c r="B3" s="44" t="s">
        <v>282</v>
      </c>
      <c r="C3" s="44" t="s">
        <v>283</v>
      </c>
      <c r="D3" s="44" t="s">
        <v>284</v>
      </c>
    </row>
    <row r="4" spans="1:4" ht="48" customHeight="1" x14ac:dyDescent="0.2">
      <c r="A4" s="45" t="s">
        <v>285</v>
      </c>
      <c r="B4" s="46" t="s">
        <v>286</v>
      </c>
      <c r="C4" s="46" t="s">
        <v>287</v>
      </c>
      <c r="D4" s="47"/>
    </row>
    <row r="5" spans="1:4" ht="31.5" customHeight="1" x14ac:dyDescent="0.2">
      <c r="A5" s="45" t="s">
        <v>288</v>
      </c>
      <c r="B5" s="46" t="s">
        <v>289</v>
      </c>
      <c r="C5" s="46" t="s">
        <v>290</v>
      </c>
      <c r="D5" s="47"/>
    </row>
    <row r="6" spans="1:4" ht="15.75" customHeight="1" x14ac:dyDescent="0.2">
      <c r="A6" s="45" t="s">
        <v>291</v>
      </c>
      <c r="B6" s="46" t="s">
        <v>292</v>
      </c>
      <c r="C6" s="46" t="s">
        <v>293</v>
      </c>
      <c r="D6" s="47"/>
    </row>
    <row r="7" spans="1:4" ht="31.5" customHeight="1" x14ac:dyDescent="0.2">
      <c r="A7" s="45" t="s">
        <v>294</v>
      </c>
      <c r="B7" s="46" t="s">
        <v>295</v>
      </c>
      <c r="C7" s="46" t="s">
        <v>296</v>
      </c>
      <c r="D7" s="47"/>
    </row>
    <row r="8" spans="1:4" ht="15.75" customHeight="1" x14ac:dyDescent="0.2">
      <c r="A8" s="45" t="s">
        <v>297</v>
      </c>
      <c r="B8" s="46" t="s">
        <v>298</v>
      </c>
      <c r="C8" s="46" t="s">
        <v>299</v>
      </c>
      <c r="D8" s="47"/>
    </row>
    <row r="9" spans="1:4" ht="31.5" customHeight="1" x14ac:dyDescent="0.2">
      <c r="A9" s="45" t="s">
        <v>300</v>
      </c>
      <c r="B9" s="46" t="s">
        <v>301</v>
      </c>
      <c r="C9" s="46" t="s">
        <v>302</v>
      </c>
      <c r="D9" s="47"/>
    </row>
    <row r="10" spans="1:4" ht="31.5" customHeight="1" x14ac:dyDescent="0.2">
      <c r="A10" s="45" t="s">
        <v>303</v>
      </c>
      <c r="B10" s="46" t="s">
        <v>304</v>
      </c>
      <c r="C10" s="46" t="s">
        <v>305</v>
      </c>
      <c r="D10" s="47"/>
    </row>
    <row r="11" spans="1:4" ht="31.5" customHeight="1" x14ac:dyDescent="0.2">
      <c r="A11" s="45" t="s">
        <v>306</v>
      </c>
      <c r="B11" s="46" t="s">
        <v>307</v>
      </c>
      <c r="C11" s="46" t="s">
        <v>308</v>
      </c>
      <c r="D11" s="47"/>
    </row>
    <row r="12" spans="1:4" ht="15.75" customHeight="1" x14ac:dyDescent="0.2">
      <c r="A12" s="45" t="s">
        <v>178</v>
      </c>
      <c r="B12" s="46" t="s">
        <v>309</v>
      </c>
      <c r="C12" s="46" t="s">
        <v>310</v>
      </c>
      <c r="D12" s="47"/>
    </row>
  </sheetData>
  <mergeCells count="1">
    <mergeCell ref="A1:D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0"/>
  <sheetViews>
    <sheetView zoomScale="120" zoomScaleNormal="120" workbookViewId="0"/>
  </sheetViews>
  <sheetFormatPr baseColWidth="10" defaultColWidth="8.83203125" defaultRowHeight="15" x14ac:dyDescent="0.2"/>
  <cols>
    <col min="1" max="1" width="30" customWidth="1"/>
    <col min="2" max="2" width="12" style="48" customWidth="1"/>
    <col min="3" max="3" width="14" style="48" customWidth="1"/>
    <col min="4" max="4" width="12" style="48" customWidth="1"/>
    <col min="5" max="5" width="42" customWidth="1"/>
    <col min="6" max="6" width="24" customWidth="1"/>
  </cols>
  <sheetData>
    <row r="1" spans="1:6" s="49" customFormat="1" ht="31.5" customHeight="1" x14ac:dyDescent="0.2">
      <c r="A1" s="32" t="s">
        <v>311</v>
      </c>
      <c r="B1" s="34" t="s">
        <v>312</v>
      </c>
      <c r="C1" s="34" t="s">
        <v>313</v>
      </c>
      <c r="D1" s="34" t="s">
        <v>53</v>
      </c>
      <c r="E1" s="35" t="s">
        <v>314</v>
      </c>
      <c r="F1" s="35" t="s">
        <v>315</v>
      </c>
    </row>
    <row r="2" spans="1:6" ht="15.75" customHeight="1" x14ac:dyDescent="0.2">
      <c r="A2" s="16" t="s">
        <v>316</v>
      </c>
      <c r="B2" s="50" t="s">
        <v>51</v>
      </c>
      <c r="C2" s="50"/>
      <c r="D2" s="50"/>
      <c r="E2" s="16" t="s">
        <v>317</v>
      </c>
      <c r="F2" s="16" t="s">
        <v>55</v>
      </c>
    </row>
    <row r="3" spans="1:6" ht="15.75" customHeight="1" x14ac:dyDescent="0.2">
      <c r="A3" s="16" t="s">
        <v>318</v>
      </c>
      <c r="B3" s="50" t="s">
        <v>51</v>
      </c>
      <c r="C3" s="50"/>
      <c r="D3" s="50"/>
      <c r="E3" s="16" t="s">
        <v>317</v>
      </c>
      <c r="F3" s="16" t="s">
        <v>55</v>
      </c>
    </row>
    <row r="4" spans="1:6" ht="15.75" customHeight="1" x14ac:dyDescent="0.2">
      <c r="A4" s="16" t="s">
        <v>206</v>
      </c>
      <c r="B4" s="50"/>
      <c r="C4" s="50"/>
      <c r="D4" s="50" t="s">
        <v>51</v>
      </c>
      <c r="E4" s="16" t="s">
        <v>319</v>
      </c>
      <c r="F4" s="16" t="s">
        <v>51</v>
      </c>
    </row>
    <row r="5" spans="1:6" ht="15.75" customHeight="1" x14ac:dyDescent="0.2">
      <c r="A5" s="16" t="s">
        <v>320</v>
      </c>
      <c r="B5" s="50"/>
      <c r="C5" s="50" t="s">
        <v>51</v>
      </c>
      <c r="D5" s="50"/>
      <c r="E5" s="16" t="s">
        <v>321</v>
      </c>
      <c r="F5" s="16" t="s">
        <v>51</v>
      </c>
    </row>
    <row r="6" spans="1:6" ht="15.75" customHeight="1" x14ac:dyDescent="0.2">
      <c r="A6" s="16" t="s">
        <v>322</v>
      </c>
      <c r="B6" s="50" t="s">
        <v>51</v>
      </c>
      <c r="C6" s="50"/>
      <c r="D6" s="50"/>
      <c r="E6" s="16" t="s">
        <v>323</v>
      </c>
      <c r="F6" s="16" t="s">
        <v>51</v>
      </c>
    </row>
    <row r="7" spans="1:6" ht="15.75" customHeight="1" x14ac:dyDescent="0.2">
      <c r="A7" s="16" t="s">
        <v>324</v>
      </c>
      <c r="B7" s="50"/>
      <c r="C7" s="50" t="s">
        <v>51</v>
      </c>
      <c r="D7" s="50"/>
      <c r="E7" s="16" t="s">
        <v>325</v>
      </c>
      <c r="F7" s="16" t="s">
        <v>51</v>
      </c>
    </row>
    <row r="8" spans="1:6" x14ac:dyDescent="0.2">
      <c r="A8" s="16"/>
      <c r="B8" s="50"/>
      <c r="C8" s="50"/>
      <c r="D8" s="50"/>
      <c r="E8" s="16"/>
      <c r="F8" s="16"/>
    </row>
    <row r="9" spans="1:6" x14ac:dyDescent="0.2">
      <c r="A9" s="16"/>
      <c r="B9" s="50"/>
      <c r="C9" s="50"/>
      <c r="D9" s="50"/>
      <c r="E9" s="16"/>
      <c r="F9" s="16"/>
    </row>
    <row r="10" spans="1:6" x14ac:dyDescent="0.2">
      <c r="A10" s="16"/>
      <c r="B10" s="50"/>
      <c r="C10" s="50"/>
      <c r="D10" s="50"/>
      <c r="E10" s="16"/>
      <c r="F10" s="16"/>
    </row>
    <row r="11" spans="1:6" x14ac:dyDescent="0.2">
      <c r="A11" s="16"/>
      <c r="B11" s="50"/>
      <c r="C11" s="50"/>
      <c r="D11" s="50"/>
      <c r="E11" s="16"/>
      <c r="F11" s="16"/>
    </row>
    <row r="12" spans="1:6" x14ac:dyDescent="0.2">
      <c r="A12" s="16"/>
      <c r="B12" s="50"/>
      <c r="C12" s="50"/>
      <c r="D12" s="50"/>
      <c r="E12" s="16"/>
      <c r="F12" s="16"/>
    </row>
    <row r="13" spans="1:6" x14ac:dyDescent="0.2">
      <c r="A13" s="16"/>
      <c r="B13" s="50"/>
      <c r="C13" s="50"/>
      <c r="D13" s="50"/>
      <c r="E13" s="16"/>
      <c r="F13" s="16"/>
    </row>
    <row r="14" spans="1:6" x14ac:dyDescent="0.2">
      <c r="A14" s="16"/>
      <c r="B14" s="50"/>
      <c r="C14" s="50"/>
      <c r="D14" s="50"/>
      <c r="E14" s="16"/>
      <c r="F14" s="16"/>
    </row>
    <row r="15" spans="1:6" x14ac:dyDescent="0.2">
      <c r="A15" s="16"/>
      <c r="B15" s="50"/>
      <c r="C15" s="50"/>
      <c r="D15" s="50"/>
      <c r="E15" s="16"/>
      <c r="F15" s="16"/>
    </row>
    <row r="16" spans="1:6" x14ac:dyDescent="0.2">
      <c r="A16" s="16"/>
      <c r="B16" s="50"/>
      <c r="C16" s="50"/>
      <c r="D16" s="50"/>
      <c r="E16" s="16"/>
      <c r="F16" s="16"/>
    </row>
    <row r="17" spans="1:6" x14ac:dyDescent="0.2">
      <c r="A17" s="16"/>
      <c r="B17" s="50"/>
      <c r="C17" s="50"/>
      <c r="D17" s="50"/>
      <c r="E17" s="16"/>
      <c r="F17" s="16"/>
    </row>
    <row r="18" spans="1:6" x14ac:dyDescent="0.2">
      <c r="A18" s="16"/>
      <c r="B18" s="50"/>
      <c r="C18" s="50"/>
      <c r="D18" s="50"/>
      <c r="E18" s="16"/>
      <c r="F18" s="16"/>
    </row>
    <row r="19" spans="1:6" x14ac:dyDescent="0.2">
      <c r="A19" s="16"/>
      <c r="B19" s="50"/>
      <c r="C19" s="50"/>
      <c r="D19" s="50"/>
      <c r="E19" s="16"/>
      <c r="F19" s="16"/>
    </row>
    <row r="20" spans="1:6" x14ac:dyDescent="0.2">
      <c r="A20" s="16"/>
      <c r="B20" s="50"/>
      <c r="C20" s="50"/>
      <c r="D20" s="50"/>
      <c r="E20" s="16"/>
      <c r="F20" s="16"/>
    </row>
    <row r="21" spans="1:6" x14ac:dyDescent="0.2">
      <c r="A21" s="16"/>
      <c r="B21" s="50"/>
      <c r="C21" s="50"/>
      <c r="D21" s="50"/>
      <c r="E21" s="16"/>
      <c r="F21" s="16"/>
    </row>
    <row r="22" spans="1:6" x14ac:dyDescent="0.2">
      <c r="A22" s="16"/>
      <c r="B22" s="50"/>
      <c r="C22" s="50"/>
      <c r="D22" s="50"/>
      <c r="E22" s="16"/>
      <c r="F22" s="16"/>
    </row>
    <row r="23" spans="1:6" x14ac:dyDescent="0.2">
      <c r="A23" s="16"/>
      <c r="B23" s="50"/>
      <c r="C23" s="50"/>
      <c r="D23" s="50"/>
      <c r="E23" s="16"/>
      <c r="F23" s="16"/>
    </row>
    <row r="24" spans="1:6" x14ac:dyDescent="0.2">
      <c r="A24" s="16"/>
      <c r="B24" s="50"/>
      <c r="C24" s="50"/>
      <c r="D24" s="50"/>
      <c r="E24" s="16"/>
      <c r="F24" s="16"/>
    </row>
    <row r="25" spans="1:6" x14ac:dyDescent="0.2">
      <c r="A25" s="16"/>
      <c r="B25" s="50"/>
      <c r="C25" s="50"/>
      <c r="D25" s="50"/>
      <c r="E25" s="16"/>
      <c r="F25" s="16"/>
    </row>
    <row r="26" spans="1:6" x14ac:dyDescent="0.2">
      <c r="A26" s="16"/>
      <c r="B26" s="50"/>
      <c r="C26" s="50"/>
      <c r="D26" s="50"/>
      <c r="E26" s="16"/>
      <c r="F26" s="16"/>
    </row>
    <row r="27" spans="1:6" x14ac:dyDescent="0.2">
      <c r="A27" s="16"/>
      <c r="B27" s="50"/>
      <c r="C27" s="50"/>
      <c r="D27" s="50"/>
      <c r="E27" s="16"/>
      <c r="F27" s="16"/>
    </row>
    <row r="28" spans="1:6" x14ac:dyDescent="0.2">
      <c r="A28" s="16"/>
      <c r="B28" s="50"/>
      <c r="C28" s="50"/>
      <c r="D28" s="50"/>
      <c r="E28" s="16"/>
      <c r="F28" s="16"/>
    </row>
    <row r="29" spans="1:6" x14ac:dyDescent="0.2">
      <c r="A29" s="16"/>
      <c r="B29" s="50"/>
      <c r="C29" s="50"/>
      <c r="D29" s="50"/>
      <c r="E29" s="16"/>
      <c r="F29" s="16"/>
    </row>
    <row r="30" spans="1:6" x14ac:dyDescent="0.2">
      <c r="A30" s="16"/>
      <c r="B30" s="50"/>
      <c r="C30" s="50"/>
      <c r="D30" s="50"/>
      <c r="E30" s="16"/>
      <c r="F30" s="16"/>
    </row>
    <row r="31" spans="1:6" x14ac:dyDescent="0.2">
      <c r="A31" s="16"/>
      <c r="B31" s="50"/>
      <c r="C31" s="50"/>
      <c r="D31" s="50"/>
      <c r="E31" s="16"/>
      <c r="F31" s="16"/>
    </row>
    <row r="32" spans="1:6" x14ac:dyDescent="0.2">
      <c r="A32" s="16"/>
      <c r="B32" s="50"/>
      <c r="C32" s="50"/>
      <c r="D32" s="50"/>
      <c r="E32" s="16"/>
      <c r="F32" s="16"/>
    </row>
    <row r="33" spans="1:6" x14ac:dyDescent="0.2">
      <c r="A33" s="16"/>
      <c r="B33" s="50"/>
      <c r="C33" s="50"/>
      <c r="D33" s="50"/>
      <c r="E33" s="16"/>
      <c r="F33" s="16"/>
    </row>
    <row r="34" spans="1:6" x14ac:dyDescent="0.2">
      <c r="A34" s="16"/>
      <c r="B34" s="50"/>
      <c r="C34" s="50"/>
      <c r="D34" s="50"/>
      <c r="E34" s="16"/>
      <c r="F34" s="16"/>
    </row>
    <row r="35" spans="1:6" x14ac:dyDescent="0.2">
      <c r="A35" s="16"/>
      <c r="B35" s="50"/>
      <c r="C35" s="50"/>
      <c r="D35" s="50"/>
      <c r="E35" s="16"/>
      <c r="F35" s="16"/>
    </row>
    <row r="36" spans="1:6" x14ac:dyDescent="0.2">
      <c r="A36" s="16"/>
      <c r="B36" s="50"/>
      <c r="C36" s="50"/>
      <c r="D36" s="50"/>
      <c r="E36" s="16"/>
      <c r="F36" s="16"/>
    </row>
    <row r="37" spans="1:6" x14ac:dyDescent="0.2">
      <c r="A37" s="16"/>
      <c r="B37" s="50"/>
      <c r="C37" s="50"/>
      <c r="D37" s="50"/>
      <c r="E37" s="16"/>
      <c r="F37" s="16"/>
    </row>
    <row r="38" spans="1:6" x14ac:dyDescent="0.2">
      <c r="A38" s="16"/>
      <c r="B38" s="50"/>
      <c r="C38" s="50"/>
      <c r="D38" s="50"/>
      <c r="E38" s="16"/>
      <c r="F38" s="16"/>
    </row>
    <row r="39" spans="1:6" x14ac:dyDescent="0.2">
      <c r="A39" s="16"/>
      <c r="B39" s="50"/>
      <c r="C39" s="50"/>
      <c r="D39" s="50"/>
      <c r="E39" s="16"/>
      <c r="F39" s="16"/>
    </row>
    <row r="40" spans="1:6" x14ac:dyDescent="0.2">
      <c r="A40" s="16"/>
      <c r="B40" s="50"/>
      <c r="C40" s="50"/>
      <c r="D40" s="50"/>
      <c r="E40" s="16"/>
      <c r="F40" s="16"/>
    </row>
    <row r="41" spans="1:6" x14ac:dyDescent="0.2">
      <c r="A41" s="16"/>
      <c r="B41" s="50"/>
      <c r="C41" s="50"/>
      <c r="D41" s="50"/>
      <c r="E41" s="16"/>
      <c r="F41" s="16"/>
    </row>
    <row r="42" spans="1:6" x14ac:dyDescent="0.2">
      <c r="A42" s="16"/>
      <c r="B42" s="50"/>
      <c r="C42" s="50"/>
      <c r="D42" s="50"/>
      <c r="E42" s="16"/>
      <c r="F42" s="16"/>
    </row>
    <row r="43" spans="1:6" x14ac:dyDescent="0.2">
      <c r="A43" s="16"/>
      <c r="B43" s="50"/>
      <c r="C43" s="50"/>
      <c r="D43" s="50"/>
      <c r="E43" s="16"/>
      <c r="F43" s="16"/>
    </row>
    <row r="44" spans="1:6" x14ac:dyDescent="0.2">
      <c r="A44" s="16"/>
      <c r="B44" s="50"/>
      <c r="C44" s="50"/>
      <c r="D44" s="50"/>
      <c r="E44" s="16"/>
      <c r="F44" s="16"/>
    </row>
    <row r="45" spans="1:6" x14ac:dyDescent="0.2">
      <c r="A45" s="16"/>
      <c r="B45" s="50"/>
      <c r="C45" s="50"/>
      <c r="D45" s="50"/>
      <c r="E45" s="16"/>
      <c r="F45" s="16"/>
    </row>
    <row r="46" spans="1:6" x14ac:dyDescent="0.2">
      <c r="A46" s="16"/>
      <c r="B46" s="50"/>
      <c r="C46" s="50"/>
      <c r="D46" s="50"/>
      <c r="E46" s="16"/>
      <c r="F46" s="16"/>
    </row>
    <row r="47" spans="1:6" x14ac:dyDescent="0.2">
      <c r="A47" s="16"/>
      <c r="B47" s="50"/>
      <c r="C47" s="50"/>
      <c r="D47" s="50"/>
      <c r="E47" s="16"/>
      <c r="F47" s="16"/>
    </row>
    <row r="48" spans="1:6" x14ac:dyDescent="0.2">
      <c r="A48" s="16"/>
      <c r="B48" s="50"/>
      <c r="C48" s="50"/>
      <c r="D48" s="50"/>
      <c r="E48" s="16"/>
      <c r="F48" s="16"/>
    </row>
    <row r="49" spans="1:6" x14ac:dyDescent="0.2">
      <c r="A49" s="16"/>
      <c r="B49" s="50"/>
      <c r="C49" s="50"/>
      <c r="D49" s="50"/>
      <c r="E49" s="16"/>
      <c r="F49" s="16"/>
    </row>
    <row r="50" spans="1:6" x14ac:dyDescent="0.2">
      <c r="A50" s="16"/>
      <c r="B50" s="50"/>
      <c r="C50" s="50"/>
      <c r="D50" s="50"/>
      <c r="E50" s="16"/>
      <c r="F50" s="16"/>
    </row>
    <row r="51" spans="1:6" x14ac:dyDescent="0.2">
      <c r="A51" s="16"/>
      <c r="B51" s="50"/>
      <c r="C51" s="50"/>
      <c r="D51" s="50"/>
      <c r="E51" s="16"/>
      <c r="F51" s="16"/>
    </row>
    <row r="52" spans="1:6" x14ac:dyDescent="0.2">
      <c r="A52" s="16"/>
      <c r="B52" s="50"/>
      <c r="C52" s="50"/>
      <c r="D52" s="50"/>
      <c r="E52" s="16"/>
      <c r="F52" s="16"/>
    </row>
    <row r="53" spans="1:6" x14ac:dyDescent="0.2">
      <c r="A53" s="16"/>
      <c r="B53" s="50"/>
      <c r="C53" s="50"/>
      <c r="D53" s="50"/>
      <c r="E53" s="16"/>
      <c r="F53" s="16"/>
    </row>
    <row r="54" spans="1:6" x14ac:dyDescent="0.2">
      <c r="A54" s="16"/>
      <c r="B54" s="50"/>
      <c r="C54" s="50"/>
      <c r="D54" s="50"/>
      <c r="E54" s="16"/>
      <c r="F54" s="16"/>
    </row>
    <row r="55" spans="1:6" x14ac:dyDescent="0.2">
      <c r="A55" s="16"/>
      <c r="B55" s="50"/>
      <c r="C55" s="50"/>
      <c r="D55" s="50"/>
      <c r="E55" s="16"/>
      <c r="F55" s="16"/>
    </row>
    <row r="56" spans="1:6" x14ac:dyDescent="0.2">
      <c r="A56" s="16"/>
      <c r="B56" s="50"/>
      <c r="C56" s="50"/>
      <c r="D56" s="50"/>
      <c r="E56" s="16"/>
      <c r="F56" s="16"/>
    </row>
    <row r="57" spans="1:6" x14ac:dyDescent="0.2">
      <c r="A57" s="16"/>
      <c r="B57" s="50"/>
      <c r="C57" s="50"/>
      <c r="D57" s="50"/>
      <c r="E57" s="16"/>
      <c r="F57" s="16"/>
    </row>
    <row r="58" spans="1:6" x14ac:dyDescent="0.2">
      <c r="A58" s="16"/>
      <c r="B58" s="50"/>
      <c r="C58" s="50"/>
      <c r="D58" s="50"/>
      <c r="E58" s="16"/>
      <c r="F58" s="16"/>
    </row>
    <row r="59" spans="1:6" x14ac:dyDescent="0.2">
      <c r="A59" s="16"/>
      <c r="B59" s="50"/>
      <c r="C59" s="50"/>
      <c r="D59" s="50"/>
      <c r="E59" s="16"/>
      <c r="F59" s="16"/>
    </row>
    <row r="60" spans="1:6" x14ac:dyDescent="0.2">
      <c r="A60" s="16"/>
      <c r="B60" s="50"/>
      <c r="C60" s="50"/>
      <c r="D60" s="50"/>
      <c r="E60" s="16"/>
      <c r="F60" s="16"/>
    </row>
    <row r="61" spans="1:6" x14ac:dyDescent="0.2">
      <c r="A61" s="16"/>
      <c r="B61" s="50"/>
      <c r="C61" s="50"/>
      <c r="D61" s="50"/>
      <c r="E61" s="16"/>
      <c r="F61" s="16"/>
    </row>
    <row r="62" spans="1:6" x14ac:dyDescent="0.2">
      <c r="A62" s="16"/>
      <c r="B62" s="50"/>
      <c r="C62" s="50"/>
      <c r="D62" s="50"/>
      <c r="E62" s="16"/>
      <c r="F62" s="16"/>
    </row>
    <row r="63" spans="1:6" x14ac:dyDescent="0.2">
      <c r="A63" s="16"/>
      <c r="B63" s="50"/>
      <c r="C63" s="50"/>
      <c r="D63" s="50"/>
      <c r="E63" s="16"/>
      <c r="F63" s="16"/>
    </row>
    <row r="64" spans="1:6" x14ac:dyDescent="0.2">
      <c r="A64" s="16"/>
      <c r="B64" s="50"/>
      <c r="C64" s="50"/>
      <c r="D64" s="50"/>
      <c r="E64" s="16"/>
      <c r="F64" s="16"/>
    </row>
    <row r="65" spans="1:6" x14ac:dyDescent="0.2">
      <c r="A65" s="16"/>
      <c r="B65" s="50"/>
      <c r="C65" s="50"/>
      <c r="D65" s="50"/>
      <c r="E65" s="16"/>
      <c r="F65" s="16"/>
    </row>
    <row r="66" spans="1:6" x14ac:dyDescent="0.2">
      <c r="A66" s="16"/>
      <c r="B66" s="50"/>
      <c r="C66" s="50"/>
      <c r="D66" s="50"/>
      <c r="E66" s="16"/>
      <c r="F66" s="16"/>
    </row>
    <row r="67" spans="1:6" x14ac:dyDescent="0.2">
      <c r="A67" s="16"/>
      <c r="B67" s="50"/>
      <c r="C67" s="50"/>
      <c r="D67" s="50"/>
      <c r="E67" s="16"/>
      <c r="F67" s="16"/>
    </row>
    <row r="68" spans="1:6" x14ac:dyDescent="0.2">
      <c r="A68" s="16"/>
      <c r="B68" s="50"/>
      <c r="C68" s="50"/>
      <c r="D68" s="50"/>
      <c r="E68" s="16"/>
      <c r="F68" s="16"/>
    </row>
    <row r="69" spans="1:6" x14ac:dyDescent="0.2">
      <c r="A69" s="16"/>
      <c r="B69" s="50"/>
      <c r="C69" s="50"/>
      <c r="D69" s="50"/>
      <c r="E69" s="16"/>
      <c r="F69" s="16"/>
    </row>
    <row r="70" spans="1:6" x14ac:dyDescent="0.2">
      <c r="A70" s="16"/>
      <c r="B70" s="50"/>
      <c r="C70" s="50"/>
      <c r="D70" s="50"/>
      <c r="E70" s="16"/>
      <c r="F70" s="16"/>
    </row>
    <row r="71" spans="1:6" x14ac:dyDescent="0.2">
      <c r="A71" s="16"/>
      <c r="B71" s="50"/>
      <c r="C71" s="50"/>
      <c r="D71" s="50"/>
      <c r="E71" s="16"/>
      <c r="F71" s="16"/>
    </row>
    <row r="72" spans="1:6" x14ac:dyDescent="0.2">
      <c r="A72" s="16"/>
      <c r="B72" s="50"/>
      <c r="C72" s="50"/>
      <c r="D72" s="50"/>
      <c r="E72" s="16"/>
      <c r="F72" s="16"/>
    </row>
    <row r="73" spans="1:6" x14ac:dyDescent="0.2">
      <c r="A73" s="16"/>
      <c r="B73" s="50"/>
      <c r="C73" s="50"/>
      <c r="D73" s="50"/>
      <c r="E73" s="16"/>
      <c r="F73" s="16"/>
    </row>
    <row r="74" spans="1:6" x14ac:dyDescent="0.2">
      <c r="A74" s="16"/>
      <c r="B74" s="50"/>
      <c r="C74" s="50"/>
      <c r="D74" s="50"/>
      <c r="E74" s="16"/>
      <c r="F74" s="16"/>
    </row>
    <row r="75" spans="1:6" x14ac:dyDescent="0.2">
      <c r="A75" s="16"/>
      <c r="B75" s="50"/>
      <c r="C75" s="50"/>
      <c r="D75" s="50"/>
      <c r="E75" s="16"/>
      <c r="F75" s="16"/>
    </row>
    <row r="76" spans="1:6" x14ac:dyDescent="0.2">
      <c r="A76" s="16"/>
      <c r="B76" s="50"/>
      <c r="C76" s="50"/>
      <c r="D76" s="50"/>
      <c r="E76" s="16"/>
      <c r="F76" s="16"/>
    </row>
    <row r="77" spans="1:6" x14ac:dyDescent="0.2">
      <c r="A77" s="16"/>
      <c r="B77" s="50"/>
      <c r="C77" s="50"/>
      <c r="D77" s="50"/>
      <c r="E77" s="16"/>
      <c r="F77" s="16"/>
    </row>
    <row r="78" spans="1:6" x14ac:dyDescent="0.2">
      <c r="A78" s="16"/>
      <c r="B78" s="50"/>
      <c r="C78" s="50"/>
      <c r="D78" s="50"/>
      <c r="E78" s="16"/>
      <c r="F78" s="16"/>
    </row>
    <row r="79" spans="1:6" x14ac:dyDescent="0.2">
      <c r="A79" s="16"/>
      <c r="B79" s="50"/>
      <c r="C79" s="50"/>
      <c r="D79" s="50"/>
      <c r="E79" s="16"/>
      <c r="F79" s="16"/>
    </row>
    <row r="80" spans="1:6" x14ac:dyDescent="0.2">
      <c r="A80" s="16"/>
      <c r="B80" s="50"/>
      <c r="C80" s="50"/>
      <c r="D80" s="50"/>
      <c r="E80" s="16"/>
      <c r="F80" s="16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0"/>
  <sheetViews>
    <sheetView zoomScale="120" zoomScaleNormal="120" workbookViewId="0"/>
  </sheetViews>
  <sheetFormatPr baseColWidth="10" defaultColWidth="8.83203125" defaultRowHeight="15" x14ac:dyDescent="0.2"/>
  <cols>
    <col min="1" max="1" width="34" customWidth="1"/>
    <col min="2" max="6" width="11.83203125" style="49" customWidth="1"/>
    <col min="7" max="7" width="28" customWidth="1"/>
    <col min="8" max="8" width="44" customWidth="1"/>
  </cols>
  <sheetData>
    <row r="1" spans="1:8" s="40" customFormat="1" ht="48" customHeight="1" x14ac:dyDescent="0.2">
      <c r="A1" s="32" t="s">
        <v>326</v>
      </c>
      <c r="B1" s="51" t="s">
        <v>327</v>
      </c>
      <c r="C1" s="51" t="s">
        <v>328</v>
      </c>
      <c r="D1" s="51" t="s">
        <v>329</v>
      </c>
      <c r="E1" s="51" t="s">
        <v>330</v>
      </c>
      <c r="F1" s="51" t="s">
        <v>331</v>
      </c>
      <c r="G1" s="35" t="s">
        <v>332</v>
      </c>
      <c r="H1" s="35" t="s">
        <v>333</v>
      </c>
    </row>
    <row r="2" spans="1:8" ht="15.75" customHeight="1" x14ac:dyDescent="0.2">
      <c r="A2" s="16" t="s">
        <v>334</v>
      </c>
      <c r="B2" s="52" t="s">
        <v>51</v>
      </c>
      <c r="C2" s="52" t="s">
        <v>51</v>
      </c>
      <c r="D2" s="52" t="s">
        <v>51</v>
      </c>
      <c r="E2" s="52" t="s">
        <v>55</v>
      </c>
      <c r="F2" s="52" t="s">
        <v>51</v>
      </c>
      <c r="G2" s="16" t="s">
        <v>335</v>
      </c>
      <c r="H2" s="16" t="s">
        <v>336</v>
      </c>
    </row>
    <row r="3" spans="1:8" ht="15.75" customHeight="1" x14ac:dyDescent="0.2">
      <c r="A3" s="16" t="s">
        <v>337</v>
      </c>
      <c r="B3" s="52" t="s">
        <v>51</v>
      </c>
      <c r="C3" s="52" t="s">
        <v>51</v>
      </c>
      <c r="D3" s="52" t="s">
        <v>51</v>
      </c>
      <c r="E3" s="52" t="s">
        <v>55</v>
      </c>
      <c r="F3" s="52" t="s">
        <v>51</v>
      </c>
      <c r="G3" s="16" t="s">
        <v>335</v>
      </c>
      <c r="H3" s="16" t="s">
        <v>338</v>
      </c>
    </row>
    <row r="4" spans="1:8" ht="31.5" customHeight="1" x14ac:dyDescent="0.2">
      <c r="A4" s="16" t="s">
        <v>339</v>
      </c>
      <c r="B4" s="52" t="s">
        <v>51</v>
      </c>
      <c r="C4" s="52" t="s">
        <v>55</v>
      </c>
      <c r="D4" s="52" t="s">
        <v>55</v>
      </c>
      <c r="E4" s="52" t="s">
        <v>55</v>
      </c>
      <c r="F4" s="52" t="s">
        <v>51</v>
      </c>
      <c r="G4" s="16" t="s">
        <v>340</v>
      </c>
      <c r="H4" s="16" t="s">
        <v>341</v>
      </c>
    </row>
    <row r="5" spans="1:8" ht="15.75" customHeight="1" x14ac:dyDescent="0.2">
      <c r="A5" s="16" t="s">
        <v>342</v>
      </c>
      <c r="B5" s="52" t="s">
        <v>51</v>
      </c>
      <c r="C5" s="52" t="s">
        <v>51</v>
      </c>
      <c r="D5" s="52" t="s">
        <v>55</v>
      </c>
      <c r="E5" s="52" t="s">
        <v>55</v>
      </c>
      <c r="F5" s="52" t="s">
        <v>51</v>
      </c>
      <c r="G5" s="16" t="s">
        <v>343</v>
      </c>
      <c r="H5" s="16" t="s">
        <v>344</v>
      </c>
    </row>
    <row r="6" spans="1:8" ht="31.5" customHeight="1" x14ac:dyDescent="0.2">
      <c r="A6" s="16" t="s">
        <v>345</v>
      </c>
      <c r="B6" s="52" t="s">
        <v>51</v>
      </c>
      <c r="C6" s="52" t="s">
        <v>346</v>
      </c>
      <c r="D6" s="52" t="s">
        <v>55</v>
      </c>
      <c r="E6" s="52" t="s">
        <v>55</v>
      </c>
      <c r="F6" s="52" t="s">
        <v>51</v>
      </c>
      <c r="G6" s="16" t="s">
        <v>343</v>
      </c>
      <c r="H6" s="16" t="s">
        <v>347</v>
      </c>
    </row>
    <row r="7" spans="1:8" x14ac:dyDescent="0.2">
      <c r="A7" s="16"/>
      <c r="B7" s="52"/>
      <c r="C7" s="52"/>
      <c r="D7" s="52"/>
      <c r="E7" s="52"/>
      <c r="F7" s="52"/>
      <c r="G7" s="16"/>
      <c r="H7" s="16"/>
    </row>
    <row r="8" spans="1:8" x14ac:dyDescent="0.2">
      <c r="A8" s="16"/>
      <c r="B8" s="52"/>
      <c r="C8" s="52"/>
      <c r="D8" s="52"/>
      <c r="E8" s="52"/>
      <c r="F8" s="52"/>
      <c r="G8" s="16"/>
      <c r="H8" s="16"/>
    </row>
    <row r="9" spans="1:8" x14ac:dyDescent="0.2">
      <c r="A9" s="16"/>
      <c r="B9" s="52"/>
      <c r="C9" s="52"/>
      <c r="D9" s="52"/>
      <c r="E9" s="52"/>
      <c r="F9" s="52"/>
      <c r="G9" s="16"/>
      <c r="H9" s="16"/>
    </row>
    <row r="10" spans="1:8" x14ac:dyDescent="0.2">
      <c r="A10" s="16"/>
      <c r="B10" s="52"/>
      <c r="C10" s="52"/>
      <c r="D10" s="52"/>
      <c r="E10" s="52"/>
      <c r="F10" s="52"/>
      <c r="G10" s="16"/>
      <c r="H10" s="16"/>
    </row>
    <row r="11" spans="1:8" x14ac:dyDescent="0.2">
      <c r="A11" s="16"/>
      <c r="B11" s="52"/>
      <c r="C11" s="52"/>
      <c r="D11" s="52"/>
      <c r="E11" s="52"/>
      <c r="F11" s="52"/>
      <c r="G11" s="16"/>
      <c r="H11" s="16"/>
    </row>
    <row r="12" spans="1:8" x14ac:dyDescent="0.2">
      <c r="A12" s="16"/>
      <c r="B12" s="52"/>
      <c r="C12" s="52"/>
      <c r="D12" s="52"/>
      <c r="E12" s="52"/>
      <c r="F12" s="52"/>
      <c r="G12" s="16"/>
      <c r="H12" s="16"/>
    </row>
    <row r="13" spans="1:8" x14ac:dyDescent="0.2">
      <c r="A13" s="16"/>
      <c r="B13" s="52"/>
      <c r="C13" s="52"/>
      <c r="D13" s="52"/>
      <c r="E13" s="52"/>
      <c r="F13" s="52"/>
      <c r="G13" s="16"/>
      <c r="H13" s="16"/>
    </row>
    <row r="14" spans="1:8" x14ac:dyDescent="0.2">
      <c r="A14" s="16"/>
      <c r="B14" s="52"/>
      <c r="C14" s="52"/>
      <c r="D14" s="52"/>
      <c r="E14" s="52"/>
      <c r="F14" s="52"/>
      <c r="G14" s="16"/>
      <c r="H14" s="16"/>
    </row>
    <row r="15" spans="1:8" x14ac:dyDescent="0.2">
      <c r="A15" s="16"/>
      <c r="B15" s="52"/>
      <c r="C15" s="52"/>
      <c r="D15" s="52"/>
      <c r="E15" s="52"/>
      <c r="F15" s="52"/>
      <c r="G15" s="16"/>
      <c r="H15" s="16"/>
    </row>
    <row r="16" spans="1:8" x14ac:dyDescent="0.2">
      <c r="A16" s="16"/>
      <c r="B16" s="52"/>
      <c r="C16" s="52"/>
      <c r="D16" s="52"/>
      <c r="E16" s="52"/>
      <c r="F16" s="52"/>
      <c r="G16" s="16"/>
      <c r="H16" s="16"/>
    </row>
    <row r="17" spans="1:8" x14ac:dyDescent="0.2">
      <c r="A17" s="16"/>
      <c r="B17" s="52"/>
      <c r="C17" s="52"/>
      <c r="D17" s="52"/>
      <c r="E17" s="52"/>
      <c r="F17" s="52"/>
      <c r="G17" s="16"/>
      <c r="H17" s="16"/>
    </row>
    <row r="18" spans="1:8" x14ac:dyDescent="0.2">
      <c r="A18" s="16"/>
      <c r="B18" s="52"/>
      <c r="C18" s="52"/>
      <c r="D18" s="52"/>
      <c r="E18" s="52"/>
      <c r="F18" s="52"/>
      <c r="G18" s="16"/>
      <c r="H18" s="16"/>
    </row>
    <row r="19" spans="1:8" x14ac:dyDescent="0.2">
      <c r="A19" s="16"/>
      <c r="B19" s="52"/>
      <c r="C19" s="52"/>
      <c r="D19" s="52"/>
      <c r="E19" s="52"/>
      <c r="F19" s="52"/>
      <c r="G19" s="16"/>
      <c r="H19" s="16"/>
    </row>
    <row r="20" spans="1:8" x14ac:dyDescent="0.2">
      <c r="A20" s="16"/>
      <c r="B20" s="52"/>
      <c r="C20" s="52"/>
      <c r="D20" s="52"/>
      <c r="E20" s="52"/>
      <c r="F20" s="52"/>
      <c r="G20" s="16"/>
      <c r="H20" s="16"/>
    </row>
    <row r="21" spans="1:8" x14ac:dyDescent="0.2">
      <c r="A21" s="16"/>
      <c r="B21" s="52"/>
      <c r="C21" s="52"/>
      <c r="D21" s="52"/>
      <c r="E21" s="52"/>
      <c r="F21" s="52"/>
      <c r="G21" s="16"/>
      <c r="H21" s="16"/>
    </row>
    <row r="22" spans="1:8" x14ac:dyDescent="0.2">
      <c r="A22" s="16"/>
      <c r="B22" s="52"/>
      <c r="C22" s="52"/>
      <c r="D22" s="52"/>
      <c r="E22" s="52"/>
      <c r="F22" s="52"/>
      <c r="G22" s="16"/>
      <c r="H22" s="16"/>
    </row>
    <row r="23" spans="1:8" x14ac:dyDescent="0.2">
      <c r="A23" s="16"/>
      <c r="B23" s="52"/>
      <c r="C23" s="52"/>
      <c r="D23" s="52"/>
      <c r="E23" s="52"/>
      <c r="F23" s="52"/>
      <c r="G23" s="16"/>
      <c r="H23" s="16"/>
    </row>
    <row r="24" spans="1:8" x14ac:dyDescent="0.2">
      <c r="A24" s="16"/>
      <c r="B24" s="52"/>
      <c r="C24" s="52"/>
      <c r="D24" s="52"/>
      <c r="E24" s="52"/>
      <c r="F24" s="52"/>
      <c r="G24" s="16"/>
      <c r="H24" s="16"/>
    </row>
    <row r="25" spans="1:8" x14ac:dyDescent="0.2">
      <c r="A25" s="16"/>
      <c r="B25" s="52"/>
      <c r="C25" s="52"/>
      <c r="D25" s="52"/>
      <c r="E25" s="52"/>
      <c r="F25" s="52"/>
      <c r="G25" s="16"/>
      <c r="H25" s="16"/>
    </row>
    <row r="26" spans="1:8" x14ac:dyDescent="0.2">
      <c r="A26" s="16"/>
      <c r="B26" s="52"/>
      <c r="C26" s="52"/>
      <c r="D26" s="52"/>
      <c r="E26" s="52"/>
      <c r="F26" s="52"/>
      <c r="G26" s="16"/>
      <c r="H26" s="16"/>
    </row>
    <row r="27" spans="1:8" x14ac:dyDescent="0.2">
      <c r="A27" s="16"/>
      <c r="B27" s="52"/>
      <c r="C27" s="52"/>
      <c r="D27" s="52"/>
      <c r="E27" s="52"/>
      <c r="F27" s="52"/>
      <c r="G27" s="16"/>
      <c r="H27" s="16"/>
    </row>
    <row r="28" spans="1:8" x14ac:dyDescent="0.2">
      <c r="A28" s="16"/>
      <c r="B28" s="52"/>
      <c r="C28" s="52"/>
      <c r="D28" s="52"/>
      <c r="E28" s="52"/>
      <c r="F28" s="52"/>
      <c r="G28" s="16"/>
      <c r="H28" s="16"/>
    </row>
    <row r="29" spans="1:8" x14ac:dyDescent="0.2">
      <c r="A29" s="16"/>
      <c r="B29" s="52"/>
      <c r="C29" s="52"/>
      <c r="D29" s="52"/>
      <c r="E29" s="52"/>
      <c r="F29" s="52"/>
      <c r="G29" s="16"/>
      <c r="H29" s="16"/>
    </row>
    <row r="30" spans="1:8" x14ac:dyDescent="0.2">
      <c r="A30" s="16"/>
      <c r="B30" s="52"/>
      <c r="C30" s="52"/>
      <c r="D30" s="52"/>
      <c r="E30" s="52"/>
      <c r="F30" s="52"/>
      <c r="G30" s="16"/>
      <c r="H30" s="16"/>
    </row>
    <row r="31" spans="1:8" x14ac:dyDescent="0.2">
      <c r="A31" s="16"/>
      <c r="B31" s="52"/>
      <c r="C31" s="52"/>
      <c r="D31" s="52"/>
      <c r="E31" s="52"/>
      <c r="F31" s="52"/>
      <c r="G31" s="16"/>
      <c r="H31" s="16"/>
    </row>
    <row r="32" spans="1:8" x14ac:dyDescent="0.2">
      <c r="A32" s="16"/>
      <c r="B32" s="52"/>
      <c r="C32" s="52"/>
      <c r="D32" s="52"/>
      <c r="E32" s="52"/>
      <c r="F32" s="52"/>
      <c r="G32" s="16"/>
      <c r="H32" s="16"/>
    </row>
    <row r="33" spans="1:8" x14ac:dyDescent="0.2">
      <c r="A33" s="16"/>
      <c r="B33" s="52"/>
      <c r="C33" s="52"/>
      <c r="D33" s="52"/>
      <c r="E33" s="52"/>
      <c r="F33" s="52"/>
      <c r="G33" s="16"/>
      <c r="H33" s="16"/>
    </row>
    <row r="34" spans="1:8" x14ac:dyDescent="0.2">
      <c r="A34" s="16"/>
      <c r="B34" s="52"/>
      <c r="C34" s="52"/>
      <c r="D34" s="52"/>
      <c r="E34" s="52"/>
      <c r="F34" s="52"/>
      <c r="G34" s="16"/>
      <c r="H34" s="16"/>
    </row>
    <row r="35" spans="1:8" x14ac:dyDescent="0.2">
      <c r="A35" s="16"/>
      <c r="B35" s="52"/>
      <c r="C35" s="52"/>
      <c r="D35" s="52"/>
      <c r="E35" s="52"/>
      <c r="F35" s="52"/>
      <c r="G35" s="16"/>
      <c r="H35" s="16"/>
    </row>
    <row r="36" spans="1:8" x14ac:dyDescent="0.2">
      <c r="A36" s="16"/>
      <c r="B36" s="52"/>
      <c r="C36" s="52"/>
      <c r="D36" s="52"/>
      <c r="E36" s="52"/>
      <c r="F36" s="52"/>
      <c r="G36" s="16"/>
      <c r="H36" s="16"/>
    </row>
    <row r="37" spans="1:8" x14ac:dyDescent="0.2">
      <c r="A37" s="16"/>
      <c r="B37" s="52"/>
      <c r="C37" s="52"/>
      <c r="D37" s="52"/>
      <c r="E37" s="52"/>
      <c r="F37" s="52"/>
      <c r="G37" s="16"/>
      <c r="H37" s="16"/>
    </row>
    <row r="38" spans="1:8" x14ac:dyDescent="0.2">
      <c r="A38" s="16"/>
      <c r="B38" s="52"/>
      <c r="C38" s="52"/>
      <c r="D38" s="52"/>
      <c r="E38" s="52"/>
      <c r="F38" s="52"/>
      <c r="G38" s="16"/>
      <c r="H38" s="16"/>
    </row>
    <row r="39" spans="1:8" x14ac:dyDescent="0.2">
      <c r="A39" s="16"/>
      <c r="B39" s="52"/>
      <c r="C39" s="52"/>
      <c r="D39" s="52"/>
      <c r="E39" s="52"/>
      <c r="F39" s="52"/>
      <c r="G39" s="16"/>
      <c r="H39" s="16"/>
    </row>
    <row r="40" spans="1:8" x14ac:dyDescent="0.2">
      <c r="A40" s="16"/>
      <c r="B40" s="52"/>
      <c r="C40" s="52"/>
      <c r="D40" s="52"/>
      <c r="E40" s="52"/>
      <c r="F40" s="52"/>
      <c r="G40" s="16"/>
      <c r="H40" s="16"/>
    </row>
    <row r="41" spans="1:8" x14ac:dyDescent="0.2">
      <c r="A41" s="16"/>
      <c r="B41" s="52"/>
      <c r="C41" s="52"/>
      <c r="D41" s="52"/>
      <c r="E41" s="52"/>
      <c r="F41" s="52"/>
      <c r="G41" s="16"/>
      <c r="H41" s="16"/>
    </row>
    <row r="42" spans="1:8" x14ac:dyDescent="0.2">
      <c r="A42" s="16"/>
      <c r="B42" s="52"/>
      <c r="C42" s="52"/>
      <c r="D42" s="52"/>
      <c r="E42" s="52"/>
      <c r="F42" s="52"/>
      <c r="G42" s="16"/>
      <c r="H42" s="16"/>
    </row>
    <row r="43" spans="1:8" x14ac:dyDescent="0.2">
      <c r="A43" s="16"/>
      <c r="B43" s="52"/>
      <c r="C43" s="52"/>
      <c r="D43" s="52"/>
      <c r="E43" s="52"/>
      <c r="F43" s="52"/>
      <c r="G43" s="16"/>
      <c r="H43" s="16"/>
    </row>
    <row r="44" spans="1:8" x14ac:dyDescent="0.2">
      <c r="A44" s="16"/>
      <c r="B44" s="52"/>
      <c r="C44" s="52"/>
      <c r="D44" s="52"/>
      <c r="E44" s="52"/>
      <c r="F44" s="52"/>
      <c r="G44" s="16"/>
      <c r="H44" s="16"/>
    </row>
    <row r="45" spans="1:8" x14ac:dyDescent="0.2">
      <c r="A45" s="16"/>
      <c r="B45" s="52"/>
      <c r="C45" s="52"/>
      <c r="D45" s="52"/>
      <c r="E45" s="52"/>
      <c r="F45" s="52"/>
      <c r="G45" s="16"/>
      <c r="H45" s="16"/>
    </row>
    <row r="46" spans="1:8" x14ac:dyDescent="0.2">
      <c r="A46" s="16"/>
      <c r="B46" s="52"/>
      <c r="C46" s="52"/>
      <c r="D46" s="52"/>
      <c r="E46" s="52"/>
      <c r="F46" s="52"/>
      <c r="G46" s="16"/>
      <c r="H46" s="16"/>
    </row>
    <row r="47" spans="1:8" x14ac:dyDescent="0.2">
      <c r="A47" s="16"/>
      <c r="B47" s="52"/>
      <c r="C47" s="52"/>
      <c r="D47" s="52"/>
      <c r="E47" s="52"/>
      <c r="F47" s="52"/>
      <c r="G47" s="16"/>
      <c r="H47" s="16"/>
    </row>
    <row r="48" spans="1:8" x14ac:dyDescent="0.2">
      <c r="A48" s="16"/>
      <c r="B48" s="52"/>
      <c r="C48" s="52"/>
      <c r="D48" s="52"/>
      <c r="E48" s="52"/>
      <c r="F48" s="52"/>
      <c r="G48" s="16"/>
      <c r="H48" s="16"/>
    </row>
    <row r="49" spans="1:8" x14ac:dyDescent="0.2">
      <c r="A49" s="16"/>
      <c r="B49" s="52"/>
      <c r="C49" s="52"/>
      <c r="D49" s="52"/>
      <c r="E49" s="52"/>
      <c r="F49" s="52"/>
      <c r="G49" s="16"/>
      <c r="H49" s="16"/>
    </row>
    <row r="50" spans="1:8" x14ac:dyDescent="0.2">
      <c r="A50" s="16"/>
      <c r="B50" s="52"/>
      <c r="C50" s="52"/>
      <c r="D50" s="52"/>
      <c r="E50" s="52"/>
      <c r="F50" s="52"/>
      <c r="G50" s="16"/>
      <c r="H50" s="16"/>
    </row>
    <row r="51" spans="1:8" x14ac:dyDescent="0.2">
      <c r="A51" s="16"/>
      <c r="B51" s="52"/>
      <c r="C51" s="52"/>
      <c r="D51" s="52"/>
      <c r="E51" s="52"/>
      <c r="F51" s="52"/>
      <c r="G51" s="16"/>
      <c r="H51" s="16"/>
    </row>
    <row r="52" spans="1:8" x14ac:dyDescent="0.2">
      <c r="A52" s="16"/>
      <c r="B52" s="52"/>
      <c r="C52" s="52"/>
      <c r="D52" s="52"/>
      <c r="E52" s="52"/>
      <c r="F52" s="52"/>
      <c r="G52" s="16"/>
      <c r="H52" s="16"/>
    </row>
    <row r="53" spans="1:8" x14ac:dyDescent="0.2">
      <c r="A53" s="16"/>
      <c r="B53" s="52"/>
      <c r="C53" s="52"/>
      <c r="D53" s="52"/>
      <c r="E53" s="52"/>
      <c r="F53" s="52"/>
      <c r="G53" s="16"/>
      <c r="H53" s="16"/>
    </row>
    <row r="54" spans="1:8" x14ac:dyDescent="0.2">
      <c r="A54" s="16"/>
      <c r="B54" s="52"/>
      <c r="C54" s="52"/>
      <c r="D54" s="52"/>
      <c r="E54" s="52"/>
      <c r="F54" s="52"/>
      <c r="G54" s="16"/>
      <c r="H54" s="16"/>
    </row>
    <row r="55" spans="1:8" x14ac:dyDescent="0.2">
      <c r="A55" s="16"/>
      <c r="B55" s="52"/>
      <c r="C55" s="52"/>
      <c r="D55" s="52"/>
      <c r="E55" s="52"/>
      <c r="F55" s="52"/>
      <c r="G55" s="16"/>
      <c r="H55" s="16"/>
    </row>
    <row r="56" spans="1:8" x14ac:dyDescent="0.2">
      <c r="A56" s="16"/>
      <c r="B56" s="52"/>
      <c r="C56" s="52"/>
      <c r="D56" s="52"/>
      <c r="E56" s="52"/>
      <c r="F56" s="52"/>
      <c r="G56" s="16"/>
      <c r="H56" s="16"/>
    </row>
    <row r="57" spans="1:8" x14ac:dyDescent="0.2">
      <c r="A57" s="16"/>
      <c r="B57" s="52"/>
      <c r="C57" s="52"/>
      <c r="D57" s="52"/>
      <c r="E57" s="52"/>
      <c r="F57" s="52"/>
      <c r="G57" s="16"/>
      <c r="H57" s="16"/>
    </row>
    <row r="58" spans="1:8" x14ac:dyDescent="0.2">
      <c r="A58" s="16"/>
      <c r="B58" s="52"/>
      <c r="C58" s="52"/>
      <c r="D58" s="52"/>
      <c r="E58" s="52"/>
      <c r="F58" s="52"/>
      <c r="G58" s="16"/>
      <c r="H58" s="16"/>
    </row>
    <row r="59" spans="1:8" x14ac:dyDescent="0.2">
      <c r="A59" s="16"/>
      <c r="B59" s="52"/>
      <c r="C59" s="52"/>
      <c r="D59" s="52"/>
      <c r="E59" s="52"/>
      <c r="F59" s="52"/>
      <c r="G59" s="16"/>
      <c r="H59" s="16"/>
    </row>
    <row r="60" spans="1:8" x14ac:dyDescent="0.2">
      <c r="A60" s="16"/>
      <c r="B60" s="52"/>
      <c r="C60" s="52"/>
      <c r="D60" s="52"/>
      <c r="E60" s="52"/>
      <c r="F60" s="52"/>
      <c r="G60" s="16"/>
      <c r="H60" s="16"/>
    </row>
    <row r="61" spans="1:8" x14ac:dyDescent="0.2">
      <c r="A61" s="16"/>
      <c r="B61" s="52"/>
      <c r="C61" s="52"/>
      <c r="D61" s="52"/>
      <c r="E61" s="52"/>
      <c r="F61" s="52"/>
      <c r="G61" s="16"/>
      <c r="H61" s="16"/>
    </row>
    <row r="62" spans="1:8" x14ac:dyDescent="0.2">
      <c r="A62" s="16"/>
      <c r="B62" s="52"/>
      <c r="C62" s="52"/>
      <c r="D62" s="52"/>
      <c r="E62" s="52"/>
      <c r="F62" s="52"/>
      <c r="G62" s="16"/>
      <c r="H62" s="16"/>
    </row>
    <row r="63" spans="1:8" x14ac:dyDescent="0.2">
      <c r="A63" s="16"/>
      <c r="B63" s="52"/>
      <c r="C63" s="52"/>
      <c r="D63" s="52"/>
      <c r="E63" s="52"/>
      <c r="F63" s="52"/>
      <c r="G63" s="16"/>
      <c r="H63" s="16"/>
    </row>
    <row r="64" spans="1:8" x14ac:dyDescent="0.2">
      <c r="A64" s="16"/>
      <c r="B64" s="52"/>
      <c r="C64" s="52"/>
      <c r="D64" s="52"/>
      <c r="E64" s="52"/>
      <c r="F64" s="52"/>
      <c r="G64" s="16"/>
      <c r="H64" s="16"/>
    </row>
    <row r="65" spans="1:8" x14ac:dyDescent="0.2">
      <c r="A65" s="16"/>
      <c r="B65" s="52"/>
      <c r="C65" s="52"/>
      <c r="D65" s="52"/>
      <c r="E65" s="52"/>
      <c r="F65" s="52"/>
      <c r="G65" s="16"/>
      <c r="H65" s="16"/>
    </row>
    <row r="66" spans="1:8" x14ac:dyDescent="0.2">
      <c r="A66" s="16"/>
      <c r="B66" s="52"/>
      <c r="C66" s="52"/>
      <c r="D66" s="52"/>
      <c r="E66" s="52"/>
      <c r="F66" s="52"/>
      <c r="G66" s="16"/>
      <c r="H66" s="16"/>
    </row>
    <row r="67" spans="1:8" x14ac:dyDescent="0.2">
      <c r="A67" s="16"/>
      <c r="B67" s="52"/>
      <c r="C67" s="52"/>
      <c r="D67" s="52"/>
      <c r="E67" s="52"/>
      <c r="F67" s="52"/>
      <c r="G67" s="16"/>
      <c r="H67" s="16"/>
    </row>
    <row r="68" spans="1:8" x14ac:dyDescent="0.2">
      <c r="A68" s="16"/>
      <c r="B68" s="52"/>
      <c r="C68" s="52"/>
      <c r="D68" s="52"/>
      <c r="E68" s="52"/>
      <c r="F68" s="52"/>
      <c r="G68" s="16"/>
      <c r="H68" s="16"/>
    </row>
    <row r="69" spans="1:8" x14ac:dyDescent="0.2">
      <c r="A69" s="16"/>
      <c r="B69" s="52"/>
      <c r="C69" s="52"/>
      <c r="D69" s="52"/>
      <c r="E69" s="52"/>
      <c r="F69" s="52"/>
      <c r="G69" s="16"/>
      <c r="H69" s="16"/>
    </row>
    <row r="70" spans="1:8" x14ac:dyDescent="0.2">
      <c r="A70" s="16"/>
      <c r="B70" s="52"/>
      <c r="C70" s="52"/>
      <c r="D70" s="52"/>
      <c r="E70" s="52"/>
      <c r="F70" s="52"/>
      <c r="G70" s="16"/>
      <c r="H70" s="16"/>
    </row>
    <row r="71" spans="1:8" x14ac:dyDescent="0.2">
      <c r="A71" s="16"/>
      <c r="B71" s="52"/>
      <c r="C71" s="52"/>
      <c r="D71" s="52"/>
      <c r="E71" s="52"/>
      <c r="F71" s="52"/>
      <c r="G71" s="16"/>
      <c r="H71" s="16"/>
    </row>
    <row r="72" spans="1:8" x14ac:dyDescent="0.2">
      <c r="A72" s="16"/>
      <c r="B72" s="52"/>
      <c r="C72" s="52"/>
      <c r="D72" s="52"/>
      <c r="E72" s="52"/>
      <c r="F72" s="52"/>
      <c r="G72" s="16"/>
      <c r="H72" s="16"/>
    </row>
    <row r="73" spans="1:8" x14ac:dyDescent="0.2">
      <c r="A73" s="16"/>
      <c r="B73" s="52"/>
      <c r="C73" s="52"/>
      <c r="D73" s="52"/>
      <c r="E73" s="52"/>
      <c r="F73" s="52"/>
      <c r="G73" s="16"/>
      <c r="H73" s="16"/>
    </row>
    <row r="74" spans="1:8" x14ac:dyDescent="0.2">
      <c r="A74" s="16"/>
      <c r="B74" s="52"/>
      <c r="C74" s="52"/>
      <c r="D74" s="52"/>
      <c r="E74" s="52"/>
      <c r="F74" s="52"/>
      <c r="G74" s="16"/>
      <c r="H74" s="16"/>
    </row>
    <row r="75" spans="1:8" x14ac:dyDescent="0.2">
      <c r="A75" s="16"/>
      <c r="B75" s="52"/>
      <c r="C75" s="52"/>
      <c r="D75" s="52"/>
      <c r="E75" s="52"/>
      <c r="F75" s="52"/>
      <c r="G75" s="16"/>
      <c r="H75" s="16"/>
    </row>
    <row r="76" spans="1:8" x14ac:dyDescent="0.2">
      <c r="A76" s="16"/>
      <c r="B76" s="52"/>
      <c r="C76" s="52"/>
      <c r="D76" s="52"/>
      <c r="E76" s="52"/>
      <c r="F76" s="52"/>
      <c r="G76" s="16"/>
      <c r="H76" s="16"/>
    </row>
    <row r="77" spans="1:8" x14ac:dyDescent="0.2">
      <c r="A77" s="16"/>
      <c r="B77" s="52"/>
      <c r="C77" s="52"/>
      <c r="D77" s="52"/>
      <c r="E77" s="52"/>
      <c r="F77" s="52"/>
      <c r="G77" s="16"/>
      <c r="H77" s="16"/>
    </row>
    <row r="78" spans="1:8" x14ac:dyDescent="0.2">
      <c r="A78" s="16"/>
      <c r="B78" s="52"/>
      <c r="C78" s="52"/>
      <c r="D78" s="52"/>
      <c r="E78" s="52"/>
      <c r="F78" s="52"/>
      <c r="G78" s="16"/>
      <c r="H78" s="16"/>
    </row>
    <row r="79" spans="1:8" x14ac:dyDescent="0.2">
      <c r="A79" s="16"/>
      <c r="B79" s="52"/>
      <c r="C79" s="52"/>
      <c r="D79" s="52"/>
      <c r="E79" s="52"/>
      <c r="F79" s="52"/>
      <c r="G79" s="16"/>
      <c r="H79" s="16"/>
    </row>
    <row r="80" spans="1:8" x14ac:dyDescent="0.2">
      <c r="A80" s="16"/>
      <c r="B80" s="52"/>
      <c r="C80" s="52"/>
      <c r="D80" s="52"/>
      <c r="E80" s="52"/>
      <c r="F80" s="52"/>
      <c r="G80" s="16"/>
      <c r="H80" s="16"/>
    </row>
  </sheetData>
  <dataValidations count="1">
    <dataValidation type="list" sqref="B2:F100" xr:uid="{00000000-0002-0000-0600-000000000000}">
      <formula1>"Yes,No,Maybe,Conditional"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7"/>
  <sheetViews>
    <sheetView zoomScale="120" zoomScaleNormal="120" workbookViewId="0">
      <selection activeCell="A4" sqref="A4"/>
    </sheetView>
  </sheetViews>
  <sheetFormatPr baseColWidth="10" defaultColWidth="8.6640625" defaultRowHeight="15" x14ac:dyDescent="0.2"/>
  <cols>
    <col min="1" max="1" width="6" customWidth="1"/>
    <col min="2" max="2" width="32" customWidth="1"/>
    <col min="3" max="5" width="12" customWidth="1"/>
    <col min="6" max="6" width="13" customWidth="1"/>
    <col min="7" max="7" width="14" customWidth="1"/>
    <col min="8" max="8" width="13" customWidth="1"/>
    <col min="9" max="11" width="16" customWidth="1"/>
  </cols>
  <sheetData>
    <row r="1" spans="1:11" ht="18.75" customHeight="1" x14ac:dyDescent="0.25">
      <c r="A1" s="5" t="s">
        <v>348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8.25" customHeight="1" x14ac:dyDescent="0.2">
      <c r="A2" s="4" t="s">
        <v>349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ht="48" customHeight="1" x14ac:dyDescent="0.2">
      <c r="A4" s="53" t="s">
        <v>172</v>
      </c>
      <c r="B4" s="53" t="s">
        <v>350</v>
      </c>
      <c r="C4" s="54" t="s">
        <v>351</v>
      </c>
      <c r="D4" s="54" t="s">
        <v>352</v>
      </c>
      <c r="E4" s="54" t="s">
        <v>353</v>
      </c>
      <c r="F4" s="55" t="s">
        <v>354</v>
      </c>
      <c r="G4" s="54" t="s">
        <v>355</v>
      </c>
      <c r="H4" s="56" t="s">
        <v>356</v>
      </c>
      <c r="I4" s="56" t="s">
        <v>357</v>
      </c>
      <c r="J4" s="53" t="s">
        <v>358</v>
      </c>
      <c r="K4" s="56" t="s">
        <v>359</v>
      </c>
    </row>
    <row r="5" spans="1:11" ht="15.75" customHeight="1" x14ac:dyDescent="0.2">
      <c r="A5" s="57">
        <v>1</v>
      </c>
      <c r="B5" s="58" t="s">
        <v>360</v>
      </c>
      <c r="C5" s="59">
        <v>5</v>
      </c>
      <c r="D5" s="59">
        <v>5</v>
      </c>
      <c r="E5" s="59">
        <v>3</v>
      </c>
      <c r="F5" s="60">
        <v>2</v>
      </c>
      <c r="G5" s="59">
        <v>5</v>
      </c>
      <c r="H5" s="57">
        <f t="shared" ref="H5:H34" si="0">IF(B5="","",ROUND((C5+D5+E5+G5)-F5,1))</f>
        <v>16</v>
      </c>
      <c r="I5" s="57" t="str">
        <f t="shared" ref="I5:I34" si="1">IF(H5="","",IF(H5&gt;=14,"Must have",IF(H5&gt;=10,"Should have",IF(H5&gt;=7,"Could have","Won't have now"))))</f>
        <v>Must have</v>
      </c>
      <c r="J5" s="61" t="s">
        <v>51</v>
      </c>
      <c r="K5" s="57" t="str">
        <f t="shared" ref="K5:K34" si="2">IF(I5="","",IF(OR(I5="Must have",I5="Should have"),"Yes",IF(I5="Could have","Later","No")))</f>
        <v>Yes</v>
      </c>
    </row>
    <row r="6" spans="1:11" ht="15.75" customHeight="1" x14ac:dyDescent="0.2">
      <c r="A6" s="57">
        <v>2</v>
      </c>
      <c r="B6" s="58" t="s">
        <v>361</v>
      </c>
      <c r="C6" s="59">
        <v>4</v>
      </c>
      <c r="D6" s="59">
        <v>3</v>
      </c>
      <c r="E6" s="59">
        <v>3</v>
      </c>
      <c r="F6" s="60">
        <v>4</v>
      </c>
      <c r="G6" s="59">
        <v>2</v>
      </c>
      <c r="H6" s="57">
        <f t="shared" si="0"/>
        <v>8</v>
      </c>
      <c r="I6" s="57" t="str">
        <f t="shared" si="1"/>
        <v>Could have</v>
      </c>
      <c r="J6" s="61" t="s">
        <v>53</v>
      </c>
      <c r="K6" s="57" t="str">
        <f t="shared" si="2"/>
        <v>Later</v>
      </c>
    </row>
    <row r="7" spans="1:11" ht="15.75" customHeight="1" x14ac:dyDescent="0.2">
      <c r="A7" s="57">
        <v>3</v>
      </c>
      <c r="B7" s="58" t="s">
        <v>322</v>
      </c>
      <c r="C7" s="59">
        <v>4</v>
      </c>
      <c r="D7" s="59">
        <v>4</v>
      </c>
      <c r="E7" s="59">
        <v>3</v>
      </c>
      <c r="F7" s="60">
        <v>3</v>
      </c>
      <c r="G7" s="59">
        <v>4</v>
      </c>
      <c r="H7" s="57">
        <f t="shared" si="0"/>
        <v>12</v>
      </c>
      <c r="I7" s="57" t="str">
        <f t="shared" si="1"/>
        <v>Should have</v>
      </c>
      <c r="J7" s="61" t="s">
        <v>51</v>
      </c>
      <c r="K7" s="57" t="str">
        <f t="shared" si="2"/>
        <v>Yes</v>
      </c>
    </row>
    <row r="8" spans="1:11" ht="15.75" customHeight="1" x14ac:dyDescent="0.2">
      <c r="A8" s="57">
        <v>4</v>
      </c>
      <c r="B8" s="58" t="s">
        <v>362</v>
      </c>
      <c r="C8" s="59">
        <v>3</v>
      </c>
      <c r="D8" s="59">
        <v>2</v>
      </c>
      <c r="E8" s="59">
        <v>1</v>
      </c>
      <c r="F8" s="60">
        <v>4</v>
      </c>
      <c r="G8" s="59">
        <v>4</v>
      </c>
      <c r="H8" s="57">
        <f t="shared" si="0"/>
        <v>6</v>
      </c>
      <c r="I8" s="57" t="str">
        <f t="shared" si="1"/>
        <v>Won't have now</v>
      </c>
      <c r="J8" s="61" t="s">
        <v>55</v>
      </c>
      <c r="K8" s="57" t="str">
        <f t="shared" si="2"/>
        <v>No</v>
      </c>
    </row>
    <row r="9" spans="1:11" ht="15.75" customHeight="1" x14ac:dyDescent="0.2">
      <c r="A9" s="57"/>
      <c r="B9" s="58"/>
      <c r="C9" s="59"/>
      <c r="D9" s="59"/>
      <c r="E9" s="59"/>
      <c r="F9" s="60"/>
      <c r="G9" s="59"/>
      <c r="H9" s="57" t="str">
        <f t="shared" si="0"/>
        <v/>
      </c>
      <c r="I9" s="57" t="str">
        <f t="shared" si="1"/>
        <v/>
      </c>
      <c r="J9" s="61"/>
      <c r="K9" s="57" t="str">
        <f t="shared" si="2"/>
        <v/>
      </c>
    </row>
    <row r="10" spans="1:11" ht="15.75" customHeight="1" x14ac:dyDescent="0.2">
      <c r="A10" s="57"/>
      <c r="B10" s="58"/>
      <c r="C10" s="59"/>
      <c r="D10" s="59"/>
      <c r="E10" s="59"/>
      <c r="F10" s="60"/>
      <c r="G10" s="59"/>
      <c r="H10" s="57" t="str">
        <f t="shared" si="0"/>
        <v/>
      </c>
      <c r="I10" s="57" t="str">
        <f t="shared" si="1"/>
        <v/>
      </c>
      <c r="J10" s="61"/>
      <c r="K10" s="57" t="str">
        <f t="shared" si="2"/>
        <v/>
      </c>
    </row>
    <row r="11" spans="1:11" ht="15.75" customHeight="1" x14ac:dyDescent="0.2">
      <c r="A11" s="57"/>
      <c r="B11" s="58"/>
      <c r="C11" s="59"/>
      <c r="D11" s="59"/>
      <c r="E11" s="59"/>
      <c r="F11" s="60"/>
      <c r="G11" s="59"/>
      <c r="H11" s="57" t="str">
        <f t="shared" si="0"/>
        <v/>
      </c>
      <c r="I11" s="57" t="str">
        <f t="shared" si="1"/>
        <v/>
      </c>
      <c r="J11" s="61"/>
      <c r="K11" s="57" t="str">
        <f t="shared" si="2"/>
        <v/>
      </c>
    </row>
    <row r="12" spans="1:11" ht="15.75" customHeight="1" x14ac:dyDescent="0.2">
      <c r="A12" s="57"/>
      <c r="B12" s="58"/>
      <c r="C12" s="59"/>
      <c r="D12" s="59"/>
      <c r="E12" s="59"/>
      <c r="F12" s="60"/>
      <c r="G12" s="59"/>
      <c r="H12" s="57" t="str">
        <f t="shared" si="0"/>
        <v/>
      </c>
      <c r="I12" s="57" t="str">
        <f t="shared" si="1"/>
        <v/>
      </c>
      <c r="J12" s="61"/>
      <c r="K12" s="57" t="str">
        <f t="shared" si="2"/>
        <v/>
      </c>
    </row>
    <row r="13" spans="1:11" ht="15.75" customHeight="1" x14ac:dyDescent="0.2">
      <c r="A13" s="57"/>
      <c r="B13" s="58"/>
      <c r="C13" s="59"/>
      <c r="D13" s="59"/>
      <c r="E13" s="59"/>
      <c r="F13" s="60"/>
      <c r="G13" s="59"/>
      <c r="H13" s="57" t="str">
        <f t="shared" si="0"/>
        <v/>
      </c>
      <c r="I13" s="57" t="str">
        <f t="shared" si="1"/>
        <v/>
      </c>
      <c r="J13" s="61"/>
      <c r="K13" s="57" t="str">
        <f t="shared" si="2"/>
        <v/>
      </c>
    </row>
    <row r="14" spans="1:11" ht="15.75" customHeight="1" x14ac:dyDescent="0.2">
      <c r="A14" s="57"/>
      <c r="B14" s="58"/>
      <c r="C14" s="59"/>
      <c r="D14" s="59"/>
      <c r="E14" s="59"/>
      <c r="F14" s="60"/>
      <c r="G14" s="59"/>
      <c r="H14" s="57" t="str">
        <f t="shared" si="0"/>
        <v/>
      </c>
      <c r="I14" s="57" t="str">
        <f t="shared" si="1"/>
        <v/>
      </c>
      <c r="J14" s="61"/>
      <c r="K14" s="57" t="str">
        <f t="shared" si="2"/>
        <v/>
      </c>
    </row>
    <row r="15" spans="1:11" ht="15.75" customHeight="1" x14ac:dyDescent="0.2">
      <c r="A15" s="57"/>
      <c r="B15" s="58"/>
      <c r="C15" s="59"/>
      <c r="D15" s="59"/>
      <c r="E15" s="59"/>
      <c r="F15" s="60"/>
      <c r="G15" s="59"/>
      <c r="H15" s="57" t="str">
        <f t="shared" si="0"/>
        <v/>
      </c>
      <c r="I15" s="57" t="str">
        <f t="shared" si="1"/>
        <v/>
      </c>
      <c r="J15" s="61"/>
      <c r="K15" s="57" t="str">
        <f t="shared" si="2"/>
        <v/>
      </c>
    </row>
    <row r="16" spans="1:11" ht="15.75" customHeight="1" x14ac:dyDescent="0.2">
      <c r="A16" s="57"/>
      <c r="B16" s="58"/>
      <c r="C16" s="59"/>
      <c r="D16" s="59"/>
      <c r="E16" s="59"/>
      <c r="F16" s="60"/>
      <c r="G16" s="59"/>
      <c r="H16" s="57" t="str">
        <f t="shared" si="0"/>
        <v/>
      </c>
      <c r="I16" s="57" t="str">
        <f t="shared" si="1"/>
        <v/>
      </c>
      <c r="J16" s="61"/>
      <c r="K16" s="57" t="str">
        <f t="shared" si="2"/>
        <v/>
      </c>
    </row>
    <row r="17" spans="1:11" ht="15.75" customHeight="1" x14ac:dyDescent="0.2">
      <c r="A17" s="57"/>
      <c r="B17" s="58"/>
      <c r="C17" s="59"/>
      <c r="D17" s="59"/>
      <c r="E17" s="59"/>
      <c r="F17" s="60"/>
      <c r="G17" s="59"/>
      <c r="H17" s="57" t="str">
        <f t="shared" si="0"/>
        <v/>
      </c>
      <c r="I17" s="57" t="str">
        <f t="shared" si="1"/>
        <v/>
      </c>
      <c r="J17" s="61"/>
      <c r="K17" s="57" t="str">
        <f t="shared" si="2"/>
        <v/>
      </c>
    </row>
    <row r="18" spans="1:11" ht="15.75" customHeight="1" x14ac:dyDescent="0.2">
      <c r="A18" s="57"/>
      <c r="B18" s="58"/>
      <c r="C18" s="59"/>
      <c r="D18" s="59"/>
      <c r="E18" s="59"/>
      <c r="F18" s="60"/>
      <c r="G18" s="59"/>
      <c r="H18" s="57" t="str">
        <f t="shared" si="0"/>
        <v/>
      </c>
      <c r="I18" s="57" t="str">
        <f t="shared" si="1"/>
        <v/>
      </c>
      <c r="J18" s="61"/>
      <c r="K18" s="57" t="str">
        <f t="shared" si="2"/>
        <v/>
      </c>
    </row>
    <row r="19" spans="1:11" ht="15.75" customHeight="1" x14ac:dyDescent="0.2">
      <c r="A19" s="57"/>
      <c r="B19" s="58"/>
      <c r="C19" s="59"/>
      <c r="D19" s="59"/>
      <c r="E19" s="59"/>
      <c r="F19" s="60"/>
      <c r="G19" s="59"/>
      <c r="H19" s="57" t="str">
        <f t="shared" si="0"/>
        <v/>
      </c>
      <c r="I19" s="57" t="str">
        <f t="shared" si="1"/>
        <v/>
      </c>
      <c r="J19" s="61"/>
      <c r="K19" s="57" t="str">
        <f t="shared" si="2"/>
        <v/>
      </c>
    </row>
    <row r="20" spans="1:11" ht="15.75" customHeight="1" x14ac:dyDescent="0.2">
      <c r="A20" s="57"/>
      <c r="B20" s="58"/>
      <c r="C20" s="59"/>
      <c r="D20" s="59"/>
      <c r="E20" s="59"/>
      <c r="F20" s="60"/>
      <c r="G20" s="59"/>
      <c r="H20" s="57" t="str">
        <f t="shared" si="0"/>
        <v/>
      </c>
      <c r="I20" s="57" t="str">
        <f t="shared" si="1"/>
        <v/>
      </c>
      <c r="J20" s="61"/>
      <c r="K20" s="57" t="str">
        <f t="shared" si="2"/>
        <v/>
      </c>
    </row>
    <row r="21" spans="1:11" ht="15.75" customHeight="1" x14ac:dyDescent="0.2">
      <c r="A21" s="57"/>
      <c r="B21" s="58"/>
      <c r="C21" s="59"/>
      <c r="D21" s="59"/>
      <c r="E21" s="59"/>
      <c r="F21" s="60"/>
      <c r="G21" s="59"/>
      <c r="H21" s="57" t="str">
        <f t="shared" si="0"/>
        <v/>
      </c>
      <c r="I21" s="57" t="str">
        <f t="shared" si="1"/>
        <v/>
      </c>
      <c r="J21" s="61"/>
      <c r="K21" s="57" t="str">
        <f t="shared" si="2"/>
        <v/>
      </c>
    </row>
    <row r="22" spans="1:11" ht="15.75" customHeight="1" x14ac:dyDescent="0.2">
      <c r="A22" s="57"/>
      <c r="B22" s="58"/>
      <c r="C22" s="59"/>
      <c r="D22" s="59"/>
      <c r="E22" s="59"/>
      <c r="F22" s="60"/>
      <c r="G22" s="59"/>
      <c r="H22" s="57" t="str">
        <f t="shared" si="0"/>
        <v/>
      </c>
      <c r="I22" s="57" t="str">
        <f t="shared" si="1"/>
        <v/>
      </c>
      <c r="J22" s="61"/>
      <c r="K22" s="57" t="str">
        <f t="shared" si="2"/>
        <v/>
      </c>
    </row>
    <row r="23" spans="1:11" ht="15.75" customHeight="1" x14ac:dyDescent="0.2">
      <c r="A23" s="57"/>
      <c r="B23" s="58"/>
      <c r="C23" s="59"/>
      <c r="D23" s="59"/>
      <c r="E23" s="59"/>
      <c r="F23" s="60"/>
      <c r="G23" s="59"/>
      <c r="H23" s="57" t="str">
        <f t="shared" si="0"/>
        <v/>
      </c>
      <c r="I23" s="57" t="str">
        <f t="shared" si="1"/>
        <v/>
      </c>
      <c r="J23" s="61"/>
      <c r="K23" s="57" t="str">
        <f t="shared" si="2"/>
        <v/>
      </c>
    </row>
    <row r="24" spans="1:11" ht="15.75" customHeight="1" x14ac:dyDescent="0.2">
      <c r="A24" s="57"/>
      <c r="B24" s="58"/>
      <c r="C24" s="59"/>
      <c r="D24" s="59"/>
      <c r="E24" s="59"/>
      <c r="F24" s="60"/>
      <c r="G24" s="59"/>
      <c r="H24" s="57" t="str">
        <f t="shared" si="0"/>
        <v/>
      </c>
      <c r="I24" s="57" t="str">
        <f t="shared" si="1"/>
        <v/>
      </c>
      <c r="J24" s="61"/>
      <c r="K24" s="57" t="str">
        <f t="shared" si="2"/>
        <v/>
      </c>
    </row>
    <row r="25" spans="1:11" ht="15.75" customHeight="1" x14ac:dyDescent="0.2">
      <c r="A25" s="57"/>
      <c r="B25" s="58"/>
      <c r="C25" s="59"/>
      <c r="D25" s="59"/>
      <c r="E25" s="59"/>
      <c r="F25" s="60"/>
      <c r="G25" s="59"/>
      <c r="H25" s="57" t="str">
        <f t="shared" si="0"/>
        <v/>
      </c>
      <c r="I25" s="57" t="str">
        <f t="shared" si="1"/>
        <v/>
      </c>
      <c r="J25" s="61"/>
      <c r="K25" s="57" t="str">
        <f t="shared" si="2"/>
        <v/>
      </c>
    </row>
    <row r="26" spans="1:11" ht="15.75" customHeight="1" x14ac:dyDescent="0.2">
      <c r="A26" s="57"/>
      <c r="B26" s="58"/>
      <c r="C26" s="59"/>
      <c r="D26" s="59"/>
      <c r="E26" s="59"/>
      <c r="F26" s="60"/>
      <c r="G26" s="59"/>
      <c r="H26" s="57" t="str">
        <f t="shared" si="0"/>
        <v/>
      </c>
      <c r="I26" s="57" t="str">
        <f t="shared" si="1"/>
        <v/>
      </c>
      <c r="J26" s="61"/>
      <c r="K26" s="57" t="str">
        <f t="shared" si="2"/>
        <v/>
      </c>
    </row>
    <row r="27" spans="1:11" ht="15.75" customHeight="1" x14ac:dyDescent="0.2">
      <c r="A27" s="57"/>
      <c r="B27" s="58"/>
      <c r="C27" s="59"/>
      <c r="D27" s="59"/>
      <c r="E27" s="59"/>
      <c r="F27" s="60"/>
      <c r="G27" s="59"/>
      <c r="H27" s="57" t="str">
        <f t="shared" si="0"/>
        <v/>
      </c>
      <c r="I27" s="57" t="str">
        <f t="shared" si="1"/>
        <v/>
      </c>
      <c r="J27" s="61"/>
      <c r="K27" s="57" t="str">
        <f t="shared" si="2"/>
        <v/>
      </c>
    </row>
    <row r="28" spans="1:11" ht="15.75" customHeight="1" x14ac:dyDescent="0.2">
      <c r="A28" s="57"/>
      <c r="B28" s="58"/>
      <c r="C28" s="59"/>
      <c r="D28" s="59"/>
      <c r="E28" s="59"/>
      <c r="F28" s="60"/>
      <c r="G28" s="59"/>
      <c r="H28" s="57" t="str">
        <f t="shared" si="0"/>
        <v/>
      </c>
      <c r="I28" s="57" t="str">
        <f t="shared" si="1"/>
        <v/>
      </c>
      <c r="J28" s="61"/>
      <c r="K28" s="57" t="str">
        <f t="shared" si="2"/>
        <v/>
      </c>
    </row>
    <row r="29" spans="1:11" ht="15.75" customHeight="1" x14ac:dyDescent="0.2">
      <c r="A29" s="57"/>
      <c r="B29" s="58"/>
      <c r="C29" s="59"/>
      <c r="D29" s="59"/>
      <c r="E29" s="59"/>
      <c r="F29" s="60"/>
      <c r="G29" s="59"/>
      <c r="H29" s="57" t="str">
        <f t="shared" si="0"/>
        <v/>
      </c>
      <c r="I29" s="57" t="str">
        <f t="shared" si="1"/>
        <v/>
      </c>
      <c r="J29" s="61"/>
      <c r="K29" s="57" t="str">
        <f t="shared" si="2"/>
        <v/>
      </c>
    </row>
    <row r="30" spans="1:11" ht="15.75" customHeight="1" x14ac:dyDescent="0.2">
      <c r="A30" s="57"/>
      <c r="B30" s="58"/>
      <c r="C30" s="59"/>
      <c r="D30" s="59"/>
      <c r="E30" s="59"/>
      <c r="F30" s="60"/>
      <c r="G30" s="59"/>
      <c r="H30" s="57" t="str">
        <f t="shared" si="0"/>
        <v/>
      </c>
      <c r="I30" s="57" t="str">
        <f t="shared" si="1"/>
        <v/>
      </c>
      <c r="J30" s="61"/>
      <c r="K30" s="57" t="str">
        <f t="shared" si="2"/>
        <v/>
      </c>
    </row>
    <row r="31" spans="1:11" ht="15.75" customHeight="1" x14ac:dyDescent="0.2">
      <c r="A31" s="57"/>
      <c r="B31" s="58"/>
      <c r="C31" s="59"/>
      <c r="D31" s="59"/>
      <c r="E31" s="59"/>
      <c r="F31" s="60"/>
      <c r="G31" s="59"/>
      <c r="H31" s="57" t="str">
        <f t="shared" si="0"/>
        <v/>
      </c>
      <c r="I31" s="57" t="str">
        <f t="shared" si="1"/>
        <v/>
      </c>
      <c r="J31" s="61"/>
      <c r="K31" s="57" t="str">
        <f t="shared" si="2"/>
        <v/>
      </c>
    </row>
    <row r="32" spans="1:11" ht="15.75" customHeight="1" x14ac:dyDescent="0.2">
      <c r="A32" s="57"/>
      <c r="B32" s="58"/>
      <c r="C32" s="59"/>
      <c r="D32" s="59"/>
      <c r="E32" s="59"/>
      <c r="F32" s="60"/>
      <c r="G32" s="59"/>
      <c r="H32" s="57" t="str">
        <f t="shared" si="0"/>
        <v/>
      </c>
      <c r="I32" s="57" t="str">
        <f t="shared" si="1"/>
        <v/>
      </c>
      <c r="J32" s="61"/>
      <c r="K32" s="57" t="str">
        <f t="shared" si="2"/>
        <v/>
      </c>
    </row>
    <row r="33" spans="1:11" ht="15.75" customHeight="1" x14ac:dyDescent="0.2">
      <c r="A33" s="57"/>
      <c r="B33" s="58"/>
      <c r="C33" s="59"/>
      <c r="D33" s="59"/>
      <c r="E33" s="59"/>
      <c r="F33" s="60"/>
      <c r="G33" s="59"/>
      <c r="H33" s="57" t="str">
        <f t="shared" si="0"/>
        <v/>
      </c>
      <c r="I33" s="57" t="str">
        <f t="shared" si="1"/>
        <v/>
      </c>
      <c r="J33" s="61"/>
      <c r="K33" s="57" t="str">
        <f t="shared" si="2"/>
        <v/>
      </c>
    </row>
    <row r="34" spans="1:11" ht="15.75" customHeight="1" x14ac:dyDescent="0.2">
      <c r="A34" s="57"/>
      <c r="B34" s="58"/>
      <c r="C34" s="59"/>
      <c r="D34" s="59"/>
      <c r="E34" s="59"/>
      <c r="F34" s="60"/>
      <c r="G34" s="59"/>
      <c r="H34" s="57" t="str">
        <f t="shared" si="0"/>
        <v/>
      </c>
      <c r="I34" s="57" t="str">
        <f t="shared" si="1"/>
        <v/>
      </c>
      <c r="J34" s="61"/>
      <c r="K34" s="57" t="str">
        <f t="shared" si="2"/>
        <v/>
      </c>
    </row>
    <row r="37" spans="1:11" ht="15.75" customHeight="1" x14ac:dyDescent="0.2">
      <c r="A37" s="3" t="s">
        <v>363</v>
      </c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15" customHeight="1" x14ac:dyDescent="0.2">
      <c r="A38" s="2" t="s">
        <v>364</v>
      </c>
      <c r="B38" s="2"/>
      <c r="C38" s="2"/>
      <c r="D38" s="1" t="s">
        <v>365</v>
      </c>
      <c r="E38" s="1"/>
      <c r="F38" s="1"/>
      <c r="G38" s="1"/>
      <c r="H38" s="1"/>
      <c r="I38" s="1"/>
      <c r="J38" s="1"/>
      <c r="K38" s="1"/>
    </row>
    <row r="39" spans="1:11" ht="15" customHeight="1" x14ac:dyDescent="0.2">
      <c r="A39" s="2" t="s">
        <v>366</v>
      </c>
      <c r="B39" s="2"/>
      <c r="C39" s="2"/>
      <c r="D39" s="1" t="s">
        <v>367</v>
      </c>
      <c r="E39" s="1"/>
      <c r="F39" s="1"/>
      <c r="G39" s="1"/>
      <c r="H39" s="1"/>
      <c r="I39" s="1"/>
      <c r="J39" s="1"/>
      <c r="K39" s="1"/>
    </row>
    <row r="40" spans="1:11" ht="15" customHeight="1" x14ac:dyDescent="0.2">
      <c r="A40" s="2" t="s">
        <v>368</v>
      </c>
      <c r="B40" s="2"/>
      <c r="C40" s="2"/>
      <c r="D40" s="1" t="s">
        <v>369</v>
      </c>
      <c r="E40" s="1"/>
      <c r="F40" s="1"/>
      <c r="G40" s="1"/>
      <c r="H40" s="1"/>
      <c r="I40" s="1"/>
      <c r="J40" s="1"/>
      <c r="K40" s="1"/>
    </row>
    <row r="41" spans="1:11" ht="15" customHeight="1" x14ac:dyDescent="0.2">
      <c r="A41" s="2" t="s">
        <v>370</v>
      </c>
      <c r="B41" s="2"/>
      <c r="C41" s="2"/>
      <c r="D41" s="1" t="s">
        <v>371</v>
      </c>
      <c r="E41" s="1"/>
      <c r="F41" s="1"/>
      <c r="G41" s="1"/>
      <c r="H41" s="1"/>
      <c r="I41" s="1"/>
      <c r="J41" s="1"/>
      <c r="K41" s="1"/>
    </row>
    <row r="42" spans="1:11" ht="15" customHeight="1" x14ac:dyDescent="0.2">
      <c r="A42" s="2" t="s">
        <v>372</v>
      </c>
      <c r="B42" s="2"/>
      <c r="C42" s="2"/>
      <c r="D42" s="1" t="s">
        <v>373</v>
      </c>
      <c r="E42" s="1"/>
      <c r="F42" s="1"/>
      <c r="G42" s="1"/>
      <c r="H42" s="1"/>
      <c r="I42" s="1"/>
      <c r="J42" s="1"/>
      <c r="K42" s="1"/>
    </row>
    <row r="43" spans="1:11" ht="15" customHeight="1" x14ac:dyDescent="0.2">
      <c r="A43" s="2" t="s">
        <v>374</v>
      </c>
      <c r="B43" s="2"/>
      <c r="C43" s="2"/>
      <c r="D43" s="1" t="s">
        <v>375</v>
      </c>
      <c r="E43" s="1"/>
      <c r="F43" s="1"/>
      <c r="G43" s="1"/>
      <c r="H43" s="1"/>
      <c r="I43" s="1"/>
      <c r="J43" s="1"/>
      <c r="K43" s="1"/>
    </row>
    <row r="44" spans="1:11" ht="15" customHeight="1" x14ac:dyDescent="0.2">
      <c r="A44" s="2" t="s">
        <v>376</v>
      </c>
      <c r="B44" s="2"/>
      <c r="C44" s="2"/>
      <c r="D44" s="1" t="s">
        <v>377</v>
      </c>
      <c r="E44" s="1"/>
      <c r="F44" s="1"/>
      <c r="G44" s="1"/>
      <c r="H44" s="1"/>
      <c r="I44" s="1"/>
      <c r="J44" s="1"/>
      <c r="K44" s="1"/>
    </row>
    <row r="47" spans="1:11" ht="15" customHeight="1" x14ac:dyDescent="0.2">
      <c r="A47" s="4" t="s">
        <v>378</v>
      </c>
      <c r="B47" s="4"/>
      <c r="C47" s="4"/>
      <c r="D47" s="4"/>
      <c r="E47" s="4"/>
      <c r="F47" s="4"/>
      <c r="G47" s="4"/>
      <c r="H47" s="4"/>
      <c r="I47" s="4"/>
      <c r="J47" s="4"/>
      <c r="K47" s="4"/>
    </row>
  </sheetData>
  <mergeCells count="18">
    <mergeCell ref="A47:K47"/>
    <mergeCell ref="A42:C42"/>
    <mergeCell ref="D42:K42"/>
    <mergeCell ref="A43:C43"/>
    <mergeCell ref="D43:K43"/>
    <mergeCell ref="A44:C44"/>
    <mergeCell ref="D44:K44"/>
    <mergeCell ref="A39:C39"/>
    <mergeCell ref="D39:K39"/>
    <mergeCell ref="A40:C40"/>
    <mergeCell ref="D40:K40"/>
    <mergeCell ref="A41:C41"/>
    <mergeCell ref="D41:K41"/>
    <mergeCell ref="A1:K1"/>
    <mergeCell ref="A2:K2"/>
    <mergeCell ref="A37:K37"/>
    <mergeCell ref="A38:C38"/>
    <mergeCell ref="D38:K38"/>
  </mergeCells>
  <conditionalFormatting sqref="H5:H34">
    <cfRule type="colorScale" priority="9">
      <colorScale>
        <cfvo type="num" val="0"/>
        <cfvo type="num" val="10"/>
        <cfvo type="num" val="20"/>
        <color rgb="FFF8CBAD"/>
        <color rgb="FFFFE699"/>
        <color rgb="FFC6E0B4"/>
      </colorScale>
    </cfRule>
  </conditionalFormatting>
  <conditionalFormatting sqref="I5:I34">
    <cfRule type="cellIs" dxfId="6" priority="2" operator="equal">
      <formula>"Must have"</formula>
    </cfRule>
    <cfRule type="cellIs" dxfId="5" priority="3" operator="equal">
      <formula>"Should have"</formula>
    </cfRule>
    <cfRule type="cellIs" dxfId="4" priority="4" operator="equal">
      <formula>"Could have"</formula>
    </cfRule>
    <cfRule type="cellIs" dxfId="3" priority="5" operator="equal">
      <formula>"Won't have now"</formula>
    </cfRule>
  </conditionalFormatting>
  <conditionalFormatting sqref="K5:K34">
    <cfRule type="cellIs" dxfId="2" priority="6" operator="equal">
      <formula>"Yes"</formula>
    </cfRule>
    <cfRule type="cellIs" dxfId="1" priority="7" operator="equal">
      <formula>"Later"</formula>
    </cfRule>
    <cfRule type="cellIs" dxfId="0" priority="8" operator="equal">
      <formula>"No"</formula>
    </cfRule>
  </conditionalFormatting>
  <dataValidations count="2">
    <dataValidation type="list" allowBlank="1" errorTitle="Invalid value" error="Pick one of: Yes, Later, No, Needs clarification." sqref="J5:J34" xr:uid="{00000000-0002-0000-0700-000000000000}">
      <formula1>"Yes,Later,No,Needs clarification"</formula1>
      <formula2>0</formula2>
    </dataValidation>
    <dataValidation type="list" allowBlank="1" errorTitle="Invalid rating" error="Enter a number from 1 to 5." sqref="C5:G34" xr:uid="{00000000-0002-0000-0700-000001000000}">
      <formula1>"1,2,3,4,5"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"/>
  <sheetViews>
    <sheetView zoomScale="120" zoomScaleNormal="120" workbookViewId="0">
      <selection activeCell="A3" sqref="A3"/>
    </sheetView>
  </sheetViews>
  <sheetFormatPr baseColWidth="10" defaultColWidth="8.83203125" defaultRowHeight="15" x14ac:dyDescent="0.2"/>
  <cols>
    <col min="1" max="1" width="28" customWidth="1"/>
    <col min="2" max="2" width="60" customWidth="1"/>
    <col min="3" max="4" width="11.83203125" customWidth="1"/>
  </cols>
  <sheetData>
    <row r="1" spans="1:4" s="15" customFormat="1" ht="33.75" customHeight="1" x14ac:dyDescent="0.2">
      <c r="A1" s="6" t="s">
        <v>379</v>
      </c>
      <c r="B1" s="6"/>
      <c r="C1" s="6"/>
      <c r="D1" s="6"/>
    </row>
    <row r="2" spans="1:4" x14ac:dyDescent="0.2">
      <c r="A2" s="16"/>
      <c r="B2" s="16"/>
      <c r="C2" s="16"/>
      <c r="D2" s="16"/>
    </row>
    <row r="3" spans="1:4" ht="15.75" customHeight="1" x14ac:dyDescent="0.2">
      <c r="A3" s="62" t="s">
        <v>380</v>
      </c>
      <c r="B3" s="63"/>
      <c r="C3" s="62" t="s">
        <v>381</v>
      </c>
      <c r="D3" s="63" t="s">
        <v>382</v>
      </c>
    </row>
    <row r="4" spans="1:4" ht="15.75" customHeight="1" x14ac:dyDescent="0.2">
      <c r="A4" s="62" t="s">
        <v>383</v>
      </c>
      <c r="B4" s="63"/>
      <c r="C4" s="62" t="s">
        <v>384</v>
      </c>
      <c r="D4" s="63"/>
    </row>
    <row r="5" spans="1:4" ht="15.75" customHeight="1" x14ac:dyDescent="0.2">
      <c r="A5" s="62" t="s">
        <v>285</v>
      </c>
      <c r="B5" s="63"/>
      <c r="C5" s="16"/>
      <c r="D5" s="16"/>
    </row>
    <row r="6" spans="1:4" ht="15.75" customHeight="1" x14ac:dyDescent="0.2">
      <c r="A6" s="62" t="s">
        <v>291</v>
      </c>
      <c r="B6" s="63"/>
      <c r="C6" s="16"/>
      <c r="D6" s="16"/>
    </row>
    <row r="7" spans="1:4" ht="15.75" customHeight="1" x14ac:dyDescent="0.2">
      <c r="A7" s="62" t="s">
        <v>297</v>
      </c>
      <c r="B7" s="63"/>
      <c r="C7" s="16"/>
      <c r="D7" s="16"/>
    </row>
    <row r="8" spans="1:4" ht="15.75" customHeight="1" x14ac:dyDescent="0.2">
      <c r="A8" s="62" t="s">
        <v>385</v>
      </c>
      <c r="B8" s="63"/>
      <c r="C8" s="16"/>
      <c r="D8" s="16"/>
    </row>
    <row r="9" spans="1:4" ht="15.75" customHeight="1" x14ac:dyDescent="0.2">
      <c r="A9" s="62" t="s">
        <v>313</v>
      </c>
      <c r="B9" s="63"/>
      <c r="C9" s="16"/>
      <c r="D9" s="16"/>
    </row>
    <row r="10" spans="1:4" ht="15.75" customHeight="1" x14ac:dyDescent="0.2">
      <c r="A10" s="62" t="s">
        <v>386</v>
      </c>
      <c r="B10" s="63"/>
      <c r="C10" s="16"/>
      <c r="D10" s="16"/>
    </row>
    <row r="11" spans="1:4" ht="15.75" customHeight="1" x14ac:dyDescent="0.2">
      <c r="A11" s="62" t="s">
        <v>306</v>
      </c>
      <c r="B11" s="63"/>
      <c r="C11" s="16"/>
      <c r="D11" s="16"/>
    </row>
    <row r="12" spans="1:4" ht="15.75" customHeight="1" x14ac:dyDescent="0.2">
      <c r="A12" s="62" t="s">
        <v>387</v>
      </c>
      <c r="B12" s="63" t="s">
        <v>388</v>
      </c>
      <c r="C12" s="16"/>
      <c r="D12" s="16"/>
    </row>
    <row r="14" spans="1:4" ht="15" customHeight="1" x14ac:dyDescent="0.2">
      <c r="A14" s="12" t="s">
        <v>389</v>
      </c>
      <c r="B14" s="12"/>
      <c r="C14" s="12"/>
      <c r="D14" s="12"/>
    </row>
    <row r="15" spans="1:4" ht="15" customHeight="1" x14ac:dyDescent="0.2">
      <c r="A15" s="65" t="s">
        <v>390</v>
      </c>
      <c r="B15" s="65"/>
      <c r="C15" s="65"/>
      <c r="D15" s="30">
        <f>COUNTIF('Phase2 Scope Builder'!F2:F100,"Yes")</f>
        <v>10</v>
      </c>
    </row>
    <row r="16" spans="1:4" ht="15" customHeight="1" x14ac:dyDescent="0.2">
      <c r="A16" s="65" t="s">
        <v>391</v>
      </c>
      <c r="B16" s="65"/>
      <c r="C16" s="65"/>
      <c r="D16" s="30">
        <f>COUNTIF('Phase2 Scope Builder'!F2:F100,"Later")</f>
        <v>3</v>
      </c>
    </row>
    <row r="17" spans="1:4" ht="15" customHeight="1" x14ac:dyDescent="0.2">
      <c r="A17" s="65" t="s">
        <v>392</v>
      </c>
      <c r="B17" s="65"/>
      <c r="C17" s="65"/>
      <c r="D17" s="30">
        <f>COUNTIF('Phase2 Scope Builder'!F2:F100,"No")</f>
        <v>1</v>
      </c>
    </row>
    <row r="18" spans="1:4" ht="15" customHeight="1" x14ac:dyDescent="0.2">
      <c r="A18" s="65" t="s">
        <v>73</v>
      </c>
      <c r="B18" s="65"/>
      <c r="C18" s="65"/>
      <c r="D18" s="30">
        <f>COUNTIF('Phase2 Scope Builder'!F2:F100,"Needs clarification")</f>
        <v>0</v>
      </c>
    </row>
    <row r="19" spans="1:4" ht="15" customHeight="1" x14ac:dyDescent="0.2">
      <c r="A19" s="65" t="s">
        <v>393</v>
      </c>
      <c r="B19" s="65"/>
      <c r="C19" s="65"/>
      <c r="D19" s="30">
        <f>COUNTIF('Phase2 Scope Builder'!E2:E100,"High")+COUNTIF('Phase2 Scope Builder'!E2:E100,"Critical")</f>
        <v>1</v>
      </c>
    </row>
    <row r="20" spans="1:4" ht="15" customHeight="1" x14ac:dyDescent="0.2">
      <c r="A20" s="65" t="s">
        <v>394</v>
      </c>
      <c r="B20" s="65"/>
      <c r="C20" s="65"/>
      <c r="D20" s="30">
        <f>COUNTIF('Phase2 Scope Builder'!I2:I100,"Always")+COUNTIF('Phase2 Scope Builder'!I2:I100,"Yes")</f>
        <v>8</v>
      </c>
    </row>
    <row r="21" spans="1:4" ht="15" customHeight="1" x14ac:dyDescent="0.2">
      <c r="A21" s="65" t="s">
        <v>395</v>
      </c>
      <c r="B21" s="65"/>
      <c r="C21" s="65"/>
      <c r="D21" s="30">
        <f>COUNTA('Phase2 Scope Builder'!B2:B100)</f>
        <v>14</v>
      </c>
    </row>
  </sheetData>
  <mergeCells count="9">
    <mergeCell ref="A18:C18"/>
    <mergeCell ref="A19:C19"/>
    <mergeCell ref="A20:C20"/>
    <mergeCell ref="A21:C21"/>
    <mergeCell ref="A1:D1"/>
    <mergeCell ref="A14:D14"/>
    <mergeCell ref="A15:C15"/>
    <mergeCell ref="A16:C16"/>
    <mergeCell ref="A17:C1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1"/>
  <sheetViews>
    <sheetView zoomScale="120" zoomScaleNormal="120" workbookViewId="0"/>
  </sheetViews>
  <sheetFormatPr baseColWidth="10" defaultColWidth="8.83203125" defaultRowHeight="15" x14ac:dyDescent="0.2"/>
  <cols>
    <col min="1" max="1" width="8" customWidth="1"/>
    <col min="3" max="3" width="14.33203125" customWidth="1"/>
    <col min="5" max="5" width="14.1640625" customWidth="1"/>
    <col min="7" max="7" width="20.1640625" customWidth="1"/>
    <col min="9" max="9" width="13.33203125" customWidth="1"/>
    <col min="11" max="11" width="19.6640625" customWidth="1"/>
    <col min="13" max="13" width="12.6640625" customWidth="1"/>
  </cols>
  <sheetData>
    <row r="1" spans="1:13" s="48" customFormat="1" ht="33.75" customHeight="1" x14ac:dyDescent="0.2">
      <c r="A1" s="64" t="s">
        <v>176</v>
      </c>
      <c r="C1" s="64" t="s">
        <v>177</v>
      </c>
      <c r="E1" s="64" t="s">
        <v>178</v>
      </c>
      <c r="G1" s="64" t="s">
        <v>396</v>
      </c>
      <c r="I1" s="64" t="s">
        <v>397</v>
      </c>
      <c r="K1" s="64" t="s">
        <v>48</v>
      </c>
      <c r="M1" s="64" t="s">
        <v>398</v>
      </c>
    </row>
    <row r="2" spans="1:13" x14ac:dyDescent="0.2">
      <c r="A2" t="s">
        <v>152</v>
      </c>
      <c r="C2" t="s">
        <v>51</v>
      </c>
      <c r="E2" t="s">
        <v>153</v>
      </c>
      <c r="G2" t="s">
        <v>195</v>
      </c>
      <c r="I2" t="s">
        <v>51</v>
      </c>
      <c r="K2" t="s">
        <v>67</v>
      </c>
      <c r="M2" t="s">
        <v>399</v>
      </c>
    </row>
    <row r="3" spans="1:13" x14ac:dyDescent="0.2">
      <c r="A3" t="s">
        <v>92</v>
      </c>
      <c r="C3" t="s">
        <v>53</v>
      </c>
      <c r="E3" t="s">
        <v>146</v>
      </c>
      <c r="G3" t="s">
        <v>188</v>
      </c>
      <c r="I3" t="s">
        <v>55</v>
      </c>
      <c r="K3" t="s">
        <v>69</v>
      </c>
      <c r="M3" t="s">
        <v>400</v>
      </c>
    </row>
    <row r="4" spans="1:13" x14ac:dyDescent="0.2">
      <c r="A4" t="s">
        <v>159</v>
      </c>
      <c r="C4" t="s">
        <v>55</v>
      </c>
      <c r="E4" t="s">
        <v>160</v>
      </c>
      <c r="G4" t="s">
        <v>401</v>
      </c>
      <c r="I4" t="s">
        <v>225</v>
      </c>
      <c r="K4" t="s">
        <v>71</v>
      </c>
      <c r="M4" t="s">
        <v>402</v>
      </c>
    </row>
    <row r="5" spans="1:13" x14ac:dyDescent="0.2">
      <c r="A5" t="s">
        <v>403</v>
      </c>
      <c r="C5" t="s">
        <v>57</v>
      </c>
      <c r="E5" t="s">
        <v>263</v>
      </c>
      <c r="G5" t="s">
        <v>202</v>
      </c>
      <c r="I5" t="s">
        <v>217</v>
      </c>
      <c r="K5" t="s">
        <v>73</v>
      </c>
      <c r="M5" t="s">
        <v>404</v>
      </c>
    </row>
    <row r="6" spans="1:13" x14ac:dyDescent="0.2">
      <c r="E6" t="s">
        <v>405</v>
      </c>
      <c r="G6" t="s">
        <v>406</v>
      </c>
    </row>
    <row r="7" spans="1:13" x14ac:dyDescent="0.2">
      <c r="E7" t="s">
        <v>215</v>
      </c>
      <c r="G7" t="s">
        <v>407</v>
      </c>
    </row>
    <row r="8" spans="1:13" x14ac:dyDescent="0.2">
      <c r="G8" t="s">
        <v>250</v>
      </c>
    </row>
    <row r="9" spans="1:13" x14ac:dyDescent="0.2">
      <c r="G9" t="s">
        <v>264</v>
      </c>
    </row>
    <row r="10" spans="1:13" x14ac:dyDescent="0.2">
      <c r="G10" t="s">
        <v>408</v>
      </c>
    </row>
    <row r="11" spans="1:13" x14ac:dyDescent="0.2">
      <c r="G11" t="s">
        <v>216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START HERE</vt:lpstr>
      <vt:lpstr>Scope Decision Helper</vt:lpstr>
      <vt:lpstr>Phase1 to Phase2 Handoff</vt:lpstr>
      <vt:lpstr>Phase2 Scope Builder</vt:lpstr>
      <vt:lpstr>MVP Definition</vt:lpstr>
      <vt:lpstr>In-Out Scope Matrix</vt:lpstr>
      <vt:lpstr>Automation Boundary</vt:lpstr>
      <vt:lpstr>Priority Scoring</vt:lpstr>
      <vt:lpstr>Final Scope Summary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maciek szczech</cp:lastModifiedBy>
  <cp:revision>0</cp:revision>
  <dcterms:created xsi:type="dcterms:W3CDTF">2026-06-28T13:53:44Z</dcterms:created>
  <dcterms:modified xsi:type="dcterms:W3CDTF">2026-07-05T12:34:53Z</dcterms:modified>
  <dc:language>en-US</dc:language>
</cp:coreProperties>
</file>