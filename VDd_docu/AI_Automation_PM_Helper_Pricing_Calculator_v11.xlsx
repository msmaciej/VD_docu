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ms/Documents/_VORTEXDEEP/VD_docu/VDd_docu/"/>
    </mc:Choice>
  </mc:AlternateContent>
  <xr:revisionPtr revIDLastSave="0" documentId="13_ncr:1_{56229C34-77B3-3946-97E5-71630102B1C9}" xr6:coauthVersionLast="47" xr6:coauthVersionMax="47" xr10:uidLastSave="{00000000-0000-0000-0000-000000000000}"/>
  <bookViews>
    <workbookView xWindow="980" yWindow="660" windowWidth="27080" windowHeight="20320" tabRatio="500" firstSheet="2" activeTab="4" xr2:uid="{00000000-000D-0000-FFFF-FFFF00000000}"/>
  </bookViews>
  <sheets>
    <sheet name="START HERE" sheetId="1" r:id="rId1"/>
    <sheet name="Package Reference" sheetId="2" r:id="rId2"/>
    <sheet name="Complexity Reference" sheetId="3" r:id="rId3"/>
    <sheet name="Quote Calculator" sheetId="4" r:id="rId4"/>
    <sheet name="ROI App" sheetId="5" r:id="rId5"/>
    <sheet name="ROI App_v1" sheetId="6" r:id="rId6"/>
    <sheet name="ROI App_v0" sheetId="7" r:id="rId7"/>
    <sheet name="Example Quotes" sheetId="8" r:id="rId8"/>
    <sheet name="Access Models" sheetId="9" r:id="rId9"/>
    <sheet name="Client Quote Summary" sheetId="10" r:id="rId10"/>
    <sheet name="Pricing Logic" sheetId="11" r:id="rId11"/>
    <sheet name="AI Aut Logic" sheetId="12" r:id="rId12"/>
    <sheet name="AUDIT Pricing" sheetId="13" r:id="rId13"/>
    <sheet name="B&amp;T Matrix" sheetId="14" r:id="rId14"/>
    <sheet name="Numerologia" sheetId="15" r:id="rId15"/>
    <sheet name="Numertologia VD" sheetId="16" r:id="rId1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3" i="5" l="1"/>
  <c r="J32" i="5"/>
  <c r="J29" i="5"/>
  <c r="J27" i="5"/>
  <c r="J26" i="5"/>
  <c r="J25" i="5"/>
  <c r="M53" i="15"/>
  <c r="M52" i="15"/>
  <c r="R51" i="15"/>
  <c r="Q51" i="15"/>
  <c r="P51" i="15"/>
  <c r="M54" i="15" s="1"/>
  <c r="M45" i="15"/>
  <c r="M44" i="15"/>
  <c r="M43" i="15"/>
  <c r="P42" i="15"/>
  <c r="Q42" i="15" s="1"/>
  <c r="O42" i="15"/>
  <c r="M42" i="15" s="1"/>
  <c r="M36" i="15"/>
  <c r="M35" i="15"/>
  <c r="M34" i="15"/>
  <c r="R33" i="15"/>
  <c r="P33" i="15"/>
  <c r="Q33" i="15" s="1"/>
  <c r="O33" i="15"/>
  <c r="M33" i="15"/>
  <c r="M27" i="15"/>
  <c r="M26" i="15"/>
  <c r="M25" i="15"/>
  <c r="P24" i="15"/>
  <c r="O24" i="15" s="1"/>
  <c r="M24" i="15" s="1"/>
  <c r="M18" i="15"/>
  <c r="M17" i="15"/>
  <c r="M16" i="15"/>
  <c r="R15" i="15"/>
  <c r="Q15" i="15"/>
  <c r="P15" i="15"/>
  <c r="O15" i="15"/>
  <c r="M15" i="15"/>
  <c r="M8" i="15"/>
  <c r="M7" i="15"/>
  <c r="P6" i="15"/>
  <c r="M9" i="15" s="1"/>
  <c r="G29" i="7"/>
  <c r="C29" i="7"/>
  <c r="G27" i="7"/>
  <c r="C27" i="7"/>
  <c r="G26" i="7"/>
  <c r="C26" i="7"/>
  <c r="C28" i="7" s="1"/>
  <c r="C30" i="7" s="1"/>
  <c r="G25" i="7"/>
  <c r="G28" i="7" s="1"/>
  <c r="G30" i="7" s="1"/>
  <c r="C25" i="7"/>
  <c r="G32" i="6"/>
  <c r="C32" i="6"/>
  <c r="G29" i="6"/>
  <c r="C29" i="6"/>
  <c r="G27" i="6"/>
  <c r="C27" i="6"/>
  <c r="G26" i="6"/>
  <c r="C26" i="6"/>
  <c r="G25" i="6"/>
  <c r="C25" i="6"/>
  <c r="C28" i="6" s="1"/>
  <c r="C30" i="6" s="1"/>
  <c r="D49" i="4"/>
  <c r="C49" i="4"/>
  <c r="D48" i="4"/>
  <c r="C48" i="4"/>
  <c r="D47" i="4"/>
  <c r="C47" i="4"/>
  <c r="D46" i="4"/>
  <c r="C46" i="4"/>
  <c r="D44" i="4"/>
  <c r="C44" i="4"/>
  <c r="C33" i="4"/>
  <c r="C32" i="4"/>
  <c r="C14" i="4"/>
  <c r="C29" i="4" s="1"/>
  <c r="C37" i="4" s="1"/>
  <c r="C13" i="4"/>
  <c r="C28" i="4" s="1"/>
  <c r="C12" i="4"/>
  <c r="C11" i="4"/>
  <c r="C10" i="4"/>
  <c r="C31" i="4" s="1"/>
  <c r="C35" i="4" s="1"/>
  <c r="N9" i="4"/>
  <c r="C9" i="4"/>
  <c r="D43" i="4" s="1"/>
  <c r="N8" i="4"/>
  <c r="L8" i="4"/>
  <c r="J8" i="4"/>
  <c r="N7" i="4"/>
  <c r="L7" i="4"/>
  <c r="J7" i="4"/>
  <c r="G7" i="4"/>
  <c r="N6" i="4"/>
  <c r="L6" i="4"/>
  <c r="J6" i="4"/>
  <c r="G6" i="4"/>
  <c r="N5" i="4"/>
  <c r="L5" i="4"/>
  <c r="J5" i="4"/>
  <c r="G5" i="4"/>
  <c r="N4" i="4"/>
  <c r="L4" i="4"/>
  <c r="J4" i="4"/>
  <c r="G4" i="4"/>
  <c r="G43" i="5"/>
  <c r="C43" i="5"/>
  <c r="G32" i="5"/>
  <c r="C32" i="5"/>
  <c r="G29" i="5"/>
  <c r="C29" i="5"/>
  <c r="G27" i="5"/>
  <c r="C27" i="5"/>
  <c r="G26" i="5"/>
  <c r="G28" i="5" s="1"/>
  <c r="G30" i="5" s="1"/>
  <c r="C26" i="5"/>
  <c r="C28" i="5" s="1"/>
  <c r="C30" i="5" s="1"/>
  <c r="G25" i="5"/>
  <c r="C25" i="5"/>
  <c r="J28" i="5" l="1"/>
  <c r="J38" i="5" s="1"/>
  <c r="J39" i="5" s="1"/>
  <c r="G28" i="6"/>
  <c r="G30" i="6" s="1"/>
  <c r="G33" i="6" s="1"/>
  <c r="G32" i="7"/>
  <c r="G31" i="7"/>
  <c r="G33" i="7"/>
  <c r="G31" i="6"/>
  <c r="G34" i="6" s="1"/>
  <c r="G35" i="6"/>
  <c r="G35" i="5"/>
  <c r="G31" i="5"/>
  <c r="G34" i="5" s="1"/>
  <c r="G33" i="5"/>
  <c r="C35" i="5"/>
  <c r="C31" i="5"/>
  <c r="C34" i="5" s="1"/>
  <c r="C33" i="5"/>
  <c r="C36" i="4"/>
  <c r="C31" i="7"/>
  <c r="C32" i="7"/>
  <c r="C33" i="7"/>
  <c r="C33" i="6"/>
  <c r="C31" i="6"/>
  <c r="C34" i="6" s="1"/>
  <c r="C35" i="6"/>
  <c r="C38" i="5"/>
  <c r="C39" i="5" s="1"/>
  <c r="C45" i="4"/>
  <c r="R24" i="15"/>
  <c r="G38" i="5"/>
  <c r="G39" i="5" s="1"/>
  <c r="Q24" i="15"/>
  <c r="D45" i="4"/>
  <c r="O6" i="15"/>
  <c r="M6" i="15" s="1"/>
  <c r="O51" i="15"/>
  <c r="M51" i="15" s="1"/>
  <c r="Q6" i="15"/>
  <c r="R6" i="15"/>
  <c r="C30" i="4"/>
  <c r="C34" i="4" s="1"/>
  <c r="C43" i="4"/>
  <c r="R42" i="15"/>
  <c r="J30" i="5" l="1"/>
  <c r="J33" i="5" s="1"/>
  <c r="C38" i="4"/>
  <c r="G10" i="4" s="1"/>
  <c r="G8" i="4"/>
  <c r="C39" i="4"/>
  <c r="G11" i="4" s="1"/>
  <c r="G9" i="4"/>
  <c r="J35" i="5" l="1"/>
  <c r="J31" i="5"/>
  <c r="J34" i="5" s="1"/>
</calcChain>
</file>

<file path=xl/sharedStrings.xml><?xml version="1.0" encoding="utf-8"?>
<sst xmlns="http://schemas.openxmlformats.org/spreadsheetml/2006/main" count="1854" uniqueCount="1269">
  <si>
    <t xml:space="preserve">   ROI Automation Calculator</t>
  </si>
  <si>
    <t>Field</t>
  </si>
  <si>
    <t>Value</t>
  </si>
  <si>
    <t>Unit / Notes</t>
  </si>
  <si>
    <t xml:space="preserve"> 1. CLIENT INPUTS</t>
  </si>
  <si>
    <t>MGREDSHIFT</t>
  </si>
  <si>
    <t>Hard ROI — Time Savings</t>
  </si>
  <si>
    <t>Employees Involved</t>
  </si>
  <si>
    <t>people</t>
  </si>
  <si>
    <t>Hours Lost / Week</t>
  </si>
  <si>
    <t>hours / week</t>
  </si>
  <si>
    <t>Hourly Rate (Gross)</t>
  </si>
  <si>
    <t>CHF / hour</t>
  </si>
  <si>
    <t>Hard ROI — Error Reduction</t>
  </si>
  <si>
    <t>Mistakes / Week</t>
  </si>
  <si>
    <t>mistakes / week</t>
  </si>
  <si>
    <t>Cost per Mistake</t>
  </si>
  <si>
    <t>CHF / mistake</t>
  </si>
  <si>
    <t>Soft ROI — Lost Revenue</t>
  </si>
  <si>
    <t>Lost Leads / Month</t>
  </si>
  <si>
    <t>leads / month</t>
  </si>
  <si>
    <t>Avg Value per Lead</t>
  </si>
  <si>
    <t>CHF / lead</t>
  </si>
  <si>
    <t>Investment &amp; Ongoing Costs</t>
  </si>
  <si>
    <t>One-Time Setup Cost</t>
  </si>
  <si>
    <t>CHF total</t>
  </si>
  <si>
    <t>Monthly Managed AI Ops Cost</t>
  </si>
  <si>
    <t>CHF / month — paste from Quote Calculator C39 (Recommended monthly quote)</t>
  </si>
  <si>
    <t>CHF / month</t>
  </si>
  <si>
    <t xml:space="preserve"> 2. CALCULATED ROI</t>
  </si>
  <si>
    <t>ROI</t>
  </si>
  <si>
    <t>Monthly Cost of Time</t>
  </si>
  <si>
    <t>CHF</t>
  </si>
  <si>
    <t>Monthly Cost of Errors</t>
  </si>
  <si>
    <t>Monthly Lost Revenue</t>
  </si>
  <si>
    <t>Monthly Gross Benefit</t>
  </si>
  <si>
    <t>CHF — cost of inaction</t>
  </si>
  <si>
    <t>(−) Monthly Managed AI Ops</t>
  </si>
  <si>
    <t>Net Monthly Benefit</t>
  </si>
  <si>
    <t>Annual Net Benefit</t>
  </si>
  <si>
    <t>Total Year 1 Investment</t>
  </si>
  <si>
    <t>CHF — setup + 12× monthly managed</t>
  </si>
  <si>
    <t>Payback Period</t>
  </si>
  <si>
    <t>Months</t>
  </si>
  <si>
    <t>First-Year Net ROI</t>
  </si>
  <si>
    <t>% — net Y1 return ÷ total Y1 investment (setup + 12× monthly)</t>
  </si>
  <si>
    <t>%</t>
  </si>
  <si>
    <t>Year 2+ Annual ROI</t>
  </si>
  <si>
    <t xml:space="preserve"> 3. NEGOTIATION VIEW</t>
  </si>
  <si>
    <t>Value Ceiling (monthly)</t>
  </si>
  <si>
    <t>CHF/month — max fee where client still breaks even in Year 1</t>
  </si>
  <si>
    <t>CHF/month</t>
  </si>
  <si>
    <t>Headroom — value kept by client</t>
  </si>
  <si>
    <t>CHF/month below the ceiling. Use this when client says fee is high.</t>
  </si>
  <si>
    <t>Staffing alternative comparison</t>
  </si>
  <si>
    <t>Equiv. manual staffing cost</t>
  </si>
  <si>
    <t>CHF/month — est. cost of person doing this manually. Rule of thumb CH: CHF 70k salary ≈ CHF 8,300/month fully loaded. Even 1 day/week ≈ CHF 2,000+.</t>
  </si>
  <si>
    <t>Automation saving vs. staffing</t>
  </si>
  <si>
    <t>CHF/month saved vs. hiring. Negative = staffing is cheaper.</t>
  </si>
  <si>
    <t>Talking point — monthly fee objection: "Think of it like Krankenkasse. The best months are the ones where you never needed to call us. That's not money wasted — that's the system working. You pay for the guarantee of continuity, not for the number of incidents. And unlike Krankenkasse, here you can calculate the return."</t>
  </si>
  <si>
    <t>Tip: Monthly Managed AI Ops (C20) should match 'Recommended monthly quote' from Quote Calculator tab. First-Year Net ROI divides by total Year 1 spend (setup + 12× monthly). Year 2+ ROI shows the recurring return once setup is fully amortised.</t>
  </si>
  <si>
    <t>AI Automation Pricing Calculator - SAFE VERSION</t>
  </si>
  <si>
    <t>Purpose</t>
  </si>
  <si>
    <t>Clean, Excel-safe pricing workbook. It avoids advanced lookup formulas, tables, and data-validation objects that can sometimes trigger Excel repair messages.</t>
  </si>
  <si>
    <t>How to use</t>
  </si>
  <si>
    <t>Use Package Reference to select the package. Then manually copy the base low/high values into Quote Calculator yellow cells.</t>
  </si>
  <si>
    <t>Yellow cells</t>
  </si>
  <si>
    <t>Editable input cells.</t>
  </si>
  <si>
    <t>Blue cells</t>
  </si>
  <si>
    <t>Calculated output cells.</t>
  </si>
  <si>
    <t>Grey/reference sheets</t>
  </si>
  <si>
    <t>Internal reference and examples.</t>
  </si>
  <si>
    <t>Why this safe version</t>
  </si>
  <si>
    <t>Previous workbook likely had a compatibility/repair issue caused by advanced formulas or workbook metadata. This version uses simple formulas only.</t>
  </si>
  <si>
    <t>Client sharing</t>
  </si>
  <si>
    <t>Do not send internal pricing logic to client. Use Client Quote Summary as a clean external view.</t>
  </si>
  <si>
    <t>Version</t>
  </si>
  <si>
    <t>safe v4 - editable reference lists + auto lookup</t>
  </si>
  <si>
    <t>Created</t>
  </si>
  <si>
    <t>2026-06-23</t>
  </si>
  <si>
    <t>Recommended workflow</t>
  </si>
  <si>
    <t>1) pick package → 2) copy base ranges → 3) enter complexity → 4) review calculated quote → 5) copy client summary.</t>
  </si>
  <si>
    <t>Audit note</t>
  </si>
  <si>
    <t>Use 'Quote Calculator FIXED' for commercial quotes. Original calculator is retained as legacy/comparison.</t>
  </si>
  <si>
    <t>Package Pricing Reference</t>
  </si>
  <si>
    <t>EDITABLE RANGE: update package names, price ranges, scope notes and access model here. Quote Calculator reads columns A:E by package name.</t>
  </si>
  <si>
    <t>Package</t>
  </si>
  <si>
    <t>Setup Low</t>
  </si>
  <si>
    <t>Setup High</t>
  </si>
  <si>
    <t>Monthly Low</t>
  </si>
  <si>
    <t>Monthly High</t>
  </si>
  <si>
    <t>Typical scope</t>
  </si>
  <si>
    <t>Best for</t>
  </si>
  <si>
    <t>Access model</t>
  </si>
  <si>
    <t>Internal note</t>
  </si>
  <si>
    <t>Commercial label</t>
  </si>
  <si>
    <t>Typical use by automation type</t>
  </si>
  <si>
    <t>Basic Intake</t>
  </si>
  <si>
    <t>Email/forms intake, rule-based routing, booking link, simple folders/labels</t>
  </si>
  <si>
    <t>Simple intake, low complexity</t>
  </si>
  <si>
    <t>Results/dashboard only</t>
  </si>
  <si>
    <t>Keep scope tight</t>
  </si>
  <si>
    <t>AI Intake Basic</t>
  </si>
  <si>
    <t>Communication &amp; Intake; Document routing (no AI extraction); E-commerce order notifications; Finance reminders. Rule-based only — no AI required.</t>
  </si>
  <si>
    <t>Basic+ AI Triage</t>
  </si>
  <si>
    <t>AI classification, CRM/Notion log, folder routing, draft support</t>
  </si>
  <si>
    <t>MG Red Shift-style workflow</t>
  </si>
  <si>
    <t>Results/dashboard + workflow summary</t>
  </si>
  <si>
    <t>Good first AI package</t>
  </si>
  <si>
    <t>AI Intake Triage Basic+</t>
  </si>
  <si>
    <t>Communication &amp; Intake (AI classify); Lead &amp; Sales Pipeline (CRM log); Document Processing (AI field extraction); Customer Support (ticket triage); E-commerce (AI categorisation).</t>
  </si>
  <si>
    <t>Pro Multi-Channel</t>
  </si>
  <si>
    <t>Email + social media, AI classification, drafts, approval workflow</t>
  </si>
  <si>
    <t>Multiple channels, repeated questions</t>
  </si>
  <si>
    <t>Dashboard + workflow chart</t>
  </si>
  <si>
    <t>Needs fallback and approval gates</t>
  </si>
  <si>
    <t>AI Workflow Pro</t>
  </si>
  <si>
    <t>Communication &amp; Intake (multi-source); Content &amp; Marketing (AI draft + publish review); Lead &amp; Sales Pipeline (multi-source pipeline); Document Processing (multi-source); Customer Support (multi-channel triage).</t>
  </si>
  <si>
    <t>Managed Operations</t>
  </si>
  <si>
    <t>CRM, monitoring, reports, monthly improvements, support</t>
  </si>
  <si>
    <t>Ongoing operational support</t>
  </si>
  <si>
    <t>Dashboard, reports, limited logic visibility</t>
  </si>
  <si>
    <t>Define support limits</t>
  </si>
  <si>
    <t>Managed AI Operations</t>
  </si>
  <si>
    <t>Reporting &amp; Analytics (KPI digests, management reports); Finance &amp; Admin (reconciliation, overdue reminders); Internal Ops &amp; Approvals (ongoing routing); Scheduling &amp; Booking (managed flows). Any category requiring ongoing monitoring and improvement.</t>
  </si>
  <si>
    <t>Agentic Automation</t>
  </si>
  <si>
    <t>Calendar/CRM actions, multi-step decisions, audit and governance</t>
  </si>
  <si>
    <t>Complex controlled actions</t>
  </si>
  <si>
    <t>Approval console + blueprint summary</t>
  </si>
  <si>
    <t>Quote individually</t>
  </si>
  <si>
    <t>Agentic AI Operations</t>
  </si>
  <si>
    <t>Scheduling &amp; Booking (AI slot proposals, calendar actions); Lead &amp; Sales Pipeline (autonomous follow-up sequences); Finance &amp; Admin (exception detection + action); Internal Ops (conditional approval chains). Any category needing multi-step AI decisions with audit.</t>
  </si>
  <si>
    <t>Build-and-Transfer</t>
  </si>
  <si>
    <t>Automation built in client workspace and handed over</t>
  </si>
  <si>
    <t>Client wants ownership</t>
  </si>
  <si>
    <t>Full access/export/documentation</t>
  </si>
  <si>
    <t>LEGACY — do not select as package. Use a scope package in C5 and set Access model = Build-and-transfer in C6.</t>
  </si>
  <si>
    <t>Build &amp; Transfer</t>
  </si>
  <si>
    <t>All automation categories — applies when client requires full IP and operational ownership post-handover, regardless of automation type.</t>
  </si>
  <si>
    <t>Complexity Adders &amp; Multipliers</t>
  </si>
  <si>
    <t>Support Model Lookup - Editable</t>
  </si>
  <si>
    <t>Factor</t>
  </si>
  <si>
    <t>Rule</t>
  </si>
  <si>
    <t>When to apply</t>
  </si>
  <si>
    <t>Notes</t>
  </si>
  <si>
    <t>Example</t>
  </si>
  <si>
    <t>Support Model</t>
  </si>
  <si>
    <t>Monthly Multiplier</t>
  </si>
  <si>
    <t>Setup Handover Multiplier</t>
  </si>
  <si>
    <t>Typical Use</t>
  </si>
  <si>
    <t>Client Access</t>
  </si>
  <si>
    <t>Support Responsibility</t>
  </si>
  <si>
    <t>Pricing Note</t>
  </si>
  <si>
    <t>Internal Note</t>
  </si>
  <si>
    <t>Extra data sources / triggers</t>
  </si>
  <si>
    <t>per source / trigger</t>
  </si>
  <si>
    <t>Additional data source, trigger, or inbound channel beyond the scope included in the package</t>
  </si>
  <si>
    <t>Email inbox, social DM, document upload trigger, API feed, scheduled database poll</t>
  </si>
  <si>
    <t>invoice email trigger + webhook + Instagram DM = 3 sources</t>
  </si>
  <si>
    <t>No support</t>
  </si>
  <si>
    <t>Build-and-transfer with no monthly support</t>
  </si>
  <si>
    <t>Full handover</t>
  </si>
  <si>
    <t>None after handover</t>
  </si>
  <si>
    <t>0x monthly</t>
  </si>
  <si>
    <t>Legacy setup multiplier normalized to 1. Setup premium now belongs to Access Models / fixed calculator.</t>
  </si>
  <si>
    <t>AI generation steps</t>
  </si>
  <si>
    <t>per workflow type</t>
  </si>
  <si>
    <t>AI generates any output: reply drafts, extracted document fields, summarised text, repurposed content</t>
  </si>
  <si>
    <t>Each distinct AI generation type adds complexity — count per type, not per execution</t>
  </si>
  <si>
    <t>invoice field extraction + booking reply draft = 2 generation steps</t>
  </si>
  <si>
    <t>Light support</t>
  </si>
  <si>
    <t>Client owns automation, occasional help</t>
  </si>
  <si>
    <t>Full/limited</t>
  </si>
  <si>
    <t>Limited fixes</t>
  </si>
  <si>
    <t>0.5x monthly</t>
  </si>
  <si>
    <t>CRM integration</t>
  </si>
  <si>
    <t>per CRM</t>
  </si>
  <si>
    <t>Notion/Airtable/HubSpot records</t>
  </si>
  <si>
    <t>Status and field mapping</t>
  </si>
  <si>
    <t>Notion DB</t>
  </si>
  <si>
    <t>Normal managed support</t>
  </si>
  <si>
    <t>Default managed service</t>
  </si>
  <si>
    <t>Dashboard/results</t>
  </si>
  <si>
    <t>Normal monitoring/support</t>
  </si>
  <si>
    <t>1.0x monthly</t>
  </si>
  <si>
    <t>Default.</t>
  </si>
  <si>
    <t>Approval workflow</t>
  </si>
  <si>
    <t>per approval path</t>
  </si>
  <si>
    <t>Human review needed</t>
  </si>
  <si>
    <t>Important for sensitive sectors</t>
  </si>
  <si>
    <t>approve before send</t>
  </si>
  <si>
    <t>High-responsibility maintenance</t>
  </si>
  <si>
    <t>Important business workflow</t>
  </si>
  <si>
    <t>Dashboard/results + stronger control</t>
  </si>
  <si>
    <t>Higher reliability support</t>
  </si>
  <si>
    <t>1.5x monthly</t>
  </si>
  <si>
    <t>Setup premium should be explicit via access model/manual add, not hidden in support model.</t>
  </si>
  <si>
    <t>Reporting layer</t>
  </si>
  <si>
    <t>yes/no</t>
  </si>
  <si>
    <t>Dashboards, summaries, KPI reports</t>
  </si>
  <si>
    <t>Managed service</t>
  </si>
  <si>
    <t>monthly report</t>
  </si>
  <si>
    <t>Premium transfer support</t>
  </si>
  <si>
    <t>Transferred asset but you still maintain</t>
  </si>
  <si>
    <t>Ongoing maintenance</t>
  </si>
  <si>
    <t>2.0x monthly</t>
  </si>
  <si>
    <t>Use Access Models / fixed calculator for transfer setup premium.</t>
  </si>
  <si>
    <t>Sensitive data</t>
  </si>
  <si>
    <t>x1.3 to x1.7</t>
  </si>
  <si>
    <t>Health/legal/finance/high privacy</t>
  </si>
  <si>
    <t>Apply mainly to setup and monthly</t>
  </si>
  <si>
    <t>therapist</t>
  </si>
  <si>
    <t>Critical support</t>
  </si>
  <si>
    <t>Complex/agentic/high-risk system</t>
  </si>
  <si>
    <t>Full/controlled</t>
  </si>
  <si>
    <t>High responsibility</t>
  </si>
  <si>
    <t>Up to 3.0x monthly</t>
  </si>
  <si>
    <t>Use manual setup add/urgency multiplier for critical setup impact.</t>
  </si>
  <si>
    <t>Urgency</t>
  </si>
  <si>
    <t>x1.2 to x1.5</t>
  </si>
  <si>
    <t>Fast delivery required</t>
  </si>
  <si>
    <t>Apply to setup</t>
  </si>
  <si>
    <t>launch this week</t>
  </si>
  <si>
    <t>x1.5 to x3.0</t>
  </si>
  <si>
    <t>Client receives scenario/blueprint</t>
  </si>
  <si>
    <t>Build-and-transfer</t>
  </si>
  <si>
    <t>own Make workspace</t>
  </si>
  <si>
    <t>Monthly support model</t>
  </si>
  <si>
    <t>Monthly multiplier</t>
  </si>
  <si>
    <t>Typical monthly logic</t>
  </si>
  <si>
    <t>Use when</t>
  </si>
  <si>
    <t>Client receives</t>
  </si>
  <si>
    <t>You remain responsible for</t>
  </si>
  <si>
    <t>Pricing note</t>
  </si>
  <si>
    <t>Internal decision</t>
  </si>
  <si>
    <t>No recurring fee</t>
  </si>
  <si>
    <t>Build-and-transfer with no support</t>
  </si>
  <si>
    <t>Delivered automation only</t>
  </si>
  <si>
    <t>Nothing after handover</t>
  </si>
  <si>
    <t>client self-maintains</t>
  </si>
  <si>
    <t>Use rarely</t>
  </si>
  <si>
    <t>Ad-hoc checks / small fixes</t>
  </si>
  <si>
    <t>Client owns automation but may need help</t>
  </si>
  <si>
    <t>Occasional support</t>
  </si>
  <si>
    <t>Limited support only</t>
  </si>
  <si>
    <t>quarterly help</t>
  </si>
  <si>
    <t>0.5x to 1.0x monthly</t>
  </si>
  <si>
    <t>Define hours</t>
  </si>
  <si>
    <t>Standard monitoring and minor improvements</t>
  </si>
  <si>
    <t>Managed service default</t>
  </si>
  <si>
    <t>Reports/support</t>
  </si>
  <si>
    <t>Normal reliability support</t>
  </si>
  <si>
    <t>Basic+/Pro managed</t>
  </si>
  <si>
    <t>Default</t>
  </si>
  <si>
    <t>Strong monitoring, quick fixes, change support</t>
  </si>
  <si>
    <t>Client owns or depends heavily on system</t>
  </si>
  <si>
    <t>Higher support availability</t>
  </si>
  <si>
    <t>Higher operational responsibility</t>
  </si>
  <si>
    <t>mission-critical workflow</t>
  </si>
  <si>
    <t>1.5x to 3.0x monthly</t>
  </si>
  <si>
    <t>Premium</t>
  </si>
  <si>
    <t>Transferred asset + ongoing maintenance</t>
  </si>
  <si>
    <t>Build-and-transfer but you still maintain it</t>
  </si>
  <si>
    <t>Full asset + managed care</t>
  </si>
  <si>
    <t>Ongoing maintenance despite transfer</t>
  </si>
  <si>
    <t>client owns Make, you maintain</t>
  </si>
  <si>
    <t>2.0x typical</t>
  </si>
  <si>
    <t>Charge clearly</t>
  </si>
  <si>
    <t>High urgency / high responsibility</t>
  </si>
  <si>
    <t>Complex agentic systems</t>
  </si>
  <si>
    <t>Priority support</t>
  </si>
  <si>
    <t>Major ongoing responsibility</t>
  </si>
  <si>
    <t>Calendar/CRM agent with SLA-like expectation</t>
  </si>
  <si>
    <t>Custom quote</t>
  </si>
  <si>
    <t>Quote Calculator — Package / Access Model / Support Model (v8)</t>
  </si>
  <si>
    <t>Step</t>
  </si>
  <si>
    <t>Explanation</t>
  </si>
  <si>
    <t>Client-facing summary</t>
  </si>
  <si>
    <t>Available Packages</t>
  </si>
  <si>
    <t>Available Access Models</t>
  </si>
  <si>
    <t>Available Support Models</t>
  </si>
  <si>
    <t>Support model</t>
  </si>
  <si>
    <t>Meaning</t>
  </si>
  <si>
    <t>1</t>
  </si>
  <si>
    <t>Client / project name</t>
  </si>
  <si>
    <t>EDIT</t>
  </si>
  <si>
    <t>Project</t>
  </si>
  <si>
    <t>build-and-transfer, client owns risk</t>
  </si>
  <si>
    <t>2</t>
  </si>
  <si>
    <t>Selected package</t>
  </si>
  <si>
    <t>EDIT: scope package only — excludes Build-and-Transfer (use Access model C6 = Build-and-transfer for handover projects)</t>
  </si>
  <si>
    <t xml:space="preserve"> </t>
  </si>
  <si>
    <t>occasional checks/fixes</t>
  </si>
  <si>
    <t>3</t>
  </si>
  <si>
    <t>Access / ownership model</t>
  </si>
  <si>
    <t>EDIT: controls setup/handover premium only (not monthly)</t>
  </si>
  <si>
    <t>default for business workflow</t>
  </si>
  <si>
    <t>4</t>
  </si>
  <si>
    <t>EDIT: controls monthly maintenance cost only (not setup)</t>
  </si>
  <si>
    <t>High-responsibility support</t>
  </si>
  <si>
    <t>stronger monitoring, faster response</t>
  </si>
  <si>
    <t>Setup range</t>
  </si>
  <si>
    <t>5</t>
  </si>
  <si>
    <t>Base setup low</t>
  </si>
  <si>
    <t>CALC from Package Reference</t>
  </si>
  <si>
    <t>Monthly range</t>
  </si>
  <si>
    <t>for operationally sensitive workflows</t>
  </si>
  <si>
    <t>6</t>
  </si>
  <si>
    <t>Base setup high</t>
  </si>
  <si>
    <t>Recommended setup</t>
  </si>
  <si>
    <t>7</t>
  </si>
  <si>
    <t>Base monthly low</t>
  </si>
  <si>
    <t>Recommended monthly</t>
  </si>
  <si>
    <t>8</t>
  </si>
  <si>
    <t>Base monthly high</t>
  </si>
  <si>
    <t>Prices exclude third-party tool/API usage unless agreed.</t>
  </si>
  <si>
    <t>9</t>
  </si>
  <si>
    <t>Auto access setup multiplier</t>
  </si>
  <si>
    <t>CALC from Access Models col J — access model controls setup premium, not support model</t>
  </si>
  <si>
    <t>List sources</t>
  </si>
  <si>
    <t>Package Ref A4:A9 | Access Models A4:A8 | Complexity Ref K4:K9</t>
  </si>
  <si>
    <t>10</t>
  </si>
  <si>
    <t>Auto monthly support multiplier</t>
  </si>
  <si>
    <t>CALC from support model (monthly multiplier only)</t>
  </si>
  <si>
    <t>11</t>
  </si>
  <si>
    <t>Extra data sources / triggers count</t>
  </si>
  <si>
    <t>EDIT: count each additional data source, trigger, or inbound channel beyond the base package. In Make.com: each separate webhook endpoint, app trigger, API source, or scheduled data pull. E.g. Instagram DM = 1, invoice email inbox = 1, API poll = 1. Do NOT count the primary source included in the selected package.</t>
  </si>
  <si>
    <t>Extra data sources / triggers — examples</t>
  </si>
  <si>
    <t>Each distinct inbound source beyond the base package (separate webhook endpoint, app trigger or API feed).</t>
  </si>
  <si>
    <t>12</t>
  </si>
  <si>
    <t>AI generation steps count</t>
  </si>
  <si>
    <t>EDIT: count each distinct AI generation step — any HTTP module calling OpenAI or Claude for any purpose. Count per generation TYPE, not per execution. E.g. booking reply draft = 1. Invoice field extraction + booking reply draft = 2. Content repurposing call = 1.</t>
  </si>
  <si>
    <t>Example values:</t>
  </si>
  <si>
    <t>13</t>
  </si>
  <si>
    <t>CRM integrations count</t>
  </si>
  <si>
    <t>EDIT: count each external CRM or database system connected via Make.com (Notion, HubSpot, Airtable, Google Sheets used as a CRM, etc.). Count per SYSTEM, not per module. Notion with 3 Notion modules = still 1. Notion + HubSpot = 2.</t>
  </si>
  <si>
    <t>Primary source included in package = 0</t>
  </si>
  <si>
    <t>14</t>
  </si>
  <si>
    <t>Approval workflows count</t>
  </si>
  <si>
    <t>EDIT: count each route where Make.com pauses and a human must review and approve before the automation sends or acts. SEEKER draft reviewed by human before reply = 1. Auto folder-move with no human gate = 0. Multiple gated routes = count each gate separately.</t>
  </si>
  <si>
    <t>Website form on a separate webhook = 1</t>
  </si>
  <si>
    <t>15</t>
  </si>
  <si>
    <t>Reporting layer count</t>
  </si>
  <si>
    <t>EDIT: 0 or 1. Use 1 only if the automation writes structured output to a reporting layer: Google Sheets analytics view, Notion summary dashboard, or similar. Test-folder logging does NOT count. Standard Notion CRM entries do NOT count as reporting.</t>
  </si>
  <si>
    <t>Website form + Instagram DM = 2;  or  invoice email + webhook = 2</t>
  </si>
  <si>
    <t>16</t>
  </si>
  <si>
    <t>Sensitive data multiplier</t>
  </si>
  <si>
    <t>EDIT: normal = 1.0. Increase if handling sensitive data: 1.3 for confidential business info (contracts, financials, HR); 1.5 for GDPR-sensitive or EU-only data; 1.7 for health records or personal identity data. Always discuss data handling explicitly with the client before applying.</t>
  </si>
  <si>
    <t>Website + Instagram + invoice email = 3;  or  3 distinct API sources = 3</t>
  </si>
  <si>
    <t>17</t>
  </si>
  <si>
    <t>Urgency multiplier</t>
  </si>
  <si>
    <t>EDIT: normal = 1.0. Use 1.2 for 2–3 week delivery. Use 1.3–1.5 for hard deadlines within days (compressed build, testing and handover). Never exceed 1.5.</t>
  </si>
  <si>
    <t>18</t>
  </si>
  <si>
    <t>Manual setup multiplier override</t>
  </si>
  <si>
    <t>OPTIONAL EDIT: leave blank to use the access model auto-value (from the col L lookup). Override only when the auto value does not fit — e.g. Managed service selected but this project has unusually complex API credential setup or multi-environment staging.</t>
  </si>
  <si>
    <t>AI generation steps — examples</t>
  </si>
  <si>
    <t>Each distinct HTTP module calling OpenAI / Claude (count per draft type, any email volume).</t>
  </si>
  <si>
    <t>19</t>
  </si>
  <si>
    <t>Manual monthly support multiplier override</t>
  </si>
  <si>
    <t>OPTIONAL EDIT: leave blank to use the support model auto-value. Override only when the auto value does not reflect the agreed SLA — e.g. Normal support selected but client has a faster-response agreement that is not yet in the reference table.</t>
  </si>
  <si>
    <t>20</t>
  </si>
  <si>
    <t>Manual custom setup add</t>
  </si>
  <si>
    <t>EDIT: add one-time costs not covered by the package adder prices. — Make.com plan upgrade (if client account needs a higher ops tier) — Third-party API onboarding or account setup fee — Domain / DNS configuration — First-month OpenAI / Claude credit (if client pre-funds a budget) OPERATIONAL PASS-THROUGH: Make.com operations and API token costs are variable and best invoiced monthly with actuals. Use this field for a one-time estimate only if the client needs a total upfront budget figure.</t>
  </si>
  <si>
    <t>Classify or route only, no AI generation call = 0</t>
  </si>
  <si>
    <t>21</t>
  </si>
  <si>
    <t>Manual custom monthly add</t>
  </si>
  <si>
    <t>EDIT: add ongoing monthly operational costs not covered by the support multiplier. These are direct pass-through costs you pay to providers: — Make.com operations budget: CHF 15–30/month simple (&lt; 500 ops/day); CHF 30–60/month moderate (500–2,000 ops/day); CHF 60–120/month complex multi-branch scenario — OpenAI / Claude API tokens: CHF 10–20/month for ~200–500 AI drafts; CHF 20–40/month for ~500–2,000 AI drafts Best practice: leave C26 = 0 in the quote and invoice these monthly with actuals. Only fix a value here if the client requires a total-cost-of-ownership budget upfront.</t>
  </si>
  <si>
    <t>One AI generation type (reply draft, field extraction, or content call) = 1</t>
  </si>
  <si>
    <t>Booking reply draft + invoice field extraction = 2;  or  repurposing + reply = 2</t>
  </si>
  <si>
    <t>Effective setup/access multiplier</t>
  </si>
  <si>
    <t>CALC</t>
  </si>
  <si>
    <t>Effective monthly support multiplier</t>
  </si>
  <si>
    <t>CRM integrations — Make.com context</t>
  </si>
  <si>
    <t>Each external database / CRM connected (Notion, HubSpot, Airtable, Google Sheets as CRM). Count per system, not per module.</t>
  </si>
  <si>
    <t>Setup subtotal low (before multipliers)</t>
  </si>
  <si>
    <t>Setup subtotal high (before multipliers)</t>
  </si>
  <si>
    <t>Folder routing only, no CRM = 0</t>
  </si>
  <si>
    <t>Monthly subtotal low (before support multiplier)</t>
  </si>
  <si>
    <t>Notion only (any number of Notion modules) = 1</t>
  </si>
  <si>
    <t>Monthly subtotal high (before support multiplier)</t>
  </si>
  <si>
    <t>Notion + HubSpot = 2</t>
  </si>
  <si>
    <t>Calculated setup low</t>
  </si>
  <si>
    <t>Calculated setup high</t>
  </si>
  <si>
    <t>Approval workflows — Make.com context</t>
  </si>
  <si>
    <t>Each route where Make.com pauses and a human must review / approve before it sends or acts.</t>
  </si>
  <si>
    <t>Calculated monthly low</t>
  </si>
  <si>
    <t>Calculated monthly high</t>
  </si>
  <si>
    <t>Auto folder-move only, no human gate = 0</t>
  </si>
  <si>
    <t>Recommended setup quote</t>
  </si>
  <si>
    <t>SEEKER draft reviewed by human before reply = 1</t>
  </si>
  <si>
    <t>Recommended monthly quote</t>
  </si>
  <si>
    <t>SEEKER gated + LEAD CRM entry requires approval = 2</t>
  </si>
  <si>
    <t>Quote Sanity Check (auto)</t>
  </si>
  <si>
    <t>Reporting layer — Make.com context</t>
  </si>
  <si>
    <t>Check</t>
  </si>
  <si>
    <t>Status</t>
  </si>
  <si>
    <t>Detail</t>
  </si>
  <si>
    <t>Package name matches Reference</t>
  </si>
  <si>
    <t>Test-folder log only = 0</t>
  </si>
  <si>
    <t>Access model matches Reference</t>
  </si>
  <si>
    <t>Notion analytics view or Google Sheets report = 1</t>
  </si>
  <si>
    <t>Support model matches Reference</t>
  </si>
  <si>
    <t>Multiple separate reporting dashboards = 2 (rare)</t>
  </si>
  <si>
    <t>Sensitive data has approval workflow</t>
  </si>
  <si>
    <t>C25 one-time add — typical operational uses:</t>
  </si>
  <si>
    <t>Urgency multiplier reasonable</t>
  </si>
  <si>
    <t>Make.com plan upgrade (if client needs higher ops tier)</t>
  </si>
  <si>
    <t>Handover risk acknowledged</t>
  </si>
  <si>
    <t>Third-party API onboarding or account setup fee</t>
  </si>
  <si>
    <t>Reporting fits package</t>
  </si>
  <si>
    <t>First-month OpenAI / Claude credit (pre-funded budget)</t>
  </si>
  <si>
    <t>C26 monthly add — operational pass-through costs:</t>
  </si>
  <si>
    <t>Tip: Status meanings:</t>
  </si>
  <si>
    <t>OK = no concern;</t>
  </si>
  <si>
    <t>Make.com ops: CHF 15–30 simple · 30–60 moderate · 60–120 complex /month</t>
  </si>
  <si>
    <t>WARN = check before sending quote;</t>
  </si>
  <si>
    <t>OpenAI / Claude tokens: CHF 10–20 / 200–500 drafts · 20–40 / 500–2000 drafts /month</t>
  </si>
  <si>
    <t>FAIL = formulas returning 0 because name doesn't match;</t>
  </si>
  <si>
    <t>NOTE = situation worth documenting in the client quote.</t>
  </si>
  <si>
    <t>MG Red Shift (14-module SEEKER CRM) — example inputs:</t>
  </si>
  <si>
    <t>Extra channels (C16)</t>
  </si>
  <si>
    <t>AI draft workflows (C17)</t>
  </si>
  <si>
    <t>CRM integrations (C18)</t>
  </si>
  <si>
    <t>Approval workflows (C19)</t>
  </si>
  <si>
    <t>Reporting layer (C20)</t>
  </si>
  <si>
    <t>Custom monthly add C26 (ops est.)</t>
  </si>
  <si>
    <t>CHF 30–60</t>
  </si>
  <si>
    <t xml:space="preserve">  → Make.com ops estimate</t>
  </si>
  <si>
    <t>CHF 20–40 / month</t>
  </si>
  <si>
    <t xml:space="preserve">  → OpenAI tokens estimate (SEEKER drafts)</t>
  </si>
  <si>
    <t>CHF 10–20 / month</t>
  </si>
  <si>
    <t>% (over Year 1)</t>
  </si>
  <si>
    <t>Tip: Monthly Managed AI Ops (C20) should match 'Recommended monthly quote' from the Quote Calculator tab (cell C39). Yellow = edit, light blue = calculated.</t>
  </si>
  <si>
    <t>Example Quote Ranges</t>
  </si>
  <si>
    <t>Why</t>
  </si>
  <si>
    <t>Client label</t>
  </si>
  <si>
    <t>MG Red Shift v4.0 — AI-drafted SEEKER reply (base)</t>
  </si>
  <si>
    <t>AI classification, Notion DB, folder routing, SEEKER draft support</t>
  </si>
  <si>
    <t>Managed / hybrid</t>
  </si>
  <si>
    <t>No automatic sending; AI draft held for review</t>
  </si>
  <si>
    <t>Therapist Gmail + booking link</t>
  </si>
  <si>
    <t>Email/form intake, booking triage, no direct advice</t>
  </si>
  <si>
    <t>Human approval</t>
  </si>
  <si>
    <t>Therapist Instagram + Gmail + drafts</t>
  </si>
  <si>
    <t>Multiple channels and draft approval workflow</t>
  </si>
  <si>
    <t>Managed</t>
  </si>
  <si>
    <t>Sensitive data needs strict boundaries</t>
  </si>
  <si>
    <t>Small agency CRM + reporting</t>
  </si>
  <si>
    <t>CRM, monitoring, reporting, improvement backlog</t>
  </si>
  <si>
    <t>Recurring service value</t>
  </si>
  <si>
    <t>Calendar/CRM agent</t>
  </si>
  <si>
    <t>Controlled multi-step actions with approvals</t>
  </si>
  <si>
    <t>Controlled access</t>
  </si>
  <si>
    <t>Client full handover</t>
  </si>
  <si>
    <t>Transfers Make logic and documentation</t>
  </si>
  <si>
    <t>Client-owned</t>
  </si>
  <si>
    <t>Price 1.5x to 3x setup</t>
  </si>
  <si>
    <t>MG Red Shift v4.1 — template SEEKER reply</t>
  </si>
  <si>
    <t>Same triage; SEEKER reply is a prepared template (no AI generation). Simplest of the three.</t>
  </si>
  <si>
    <t>Template reply; no AI draft</t>
  </si>
  <si>
    <t>MG Red Shift v4.2 + v4.1 — dual intake (email + webform)</t>
  </si>
  <si>
    <t>v4.1 process across two intake paths (email then webform): extra source + duplicated classify/route.</t>
  </si>
  <si>
    <t>No automatic sending; two channels</t>
  </si>
  <si>
    <t>Access &amp; Ownership Pricing Logic</t>
  </si>
  <si>
    <t>Model</t>
  </si>
  <si>
    <t>You retain</t>
  </si>
  <si>
    <t>Pricing effect</t>
  </si>
  <si>
    <t>Monthly effect</t>
  </si>
  <si>
    <t>Risk</t>
  </si>
  <si>
    <t>Client wording</t>
  </si>
  <si>
    <t>Default setup multiplier</t>
  </si>
  <si>
    <t>Typical range</t>
  </si>
  <si>
    <t>Pricing use in FIXED calculator</t>
  </si>
  <si>
    <t>Results, dashboards, reports, approval queue</t>
  </si>
  <si>
    <t>Make logic, prompts, reusable blueprints</t>
  </si>
  <si>
    <t>Normal</t>
  </si>
  <si>
    <t>x1.0 monthly</t>
  </si>
  <si>
    <t>Low</t>
  </si>
  <si>
    <t>We manage the automation and provide outputs/support.</t>
  </si>
  <si>
    <t>Best default model</t>
  </si>
  <si>
    <t>x1.0</t>
  </si>
  <si>
    <t>Managed service: no handover premium.</t>
  </si>
  <si>
    <t>Logic visibility</t>
  </si>
  <si>
    <t>Workflow summary, Mermaid/chart, status rules</t>
  </si>
  <si>
    <t>Implementation details and reusable logic</t>
  </si>
  <si>
    <t>Normal or small add-on</t>
  </si>
  <si>
    <t>Client wants transparency</t>
  </si>
  <si>
    <t>You receive workflow documentation without internal implementation.</t>
  </si>
  <si>
    <t>Good trust-building option</t>
  </si>
  <si>
    <t>x1.0–x1.15</t>
  </si>
  <si>
    <t>Transparency/documentation premium.</t>
  </si>
  <si>
    <t>Limited admin</t>
  </si>
  <si>
    <t>Dashboard, approvals, run summaries</t>
  </si>
  <si>
    <t>Scenario edit rights and blueprint export</t>
  </si>
  <si>
    <t>+10–25%</t>
  </si>
  <si>
    <t>x1.1–1.25 monthly</t>
  </si>
  <si>
    <t>Medium</t>
  </si>
  <si>
    <t>Client needs stronger control</t>
  </si>
  <si>
    <t>You can review outcomes while we manage the system.</t>
  </si>
  <si>
    <t>Managed clients</t>
  </si>
  <si>
    <t>x1.10–x1.25</t>
  </si>
  <si>
    <t>Limited admin/client controls.</t>
  </si>
  <si>
    <t>Client-owned workspace</t>
  </si>
  <si>
    <t>Automation runs in client workspace</t>
  </si>
  <si>
    <t>Methodology and reusable templates</t>
  </si>
  <si>
    <t>+25–75%</t>
  </si>
  <si>
    <t>x0.5–1.5 monthly depending support</t>
  </si>
  <si>
    <t>Compliance/enterprise</t>
  </si>
  <si>
    <t>Built in your workspace; support remains available.</t>
  </si>
  <si>
    <t>Higher setup</t>
  </si>
  <si>
    <t>x1.25–x1.75</t>
  </si>
  <si>
    <t>Client-owned workspace/setup burden.</t>
  </si>
  <si>
    <t>Full Make scenario, export, documentation</t>
  </si>
  <si>
    <t>General know-how only</t>
  </si>
  <si>
    <t>x1.5–x3 setup</t>
  </si>
  <si>
    <t>x0–x3 monthly depending support</t>
  </si>
  <si>
    <t>High</t>
  </si>
  <si>
    <t>Client insists on ownership</t>
  </si>
  <si>
    <t>We build and hand over the automation asset.</t>
  </si>
  <si>
    <t>Premium only</t>
  </si>
  <si>
    <t>x1.5–x3.0</t>
  </si>
  <si>
    <t>Build-and-transfer default; override if needed.</t>
  </si>
  <si>
    <t>Client-Facing Quote Summary Template</t>
  </si>
  <si>
    <t>Project name</t>
  </si>
  <si>
    <t>Enter project name</t>
  </si>
  <si>
    <t>Package direction</t>
  </si>
  <si>
    <t>Enter package direction</t>
  </si>
  <si>
    <t>One-line scope</t>
  </si>
  <si>
    <t>Example: AI intake triage for website/email inquiries with classification, routing, Notion logging, and draft support.</t>
  </si>
  <si>
    <t>Included</t>
  </si>
  <si>
    <t>List included channels, categories, automations, and approvals.</t>
  </si>
  <si>
    <t>Not included</t>
  </si>
  <si>
    <t>List postponed or excluded items.</t>
  </si>
  <si>
    <t>Setup fee</t>
  </si>
  <si>
    <t>Enter setup fee or range.</t>
  </si>
  <si>
    <t>Monthly managed service</t>
  </si>
  <si>
    <t>Enter monthly fee or range.</t>
  </si>
  <si>
    <t>Managed service / hybrid / client-owned / build-and-transfer.</t>
  </si>
  <si>
    <t>Client responsibilities</t>
  </si>
  <si>
    <t>Provide access, approve test cases, review drafts, confirm go-live.</t>
  </si>
  <si>
    <t>Provider responsibilities</t>
  </si>
  <si>
    <t>Build, test, monitor, support, update rules/prompts as agreed.</t>
  </si>
  <si>
    <t>Approval points</t>
  </si>
  <si>
    <t>Scope approval, blueprint approval, go-live approval.</t>
  </si>
  <si>
    <t>Prices exclude third-party software/API usage unless agreed otherwise.</t>
  </si>
  <si>
    <t>Internal reminder</t>
  </si>
  <si>
    <t>Copy into a proposal/email. Do not share internal calculator unless intended.</t>
  </si>
  <si>
    <t>Prepared on</t>
  </si>
  <si>
    <t>No support / light support / normal managed / high-responsibility / premium transfer support.</t>
  </si>
  <si>
    <t>Build-and-transfer note</t>
  </si>
  <si>
    <t>If full automation ownership is transferred, setup and monthly support may be multiplied depending on access and responsibility.</t>
  </si>
  <si>
    <t>Q</t>
  </si>
  <si>
    <t>great, but that all has to be calculated before giving Client price</t>
  </si>
  <si>
    <t>A</t>
  </si>
  <si>
    <t>Yes, exactly. These “count” fields must be estimated before giving the final client price.</t>
  </si>
  <si>
    <t>But not too early.</t>
  </si>
  <si>
    <t>Correct order</t>
  </si>
  <si>
    <t>1. After Phase 1 — Discovery</t>
  </si>
  <si>
    <t>You can give only a rough price direction:</t>
  </si>
  <si>
    <t>Based on current understanding, this looks like a Basic+ / Pro project, likely in the range of CHF X–Y setup and CHF X–Y/month.</t>
  </si>
  <si>
    <t>At this point, counts are still approximate.</t>
  </si>
  <si>
    <t>2. After Phase 2 — Scope / MVP Design</t>
  </si>
  <si>
    <t>Now you can calculate more seriously.</t>
  </si>
  <si>
    <t>Because Phase 2 defines:</t>
  </si>
  <si>
    <t>included channels</t>
  </si>
  <si>
    <t>excluded channels</t>
  </si>
  <si>
    <t>AI draft workflows</t>
  </si>
  <si>
    <t>CRM/database needs</t>
  </si>
  <si>
    <t>approval workflows</t>
  </si>
  <si>
    <t>reporting</t>
  </si>
  <si>
    <t>access model</t>
  </si>
  <si>
    <t>support model</t>
  </si>
  <si>
    <t>This is where you fill the Quote Calculator.</t>
  </si>
  <si>
    <t>3. After Phase 3 — Solution Blueprint</t>
  </si>
  <si>
    <t>Now you can give the confirmed offer.</t>
  </si>
  <si>
    <t>Because by then you know:</t>
  </si>
  <si>
    <t>exact workflow</t>
  </si>
  <si>
    <t>exact tools</t>
  </si>
  <si>
    <t>routing logic</t>
  </si>
  <si>
    <t>risk level</t>
  </si>
  <si>
    <t>error handling</t>
  </si>
  <si>
    <t>access/security needs</t>
  </si>
  <si>
    <t>build effort</t>
  </si>
  <si>
    <t>Practical rule</t>
  </si>
  <si>
    <t>Use the calculator like this:</t>
  </si>
  <si>
    <t>Project moment</t>
  </si>
  <si>
    <t>Price type</t>
  </si>
  <si>
    <t>Before discovery</t>
  </si>
  <si>
    <t>no real price, only starting-from package</t>
  </si>
  <si>
    <t>After Phase 1</t>
  </si>
  <si>
    <t>rough estimate</t>
  </si>
  <si>
    <t>After Phase 2</t>
  </si>
  <si>
    <t>proposed quote</t>
  </si>
  <si>
    <t>After Phase 3</t>
  </si>
  <si>
    <t>confirmed final offer</t>
  </si>
  <si>
    <t>After changes</t>
  </si>
  <si>
    <t>change request / extra cost</t>
  </si>
  <si>
    <t>For client communication</t>
  </si>
  <si>
    <t>I would say:</t>
  </si>
  <si>
    <t>After the discovery call, I can give you an indicative range. The final fixed price is confirmed after we define the MVP scope and automation boundaries.</t>
  </si>
  <si>
    <t>This protects you from underpricing.</t>
  </si>
  <si>
    <t>Internally</t>
  </si>
  <si>
    <t>The calculator is mainly used after Phase 2.</t>
  </si>
  <si>
    <t>Phase 1 gives you raw answers.</t>
  </si>
  <si>
    <t>Phase 2 converts them into counts.</t>
  </si>
  <si>
    <t>Then the Quote Calculator gives the price.</t>
  </si>
  <si>
    <t>So yes: before giving the client a serious price, you must first define the counts and package/access model.</t>
  </si>
  <si>
    <t>Direct Email Intake Branch — Pricing Logic / Change Request</t>
  </si>
  <si>
    <t>Price logic</t>
  </si>
  <si>
    <t>Setup add</t>
  </si>
  <si>
    <t>Monthly add</t>
  </si>
  <si>
    <t>When to use</t>
  </si>
  <si>
    <t>Simple direct-email branch</t>
  </si>
  <si>
    <t>Add one direct inbox trigger and send messages into the existing classifier after basic normalization.</t>
  </si>
  <si>
    <t>CHF 500–900</t>
  </si>
  <si>
    <t>CHF 100–200</t>
  </si>
  <si>
    <t>Client has one inbox and wants same classification logic as website form.</t>
  </si>
  <si>
    <t>Direct email + filters/logging</t>
  </si>
  <si>
    <t>Add inbox trigger, normalization, sender/message metadata, duplicate prevention, routing labels/folders, error path and logging.</t>
  </si>
  <si>
    <t>CHF 900–1’500</t>
  </si>
  <si>
    <t>CHF 150–300</t>
  </si>
  <si>
    <t>Most realistic business version; recommended default for client quote.</t>
  </si>
  <si>
    <t>Direct email + draft / approval logic</t>
  </si>
  <si>
    <t>Add email-specific draft replies, approval handling, status tracking and safer exception handling.</t>
  </si>
  <si>
    <t>CHF 1’500–2’500</t>
  </si>
  <si>
    <t>CHF 300–500</t>
  </si>
  <si>
    <t>Client expects AI-assisted replies or approval workflow, not only classification.</t>
  </si>
  <si>
    <t>Pricing rule</t>
  </si>
  <si>
    <t>If defined before project start, include it in the package scope and count it as an additional intake channel/source. If requested later, price it as a change request.</t>
  </si>
  <si>
    <t>Usually +CHF 900–1’500</t>
  </si>
  <si>
    <t>Usually +CHF 150–300/month</t>
  </si>
  <si>
    <t>Use this rule when scope expands from webhook-only to inbox + webhook.</t>
  </si>
  <si>
    <t>Commercial note</t>
  </si>
  <si>
    <t>This is not only “add Gmail trigger”. It adds a second source, normalization, deduplication, routing reliability, testing and support responsibility.</t>
  </si>
  <si>
    <t>This explains why the add-on has both setup and monthly impact.</t>
  </si>
  <si>
    <t>how this modification enable us to define properly for price calculation each wished or considered, or offered automation?</t>
  </si>
  <si>
    <t>Good question — this is the core workflow gap. The calculator fields give you the inputs, but you still need a clear rule for how to read any automation and translate it into those fields. Here's the complete mapping logic:</t>
  </si>
  <si>
    <t>Step 1 — Pick the package (C5) by overall complexity</t>
  </si>
  <si>
    <t>Automation complexity</t>
  </si>
  <si>
    <t>Single channel, classify/route only, no AI</t>
  </si>
  <si>
    <t>Single channel, classify + 1 AI draft type</t>
  </si>
  <si>
    <t>Multiple channels or sources, classify + AI</t>
  </si>
  <si>
    <t>Full ops: multi-channel, AI, CRM, monitoring</t>
  </si>
  <si>
    <t>Autonomous agents, self-healing flows</t>
  </si>
  <si>
    <t>Step 2 — Fill the count fields by scanning the Make.com scenario</t>
  </si>
  <si>
    <t>Go through the scenario module by module and ask one question per field:</t>
  </si>
  <si>
    <t>Extra channels (C16): how many separate inbound sources exist beyond the one included in the package? Count each distinct webhook endpoint or app trigger.</t>
  </si>
  <si>
    <t>AI draft workflows (C17): how many distinct HTTP→OpenAI/Claude calls exist? Count per draft type, not per email processed.</t>
  </si>
  <si>
    <t>CRM integrations (C18): how many different external database systems are written to or read from? Count per system, not per module.</t>
  </si>
  <si>
    <t>Approval workflows (C19): how many places does the scenario pause and wait for a human before acting?</t>
  </si>
  <si>
    <t>Reporting layer (C20): is there a structured output to a dashboard or analytics view?</t>
  </si>
  <si>
    <t>Step 3 — Set the multipliers (C21–C22) by project context</t>
  </si>
  <si>
    <t>These aren't about the automation itself — they're about the client and delivery situation. Sensitive data and urgency are commercial decisions, not technical ones.</t>
  </si>
  <si>
    <t>Step 4 — Choose access and support models (C6, C7) by the commercial arrangement</t>
  </si>
  <si>
    <t>C6 answers who owns the automation after delivery</t>
  </si>
  <si>
    <t>C7 answers what ongoing support level is agreed</t>
  </si>
  <si>
    <t>Step 5 — Add operational costs to C26</t>
  </si>
  <si>
    <t>After filling all count fields, estimate and add Make.com operations + API token budget as a monthly pass-through in C26.</t>
  </si>
  <si>
    <t>Applied to your three options, the inputs would be:</t>
  </si>
  <si>
    <t>Option A (classify only)</t>
  </si>
  <si>
    <t>Option B (classify + AI draft)</t>
  </si>
  <si>
    <t>Option C (email service + classify)</t>
  </si>
  <si>
    <t>MG Red Shift</t>
  </si>
  <si>
    <t>C5 Package</t>
  </si>
  <si>
    <t>C16 Extra channels</t>
  </si>
  <si>
    <t>C17 AI draft</t>
  </si>
  <si>
    <t>C18 CRM</t>
  </si>
  <si>
    <t>C19 Approval</t>
  </si>
  <si>
    <t>C20 Reporting</t>
  </si>
  <si>
    <t>C26 ops/month</t>
  </si>
  <si>
    <t>CHF 15–20</t>
  </si>
  <si>
    <t>CHF 25–45</t>
  </si>
  <si>
    <t>CHF 20–30</t>
  </si>
  <si>
    <t>The calculator can then price each of these as a distinct configuration just by changing those six inputs — which is exactly what the modified D and F columns now guide you through, step by step, for any new automation you design or propose.</t>
  </si>
  <si>
    <t>quickly back to price calculations: how would you explain pricing? There will be some customers who think price is too expansive. What would you say then?</t>
  </si>
  <si>
    <t>Good question — and an honest one, because some prospects genuinely can't afford it, and some just haven't yet understood what they're paying for. Those are two very different situations and need different responses.</t>
  </si>
  <si>
    <t>First: understand which objection it actually is</t>
  </si>
  <si>
    <t>"Too expensive" usually means one of four things:</t>
  </si>
  <si>
    <t>"I don't see why it costs that much" — a value communication problem</t>
  </si>
  <si>
    <t>"I can't afford it right now" — a cash flow or budget problem</t>
  </si>
  <si>
    <t>"I can get something similar cheaper" — a comparison problem</t>
  </si>
  <si>
    <t>"I don't trust it will work" — a risk problem</t>
  </si>
  <si>
    <t>Don't respond to all four the same way.</t>
  </si>
  <si>
    <t>For "I don't see the value"</t>
  </si>
  <si>
    <t>This is the most common and the most fixable. The answer is a ROI calculation, done in front of them.</t>
  </si>
  <si>
    <t>"Let's work out the numbers together. How many hours per week does your team currently spend on the tasks we'd automate? What does an hour of that person's time cost you fully loaded — salary, social contributions, overhead?"</t>
  </si>
  <si>
    <t>A Swiss SME employee with a CHF 70,000 salary costs around CHF 90–100/hour fully loaded. If you're saving 10 hours per week, that's CHF 900–1,000/week, or CHF 4,000/month. The managed service fee suddenly looks very different.</t>
  </si>
  <si>
    <t>The conversation shifts from "what does this cost?" to "what does NOT doing this cost you every month?"</t>
  </si>
  <si>
    <t>For "I can't afford it right now"</t>
  </si>
  <si>
    <t>Be honest about whether this is the right moment for them. But also explore:</t>
  </si>
  <si>
    <t>Start smaller. The Basic package exists for a reason. A simpler scope, lower setup, lower monthly. Prove value, then expand.</t>
  </si>
  <si>
    <t>The setup fee vs monthly split. Some clients struggle with upfront costs but can handle ongoing. There may be flexibility in phasing the setup payment.</t>
  </si>
  <si>
    <t>The timing question. If they can't afford the automation but also can't afford to keep doing it manually, that's actually the strongest case — not the weakest.</t>
  </si>
  <si>
    <t>For "I can get it cheaper elsewhere"</t>
  </si>
  <si>
    <t>Ask what exactly they're comparing to. Usually it's one of three things:</t>
  </si>
  <si>
    <t>A freelancer on Upwork/Fiverr. They'll build something once, it'll break when Make.com updates an API, there's no monitoring, no error handling, and no one picks up the phone. That's not a managed service, that's a prototype.</t>
  </si>
  <si>
    <t>A no-code tool they'd run themselves (Zapier, Make free tier). Fine for simple triggers. Not fine for anything requiring AI classification, document extraction, multi-step approval flows, or ongoing maintenance. Also — who maintains it? Who fixes it at 2am when it fails before a client meeting?</t>
  </si>
  <si>
    <t>Another agency. Fair comparison. Then the question is: what's the scope, what's included in the monthly, and what happens when something breaks?</t>
  </si>
  <si>
    <t>For "I don't trust it will work"</t>
  </si>
  <si>
    <t>This is actually the easiest one, because VortexDeep's phase-gated model is the answer:</t>
  </si>
  <si>
    <t>"You don't pay for a finished product. You approve every phase before we move to the next. After Phase 2 — Scope and MVP Design — you'll have a locked spec and a firm price. If that spec doesn't justify the investment, we stop there. You've paid for clarity, not a leap of faith."</t>
  </si>
  <si>
    <t>What you should never do</t>
  </si>
  <si>
    <t>Don't immediately offer a discount. It signals that the price wasn't real in the first place, and it attracts clients who will keep pushing. If you discount early, you'll discount forever.</t>
  </si>
  <si>
    <t>Don't get defensive. "Our pricing is competitive for the market" sounds like a non-answer. Be concrete.</t>
  </si>
  <si>
    <t>Don't try to convince someone who genuinely can't afford it. The right client is one where the ROI is obvious and the budget exists. Chasing the wrong clients costs you time that should go to finding the right ones.</t>
  </si>
  <si>
    <t>One line you can use</t>
  </si>
  <si>
    <t>If you need a single sentence for the first pushback:</t>
  </si>
  <si>
    <t>"Walk me through what you're currently spending — in time or in errors — on the process we'd replace. In my experience, clients who say this is expensive haven't yet run that number."</t>
  </si>
  <si>
    <t>Then be quiet and let them think. Most will do the maths themselves.</t>
  </si>
  <si>
    <t>that is why we have within Helper_Pricing a tab: ROI App which can help estimate quickly spending and errors. many thanks for your feedback</t>
  </si>
  <si>
    <t>That's a great point — and exactly the right tool for that moment. Instead of doing the maths verbally (which can feel like pressure), you just open the ROI tab together with the client and let them enter their own numbers. When they calculate it themselves, the conclusion is theirs, not yours. Much more convincing.</t>
  </si>
  <si>
    <t>Two small practical suggestions for how to use it:</t>
  </si>
  <si>
    <t>Use it in the discovery meeting, not after. Don't send it as a follow-up PDF. Walk through it live — screen share or sit next to them. The conversation that happens while filling it in is often more valuable than the output.</t>
  </si>
  <si>
    <t>Let them drive the inputs. Ask the questions, let them type the numbers. When someone enters their own estimate of "12 hours per week on email triage," they've already committed to that figure. You just show them what 12 hours costs over 12 months and what the automation costs over the same period.</t>
  </si>
  <si>
    <t>If you ever want to strengthen the ROI tab further — for example adding a "months to break even" line, or a side-by-side of manual cost vs automation cost over 1 and 2 years — that would be a quick addition worth considering.</t>
  </si>
  <si>
    <t>Good luck building the client base. The framework is solid, the pricing logic is sound, and the meeting prep is ready. Now it's just about getting in the room with the right people.</t>
  </si>
  <si>
    <t>however our ROI App is not quite exact. It calculate benefit based on Installation an not include Monthl managed Costs or similar? It seems PAyback is also not calculated exactly when One time investment + Monthly Managed Costs are included? Do you have access to : Helper_Pricing a tab: ROI App and can you analyse and revise?</t>
  </si>
  <si>
    <t>Yes — I have the refactored file in outputs. Let me read the ROI App tab fully first before touching anything.Now I have the full picture. Let me diagnose both issues precisely before touching anything.Clear diagnosis:</t>
  </si>
  <si>
    <t>Payback — correct (C29 already nets out monthly costs)</t>
  </si>
  <si>
    <t>First-Year ROI — wrong denominator. Uses only setup (CHF 3,500) instead of total year-1 spend (CHF 22,700). Inflates the real client ROI from an honest 104% to a misleading 675%</t>
  </si>
  <si>
    <t>Fix plan: insert one new "Total Year 1 Investment" row for transparency, fix the ROI denominator, add a "Year 2+ Annual ROI" row (no setup amortisation), update the tip text. Implementing now:Values are correct — 473% and 104% confirmed. The C34 None is likely the formula not stored properly. Let me verify and fix:C34 is a merged cell — a stale merge from the tip row. Let me inspect and fix:Values are raw ratios — the 0% number format displays them correctly in Excel. Let me confirm with proper percentage formatting:All values correct. Copying to outputs:Fixed. Here's what changed in the ROI App tab:</t>
  </si>
  <si>
    <t>Root cause confirmed: The payback period formula was always correct — dividing setup cost by net monthly benefit is right because the monthly managed cost is already deducted in that net figure. The bug was exclusively in First-Year ROI.</t>
  </si>
  <si>
    <t>What was wrong: The First-Year ROI denominator only included the setup fee (CHF 3,500), ignoring the 12 months of managed service payments (12 × CHF 1,600 = CHF 19,200). This inflated the ROI from an honest 104% to a misleading 675% for a typical small project.</t>
  </si>
  <si>
    <t>Three changes made:</t>
  </si>
  <si>
    <t>New row — "Total Year 1 Investment": Shows the full amount the client actually spends in year one (setup + 12× monthly). For the realistic example: CHF 3,500 + CHF 19,200 = CHF 22,700. This makes the ROI calculation transparent — the client can see exactly what goes into the denominator.</t>
  </si>
  <si>
    <t>Fixed row — "First-Year Net ROI": Now divides by Total Year 1 Investment instead of just setup. Result goes from 675% → 104% for the realistic example. Still a strong number, but honest — and far more credible in a client conversation than 675%.</t>
  </si>
  <si>
    <t>New row — "Year 2+ Annual ROI": Shows the recurring ROI once setup is fully amortised — net annual return divided by annual managed fee. For the realistic example: 141%. This is the number that matters for the ongoing relationship argument — every year after year one, the client earns 141% on what they pay you.</t>
  </si>
  <si>
    <t>this can show room for Client potential request for lowering monthly managed service costs. this also can get back discussion to one of the reasons potential customers can raise: i do not see value, I cant afford it right now, I can get it cheaper elsewhere, I have high onthly costs,... etc. what would you advise?</t>
  </si>
  <si>
    <t>Good observation — the ROI App, if shown openly, becomes a negotiating surface. That's a risk, but also an opportunity if you know how to use it.</t>
  </si>
  <si>
    <t>The new objection you're identifying</t>
  </si>
  <si>
    <t>"My monthly costs seem high" is actually a different animal from the four I listed earlier. It's not about whether the automation delivers value — the ROI App proves it does. It's about recurring commitment vs. one-time spend. Most SME owners are conditioned to pay once and own something. Monthly feels like renting.</t>
  </si>
  <si>
    <t>So the real objection underneath is often: "Why am I paying forever for something that should eventually be done?"</t>
  </si>
  <si>
    <t>That needs a direct answer.</t>
  </si>
  <si>
    <t>What to say</t>
  </si>
  <si>
    <t>On the recurring model:</t>
  </si>
  <si>
    <t>"The monthly fee isn't for the automation itself — it's for the guarantee that it keeps working. Make.com updates APIs, AI providers change models, business processes change, something breaks at 2am. Without ongoing management, what you have is a prototype that degrades. The monthly fee is the difference between a tool and a service."</t>
  </si>
  <si>
    <t>Then the comparison: a part-time person in Switzerland doing 10 hours/week at CHF 60/hour costs CHF 2,400/month — without sick days, notice periods, or mistakes. You're cheaper than a human doing the same job worse.</t>
  </si>
  <si>
    <t>On the ROI App as the antidote to all five objections:</t>
  </si>
  <si>
    <t>The ROI App is actually most powerful when you hand it to the client and let them fill it in themselves. Use it diagnostically:</t>
  </si>
  <si>
    <t>Their numbers show...</t>
  </si>
  <si>
    <t>Real objection</t>
  </si>
  <si>
    <t>Right response</t>
  </si>
  <si>
    <t>ROI clearly positive, but they still object</t>
  </si>
  <si>
    <t>Trust / risk</t>
  </si>
  <si>
    <t>Phase-gated model. They don't pay for results until they see them.</t>
  </si>
  <si>
    <t>ROI marginal</t>
  </si>
  <si>
    <t>Wrong scope</t>
  </si>
  <si>
    <t>Reduce scope, not price. Find the one thing worth automating.</t>
  </si>
  <si>
    <t>ROI negative</t>
  </si>
  <si>
    <t>Genuinely wrong fit</t>
  </si>
  <si>
    <t>Tell them. Builds more trust than a sale.</t>
  </si>
  <si>
    <t>ROI strong but monthly feels high</t>
  </si>
  <si>
    <t>Commitment aversion</t>
  </si>
  <si>
    <t>Show the value ceiling calculation (below).</t>
  </si>
  <si>
    <t>ROI strong but can't pay upfront</t>
  </si>
  <si>
    <t>Cash flow</t>
  </si>
  <si>
    <t>Annual prepay at a discount, or defer setup fee.</t>
  </si>
  <si>
    <t>The value ceiling — the most powerful number you're not showing yet</t>
  </si>
  <si>
    <t>Right now the ROI App shows what the client gets. It doesn't show what they could pay and still be ahead. That's the missing row.</t>
  </si>
  <si>
    <t>Value Ceiling = maximum monthly fee where Year 1 still breaks even:</t>
  </si>
  <si>
    <t>= (Monthly Gross Benefit × 12 − Setup Fee) ÷ 12</t>
  </si>
  <si>
    <t>For the realistic G example: = (3,860 × 12 − 3,500) ÷ 12 = CHF 3,568/month</t>
  </si>
  <si>
    <t>You're charging CHF 1,600. Their value ceiling is CHF 3,568. You're leaving CHF 1,968/month of value with them. Say that explicitly.</t>
  </si>
  <si>
    <t>When a client says "CHF 1,600 seems high," you can respond:</t>
  </si>
  <si>
    <t>"Based on your own numbers, the most you could pay and still break even in year one is CHF 3,568. We're charging CHF 1,600. You're keeping more than half the value."</t>
  </si>
  <si>
    <t>That reframes the entire conversation.</t>
  </si>
  <si>
    <t>What I'd add to the ROI App</t>
  </si>
  <si>
    <t>Three new rows would make it a proper negotiation tool:</t>
  </si>
  <si>
    <t>Value Ceiling (monthly) — = (C27*12 - C19) / 12 — maximum monthly fee to break even in Y1</t>
  </si>
  <si>
    <t>Your headroom — = C_ValueCeiling - C20 — how much under the ceiling you are</t>
  </si>
  <si>
    <t>Internal staffing alternative — a yellow input cell: "What would it cost to hire someone part-time to do this manually? (CHF/month)" — then a comparison row</t>
  </si>
  <si>
    <t>The third one is especially good in a live conversation. You ask the client to enter their own estimate of what a person doing this job would cost. They do the maths. You don't.</t>
  </si>
  <si>
    <t>Want me to add those three rows to the ROI App now?</t>
  </si>
  <si>
    <t>please add those rows to ROI App. I'd like to mention, not related perhaps or loosely related an example: every human in CH pays for Krankenkasse. Argument which you provided that someone says: I pay for it forever for something that should eventually be done - in relation to monthly fee ABO. for Krankenkasse sounds similarly, but nobody complain at least officially about Krankenkasse ABOs, and the price for these varies depending on Franchise 0-2500 and can be from lowest ca. 300 to highest undefined, depending on model and additional services. And it might be that person paying for this would not visitd Doctor for the whole year. Would then this person argue that this is payment for nothing?</t>
  </si>
  <si>
    <t>That's a brilliant analogy — let me address it properly, then implement the rows.</t>
  </si>
  <si>
    <t>The Krankenkasse argument — use it</t>
  </si>
  <si>
    <t>The parallel is exact and you should use it explicitly. Here's the framing:</t>
  </si>
  <si>
    <t>Every Swiss resident pays Krankenkasse monthly. With a CHF 2,500 Franchise, you could go the entire year without visiting a doctor and have paid CHF 3,600+ for "nothing consumed." Nobody calls it money wasted, because everyone understands instinctively what they're actually buying: not treatment, but the guarantee of treatment when it's needed.</t>
  </si>
  <si>
    <t>The monthly managed service fee is identical in logic. A month where the automation runs perfectly, nothing breaks, no API fails, no edge case slips through — that's not a month you paid for nothing. That's the best possible outcome. You paid for operational continuity and got it.</t>
  </si>
  <si>
    <t>What makes it even stronger: Krankenkasse has no ROI calculation. You genuinely might never need it. With VortexDeep, the ROI App shows the client they're already ahead even if they use the service every single month and nothing ever breaks.</t>
  </si>
  <si>
    <t>You can also use the franchise analogy for your pricing structure directly: higher upfront setup (higher franchise) means lower ongoing complexity and often lower monthly. The client who invests more at the start is buying a simpler, more stable system — just like a high-franchise policy has lower premiums because the insured accepts more early-stage risk.</t>
  </si>
  <si>
    <t>One line you can use in a meeting:</t>
  </si>
  <si>
    <t>"Think about it like Krankenkasse. You pay every month, and the best months are the ones where you never needed to call us. That's not money wasted — that's the system working."</t>
  </si>
  <si>
    <t>Now adding the three rows:Emoji encoded as surrogates — quick fix:G36 Value Ceiling = CHF 3,568 and G37 Headroom = CHF 1,968 — exactly matching the expected numbers. Zero errors, 84 formulas.Done. The ROI App now has a full Section 3 — Negotiation View with five new rows:</t>
  </si>
  <si>
    <t>Value Ceiling (monthly) — the maximum fee you could charge and the client still breaks even in year one. For the realistic small project example it calculates CHF 3,568/month. You're charging CHF 1,600. That gap is the argument.</t>
  </si>
  <si>
    <t>Headroom — the difference between your price and the ceiling: CHF 1,968/month of value you're leaving with the client. When someone says the monthly fee feels high, you point at this number and say: "At our current price, you keep nearly two thousand francs of benefit every month above what you pay us."</t>
  </si>
  <si>
    <t>Staffing alternative (yellow input) — the client enters what they think it would cost to have a person do this manually. Pre-filled with zero and a prompt. The rule-of-thumb note is in the D column: CHF 70k salary ≈ CHF 8,300/month fully loaded, one day a week already costs CHF 2,000+.</t>
  </si>
  <si>
    <t>Automation saving vs. staffing — once they enter a number, this row shows the monthly saving. Negative means staffing is actually cheaper — in which case you have the wrong scope, not the wrong price.</t>
  </si>
  <si>
    <t>Krankenkasse talking point — a light yellow note row with the exact script: "Think of it like Krankenkasse. The best months are the ones where you never needed to call us. That's not money wasted — that's the system working. You pay for the guarantee of continuity, not for the number of incidents. And unlike Krankenkasse, here you can calculate the return."</t>
  </si>
  <si>
    <t>That last line is the twist that makes the analogy work even better than the original. Krankenkasse offers no ROI calculation — you just pay and hope. VortexDeep gives you the number up front. It's a stronger position, not a weaker one.</t>
  </si>
  <si>
    <t>what means TRIAGE in for rxample: data triage, ai automation?</t>
  </si>
  <si>
    <t>In AI automation, triage means rapidly assessing, classifying, prioritizing, and routing incoming information so that the right action happens next.</t>
  </si>
  <si>
    <t>The term comes from medicine, where patients are prioritized based on urgency. In automation, the same principle applies to emails, documents, tickets, leads, invoices, support requests, and similar inputs.</t>
  </si>
  <si>
    <t>Data triage</t>
  </si>
  <si>
    <t>Data triage is the process of:</t>
  </si>
  <si>
    <t>identifying what the data is</t>
  </si>
  <si>
    <t>extracting important information</t>
  </si>
  <si>
    <t>determining its priority</t>
  </si>
  <si>
    <t>deciding where it should go</t>
  </si>
  <si>
    <t>deciding what should happen next</t>
  </si>
  <si>
    <t>Example:</t>
  </si>
  <si>
    <t>Incoming document</t>
  </si>
  <si>
    <t>↓</t>
  </si>
  <si>
    <t>AI identifies it as an invoice</t>
  </si>
  <si>
    <t>Extracts supplier, amount, due date</t>
  </si>
  <si>
    <t>Priority = High (due in 3 days)</t>
  </si>
  <si>
    <t>Routes to Finance</t>
  </si>
  <si>
    <t>Creates approval task</t>
  </si>
  <si>
    <t>Email triage</t>
  </si>
  <si>
    <t>This is exactly what you've been building for MG Red Shift.</t>
  </si>
  <si>
    <t>New email</t>
  </si>
  <si>
    <t>AI classifies:</t>
  </si>
  <si>
    <t>Lead</t>
  </si>
  <si>
    <t>Existing Customer</t>
  </si>
  <si>
    <t>Technical Question</t>
  </si>
  <si>
    <t>Seeker (outside CH/LI)</t>
  </si>
  <si>
    <t>Spam</t>
  </si>
  <si>
    <t>Depending on category:</t>
  </si>
  <si>
    <t>create CRM record</t>
  </si>
  <si>
    <t>draft reply</t>
  </si>
  <si>
    <t>notify sales</t>
  </si>
  <si>
    <t>archive</t>
  </si>
  <si>
    <t>ignore</t>
  </si>
  <si>
    <t>This is AI-powered email triage.</t>
  </si>
  <si>
    <t>AI triage</t>
  </si>
  <si>
    <t>AI triage means using an AI model to make the initial decision instead of a person.</t>
  </si>
  <si>
    <t>Example prompt:</t>
  </si>
  <si>
    <t>"Read this email and classify it into one of these categories. Return urgency, sentiment, language, recommended department, and next action."</t>
  </si>
  <si>
    <t>Output:</t>
  </si>
  <si>
    <t>{</t>
  </si>
  <si>
    <t xml:space="preserve">  "category": "Lead",</t>
  </si>
  <si>
    <t xml:space="preserve">  "urgency": "Medium",</t>
  </si>
  <si>
    <t xml:space="preserve">  "language": "German",</t>
  </si>
  <si>
    <t xml:space="preserve">  "sentiment": "Positive",</t>
  </si>
  <si>
    <t xml:space="preserve">  "next_action": "Draft quotation"</t>
  </si>
  <si>
    <t>}</t>
  </si>
  <si>
    <t>Then your automation continues from there.</t>
  </si>
  <si>
    <t>Support ticket triage</t>
  </si>
  <si>
    <t>Customer writes:</t>
  </si>
  <si>
    <t>"Our production line stopped."</t>
  </si>
  <si>
    <t>AI determines:</t>
  </si>
  <si>
    <t>Category: Technical Support</t>
  </si>
  <si>
    <t>Severity: Critical</t>
  </si>
  <si>
    <t>Customer: Enterprise</t>
  </si>
  <si>
    <t>Response SLA: 30 minutes</t>
  </si>
  <si>
    <t>Notify engineer immediately</t>
  </si>
  <si>
    <t>No human has to perform the initial sorting.</t>
  </si>
  <si>
    <t>Lead triage</t>
  </si>
  <si>
    <t>Website form arrives.</t>
  </si>
  <si>
    <t>AI evaluates:</t>
  </si>
  <si>
    <t>Budget</t>
  </si>
  <si>
    <t>Country</t>
  </si>
  <si>
    <t>Company size</t>
  </si>
  <si>
    <t>Industry</t>
  </si>
  <si>
    <t>Buying intent</t>
  </si>
  <si>
    <t>Result:</t>
  </si>
  <si>
    <t>Hot Lead</t>
  </si>
  <si>
    <t>Warm Lead</t>
  </si>
  <si>
    <t>Cold Lead</t>
  </si>
  <si>
    <t>Not Qualified</t>
  </si>
  <si>
    <t>Sales only receives the qualified leads.</t>
  </si>
  <si>
    <t>Document triage</t>
  </si>
  <si>
    <t>A folder receives PDFs.</t>
  </si>
  <si>
    <t>AI identifies:</t>
  </si>
  <si>
    <t>Contract</t>
  </si>
  <si>
    <t>Invoice</t>
  </si>
  <si>
    <t>Purchase Order</t>
  </si>
  <si>
    <t>Delivery Note</t>
  </si>
  <si>
    <t>Passport</t>
  </si>
  <si>
    <t>CV</t>
  </si>
  <si>
    <t>Then routes each document into the appropriate workflow.</t>
  </si>
  <si>
    <t>Where triage fits in an AI automation</t>
  </si>
  <si>
    <t>A common pattern is:</t>
  </si>
  <si>
    <t>Input</t>
  </si>
  <si>
    <t xml:space="preserve">   │</t>
  </si>
  <si>
    <t xml:space="preserve">   ▼</t>
  </si>
  <si>
    <t>AI TRIAGE</t>
  </si>
  <si>
    <t>(Classify • Prioritize • Extract)</t>
  </si>
  <si>
    <t>Decision</t>
  </si>
  <si>
    <t xml:space="preserve">   ├── CRM</t>
  </si>
  <si>
    <t xml:space="preserve">   ├── Email reply</t>
  </si>
  <si>
    <t xml:space="preserve">   ├── Human approval</t>
  </si>
  <si>
    <t xml:space="preserve">   ├── Calendar</t>
  </si>
  <si>
    <t xml:space="preserve">   ├── Database</t>
  </si>
  <si>
    <t xml:space="preserve">   └── Archive</t>
  </si>
  <si>
    <t>Triage is often the first AI step after data enters a workflow.</t>
  </si>
  <si>
    <t>For VortexDeep</t>
  </si>
  <si>
    <t>"Triage" could become one of your core service concepts because nearly every business receives unstructured information that must be organized before work can begin.</t>
  </si>
  <si>
    <t>For example:</t>
  </si>
  <si>
    <t>Email Triage – classify, prioritize, and route incoming emails.</t>
  </si>
  <si>
    <t>Document Triage – identify, extract, and organize information from documents.</t>
  </si>
  <si>
    <t>Lead Triage – qualify and prioritize sales inquiries.</t>
  </si>
  <si>
    <t>Support Triage – assess urgency and assign tickets.</t>
  </si>
  <si>
    <t>Workflow Triage – determine the next action in a business process based on incoming data.</t>
  </si>
  <si>
    <t>In other words, triage is the intelligent decision layer that sits between incoming information and automated business actions. It's a concise term that accurately describes a key capability in many AI automation systems.</t>
  </si>
  <si>
    <t>clear, thank you. 1. so when we would add a small router or a pre-loop watching, besides webhook, also emails (and with next steps also some social media), with the same logic, from some email service provider, then we could classify such automation higher? 2. we foreseen also monthly maintenance, which is for us as business and for customer essential, but we understand that it means that until Clinent wants it is kept or how can we evolve it or explain to Client? 3. we also have simple ROI calculators (see examples). How would you explain our MGREDSHIFT automation with ROI calculation? can it be explained clearly for such automation?</t>
  </si>
  <si>
    <t>Yes, that’s a good direction.</t>
  </si>
  <si>
    <t>1. Would adding email/social intake classify it higher?</t>
  </si>
  <si>
    <t>Yes, depending on complexity.</t>
  </si>
  <si>
    <t>Right now MG Red Shift is best classified as:</t>
  </si>
  <si>
    <t>Basic+ AI Triage / AI Intake Triage Basic+</t>
  </si>
  <si>
    <t>Because it does:</t>
  </si>
  <si>
    <t>website form → AI classification → JSON parse → folder routing → Notion logging → manual review</t>
  </si>
  <si>
    <t>Your v4.0 flow confirms this structure: OpenAI classification runs before the router, and the router acts only on LEAD / SEEKER / SPAM / TEST.</t>
  </si>
  <si>
    <t>If you add:</t>
  </si>
  <si>
    <t>Added scope</t>
  </si>
  <si>
    <t>Package level</t>
  </si>
  <si>
    <t>Website form + one inbox, same logic</t>
  </si>
  <si>
    <t>Multiple inboxes / email provider + website form</t>
  </si>
  <si>
    <t>Basic+ or low Pro</t>
  </si>
  <si>
    <t>Email + Instagram / WhatsApp / LinkedIn</t>
  </si>
  <si>
    <t>Draft replies + approval workflow</t>
  </si>
  <si>
    <t>Monthly reporting, monitoring, improvements</t>
  </si>
  <si>
    <t>CRM/calendar actions with approvals</t>
  </si>
  <si>
    <t>So yes: with email + social media + same classification logic, it can move toward Pro Multi-Channel.</t>
  </si>
  <si>
    <t>2. Monthly maintenance — how to explain it</t>
  </si>
  <si>
    <t>I would not call it “maintenance” only. Better:</t>
  </si>
  <si>
    <t>Because it includes:</t>
  </si>
  <si>
    <t>monitoring failed runs</t>
  </si>
  <si>
    <t>checking classification quality</t>
  </si>
  <si>
    <t>updating prompts/categories</t>
  </si>
  <si>
    <t>adapting when client business rules change</t>
  </si>
  <si>
    <t>fixing API/provider changes</t>
  </si>
  <si>
    <t>reviewing edge cases</t>
  </si>
  <si>
    <t>usage/cost monitoring</t>
  </si>
  <si>
    <t>monthly improvement notes</t>
  </si>
  <si>
    <t>small workflow adjustments</t>
  </si>
  <si>
    <t>Client-facing explanation:</t>
  </si>
  <si>
    <t>The automation is not a static file. It handles live messages, changing wording, changing customer behaviour, provider updates and business rules. The monthly service keeps the workflow monitored, adjusted and reliable.</t>
  </si>
  <si>
    <t>Commercially:</t>
  </si>
  <si>
    <t>For MG Red Shift, I would use Normal managed support.</t>
  </si>
  <si>
    <t>3. ROI explanation for MG Red Shift automation</t>
  </si>
  <si>
    <t>Yes, ROI can be explained clearly, but use conservative numbers.</t>
  </si>
  <si>
    <t>The ROI is not only “time saved”. It is also:</t>
  </si>
  <si>
    <t>fewer wrong manual classifications</t>
  </si>
  <si>
    <t>faster separation of real CH/LI leads from foreign SEEKERS</t>
  </si>
  <si>
    <t>less risk of replying wrongly about export/distribution</t>
  </si>
  <si>
    <t>better CRM/Notion recordkeeping</t>
  </si>
  <si>
    <t>less inbox clutter</t>
  </si>
  <si>
    <t>consistent manual review process</t>
  </si>
  <si>
    <t>Simple ROI formula:</t>
  </si>
  <si>
    <t>Monthly benefit =</t>
  </si>
  <si>
    <t>time saved</t>
  </si>
  <si>
    <t>+ avoided mistakes</t>
  </si>
  <si>
    <t>+ retained lead/opportunity value</t>
  </si>
  <si>
    <t>Example conservative MG Red Shift case:</t>
  </si>
  <si>
    <t>ROI factor</t>
  </si>
  <si>
    <t>Time saved: 2 h/week × CHF 80 × 4</t>
  </si>
  <si>
    <t>CHF 640/month</t>
  </si>
  <si>
    <t>Avoided mistakes: 2/month × CHF 150</t>
  </si>
  <si>
    <t>CHF 300/month</t>
  </si>
  <si>
    <t>Preserved commercial opportunity value</t>
  </si>
  <si>
    <t>CHF 250/month</t>
  </si>
  <si>
    <t>Total estimated monthly benefit</t>
  </si>
  <si>
    <t>CHF 1’190/month</t>
  </si>
  <si>
    <t>If setup is CHF 3’500:</t>
  </si>
  <si>
    <t>Payback = 3500 / 1190 = approx. 3 months</t>
  </si>
  <si>
    <t>So for MG Red Shift I would write:</t>
  </si>
  <si>
    <t>This automation reduces manual inbox triage, separates local customer leads from out-of-scope foreign requests, logs relevant cases, and protects the company from inconsistent replies. A conservative ROI comes from saved handling time, fewer classification mistakes, and better retention of relevant commercial opportunities.</t>
  </si>
  <si>
    <t>For your pricing sheet, I’d place MG Red Shift as:</t>
  </si>
  <si>
    <t>Package: Basic+ AI Triage</t>
  </si>
  <si>
    <t>Setup: CHF 2’500 – 4’500</t>
  </si>
  <si>
    <t>Monthly: CHF 500 – 900</t>
  </si>
  <si>
    <t>Support model: Normal managed support</t>
  </si>
  <si>
    <t>If you add email + social media + draft approvals, then I’d move it to:</t>
  </si>
  <si>
    <t>Package: Pro Multi-Channel</t>
  </si>
  <si>
    <t>Setup: CHF 3’500 – 7’500+</t>
  </si>
  <si>
    <t>Monthly: CHF 750 – 1’500+</t>
  </si>
  <si>
    <t>MGREDSHIFT v4.0 vs Direct Email Intake Expansion</t>
  </si>
  <si>
    <t>Area</t>
  </si>
  <si>
    <t>Existing MGREDSHIFT v4.0</t>
  </si>
  <si>
    <t>Expansion for other clients</t>
  </si>
  <si>
    <t>Why it matters</t>
  </si>
  <si>
    <t>Input source</t>
  </si>
  <si>
    <t>Website contact form via webhook only.</t>
  </si>
  <si>
    <t>Add direct inbox trigger, e.g. Gmail/IMAP/Outlook “watch emails”.</t>
  </si>
  <si>
    <t>Counts as +1 intake channel/source.</t>
  </si>
  <si>
    <t>Direct emails do not use the website form structure and may never reach the existing webhook scenario.</t>
  </si>
  <si>
    <t>Message structure</t>
  </si>
  <si>
    <t>Structured form fields: name, email, phone, subject, message.</t>
  </si>
  <si>
    <t>Normalize unstructured email into the same internal fields: source_type, sender, subject, body, phone/WhatsApp, detected country.</t>
  </si>
  <si>
    <t>Small setup increase.</t>
  </si>
  <si>
    <t>Without normalization, the classifier receives inconsistent inputs and misses cases.</t>
  </si>
  <si>
    <t>Router / pre-branch</t>
  </si>
  <si>
    <t>Classifier runs after webhook input and router acts on LEAD / SEEKER / SPAM / TEST.</t>
  </si>
  <si>
    <t>Add small source router/pre-branch: website_form vs direct_email, then merge both into the same classification logic.</t>
  </si>
  <si>
    <t>Small to medium setup increase.</t>
  </si>
  <si>
    <t>Keeps one central classifier while allowing several input channels.</t>
  </si>
  <si>
    <t>Classification logic</t>
  </si>
  <si>
    <t>Good for website enquiries. Foreign distributor requests are handled when they arrive through the form.</t>
  </si>
  <si>
    <t>Add fallback terms for direct emails: India, Gujarat, +91, WhatsApp, distributor, reseller, agency, purchase in [country].</t>
  </si>
  <si>
    <t>Usually included in the add-on.</t>
  </si>
  <si>
    <t>Direct emails often use broken wording, so keyword fallback improves SEEKER detection.</t>
  </si>
  <si>
    <t>Deduplication</t>
  </si>
  <si>
    <t>Less critical when each form submission is unique.</t>
  </si>
  <si>
    <t>Use email message ID / thread ID / timestamp to avoid duplicated processing.</t>
  </si>
  <si>
    <t>Part of realistic business version.</t>
  </si>
  <si>
    <t>Inbox triggers can re-read, forward, or re-process messages if not controlled.</t>
  </si>
  <si>
    <t>Routing and logging</t>
  </si>
  <si>
    <t>Folder routing + Notion logging + manual review.</t>
  </si>
  <si>
    <t>Add email labels/folders, status logging, error route and optional reply draft path.</t>
  </si>
  <si>
    <t>Moves from simple branch to managed workflow.</t>
  </si>
  <si>
    <t>Client sees a reliable operational process, not only an AI classification.</t>
  </si>
  <si>
    <t>Recommended classification</t>
  </si>
  <si>
    <t>Basic+ AI Triage.</t>
  </si>
  <si>
    <t>Still Basic+ if one inbox and same logic; low Pro if multiple inboxes, email-specific drafts or social channels are added.</t>
  </si>
  <si>
    <t>Use change request if added later.</t>
  </si>
  <si>
    <t>Scope expansion changes responsibility, testing and support needs.</t>
  </si>
  <si>
    <t>Practical conclusion</t>
  </si>
  <si>
    <t>For MG Red Shift, modification may not be needed now because direct foreign requests can be handled manually.</t>
  </si>
  <si>
    <t>For client projects, direct email intake should be discussed in discovery and priced as an optional intake-source add-on.</t>
  </si>
  <si>
    <t>Default quote: CHF 900–1’500 setup + CHF 150–300/month.</t>
  </si>
  <si>
    <t>This protects against underpricing and makes scope boundaries clear.</t>
  </si>
  <si>
    <t>Pricing Calculator Audit</t>
  </si>
  <si>
    <t>Workbook</t>
  </si>
  <si>
    <t>AI_Automation_PM_Helper_Pricing_Calculator_v6_Streamlined_MJS_updated_email_intake.xlsx</t>
  </si>
  <si>
    <t>Audit focus</t>
  </si>
  <si>
    <t>Quote Calculator, C5 package + C6 support model, Build-and-Transfer pricing, workbook consistency</t>
  </si>
  <si>
    <t>Verdict</t>
  </si>
  <si>
    <t>Impact</t>
  </si>
  <si>
    <t>Recommended fix</t>
  </si>
  <si>
    <t>Priority</t>
  </si>
  <si>
    <t>Overall</t>
  </si>
  <si>
    <t>PARTLY OK</t>
  </si>
  <si>
    <t>Standard managed packages calculate logically for the current inputs.</t>
  </si>
  <si>
    <t>Usable for Basic/Pro/Managed quotes with care.</t>
  </si>
  <si>
    <t>Keep package selection and support model, but add stronger checks.</t>
  </si>
  <si>
    <t>C5 + C6 combination</t>
  </si>
  <si>
    <t>TECHNICALLY OK</t>
  </si>
  <si>
    <t>C5 drives base package via Package Reference; C6 drives support/setup multipliers via Complexity Reference.</t>
  </si>
  <si>
    <t>Combination works mathematically.</t>
  </si>
  <si>
    <t>Keep, but separate package/support/access model more clearly.</t>
  </si>
  <si>
    <t>FAIL</t>
  </si>
  <si>
    <t>Build-and-Transfer has base setup/monthly = 0 in Package Reference, so calculator can return 0 or too-low setup.</t>
  </si>
  <si>
    <t>Underpricing risk, especially if counts are not entered.</t>
  </si>
  <si>
    <t>Treat Build-and-Transfer as access/ownership model OR give it a non-zero base.</t>
  </si>
  <si>
    <t>Support multiplier logic</t>
  </si>
  <si>
    <t>WARN</t>
  </si>
  <si>
    <t>For Build-and-Transfer, Normal managed support uses setup multiplier 1.0, while No support uses 1.5, so 'normal support' can make setup cheaper than 'no support'.</t>
  </si>
  <si>
    <t>Commercially inconsistent.</t>
  </si>
  <si>
    <t>Move handover/setup multiplier to a separate access model field.</t>
  </si>
  <si>
    <t>Hard-coded adders</t>
  </si>
  <si>
    <t>Quote formulas C29:C32 use hard-coded adder amounts instead of reading Complexity Reference A:E.</t>
  </si>
  <si>
    <t>Changing reference prices will not update calculator.</t>
  </si>
  <si>
    <t>Use lookups / SUMPRODUCT against Complexity Reference.</t>
  </si>
  <si>
    <t>Dropdowns</t>
  </si>
  <si>
    <t>C5/C6 dropdowns are fixed text lists, not dynamic ranges from reference sheets.</t>
  </si>
  <si>
    <t>If reference names change, dropdowns can go stale.</t>
  </si>
  <si>
    <t>Use data validation references to Package Reference and Complexity Reference ranges.</t>
  </si>
  <si>
    <t>Example Quotes</t>
  </si>
  <si>
    <t>Example Build-and-Transfer quote is CHF 4'500–15'000 / 0–1'000 monthly, but calculator can output lower values.</t>
  </si>
  <si>
    <t>Inconsistent client guidance.</t>
  </si>
  <si>
    <t>Align reference, calculator and examples.</t>
  </si>
  <si>
    <t>ROI App</t>
  </si>
  <si>
    <t>NOTE</t>
  </si>
  <si>
    <t>ROI math is coherent, but setup/monthly costs are manual, not linked to Quote Calculator.</t>
  </si>
  <si>
    <t>Manual copy errors possible.</t>
  </si>
  <si>
    <t>Link ROI inputs to Quote Calculator cells or clearly mark as manual scenario input.</t>
  </si>
  <si>
    <t>Client Quote Summary</t>
  </si>
  <si>
    <t>Client summary is manual and not linked to calculator outputs.</t>
  </si>
  <si>
    <t>Manual quote-copy risk.</t>
  </si>
  <si>
    <t>Optional: formula-link key outputs.</t>
  </si>
  <si>
    <t>Pricing Logic tabs</t>
  </si>
  <si>
    <t>Direct Email Intake Branch pricing is documented but not connected to Quote Calculator.</t>
  </si>
  <si>
    <t>Email-intake scope can be missed or double-counted.</t>
  </si>
  <si>
    <t>Add an optional Direct Email Branch add-on or map it clearly to Extra Channel + Draft + Approval counts.</t>
  </si>
  <si>
    <t>Current Quote Calculator inputs</t>
  </si>
  <si>
    <t>Selected package (C5)</t>
  </si>
  <si>
    <t>Support model (C6)</t>
  </si>
  <si>
    <t>Extra channels count (C15)</t>
  </si>
  <si>
    <t>AI draft workflows count (C16)</t>
  </si>
  <si>
    <t>CRM integrations count (C17)</t>
  </si>
  <si>
    <t>Approval workflows count (C18)</t>
  </si>
  <si>
    <t>Reporting layer count (C19)</t>
  </si>
  <si>
    <t>Sensitive data multiplier (C20)</t>
  </si>
  <si>
    <t>Urgency multiplier (C21)</t>
  </si>
  <si>
    <t>Current calculated result</t>
  </si>
  <si>
    <t>Setup low</t>
  </si>
  <si>
    <t>Setup high</t>
  </si>
  <si>
    <t>Monthly low</t>
  </si>
  <si>
    <t>Monthly high</t>
  </si>
  <si>
    <t>Recommended</t>
  </si>
  <si>
    <t>Basic+ AI Triage + Normal managed support</t>
  </si>
  <si>
    <t>Setup 6800 / Monthly 1600</t>
  </si>
  <si>
    <t>Build-and-Transfer test with current counts</t>
  </si>
  <si>
    <t>Setup 6400 / Monthly 0</t>
  </si>
  <si>
    <t>Setup 6400 / Monthly 500</t>
  </si>
  <si>
    <t>Setup 4300 / Monthly 1100</t>
  </si>
  <si>
    <t>Setup 6400 / Monthly 1600</t>
  </si>
  <si>
    <t>Setup 8500 / Monthly 2100</t>
  </si>
  <si>
    <t>Setup 12800 / Monthly 3200</t>
  </si>
  <si>
    <t>Build-and-Transfer zero-count test</t>
  </si>
  <si>
    <t>Setup 0 / Monthly 0</t>
  </si>
  <si>
    <t>Practical recommendation</t>
  </si>
  <si>
    <t>Best structure</t>
  </si>
  <si>
    <t>Package = Basic/Basic+/Pro/Managed/Agentic. Access/ownership model = Managed service / Logic visibility / Limited admin / Client-owned / Build-and-transfer. Support model = No/Light/Normal/High/Premium/Critical.</t>
  </si>
  <si>
    <t>Minimum quick fix</t>
  </si>
  <si>
    <t>Set Build-and-Transfer base setup low/high to at least the Example Quotes range CHF 4'500–15'000, or remove it from C5 and handle it as an access multiplier.</t>
  </si>
  <si>
    <t>Commercial rule</t>
  </si>
  <si>
    <t>Build-and-Transfer should normally never be cheaper than the same automation as a managed build; it transfers more asset value and needs documentation/testing/handover.</t>
  </si>
  <si>
    <t>Build-and-Transfer Matrix</t>
  </si>
  <si>
    <t>Shows current formula outputs for Build-and-Transfer using the current Quote Calculator counts and using zero counts.</t>
  </si>
  <si>
    <t>Current counts: setup range</t>
  </si>
  <si>
    <t>Current counts: monthly range</t>
  </si>
  <si>
    <t>Current recommended</t>
  </si>
  <si>
    <t>Zero counts: setup range</t>
  </si>
  <si>
    <t>Zero counts: monthly range</t>
  </si>
  <si>
    <t>CHF 3'000 - 9'750</t>
  </si>
  <si>
    <t>CHF 0 - 0</t>
  </si>
  <si>
    <t>CHF 6'400 / CHF 0</t>
  </si>
  <si>
    <t>CHF 250 - 800</t>
  </si>
  <si>
    <t>CHF 6'400 / CHF 500</t>
  </si>
  <si>
    <t>CHF 2'000 - 6'500</t>
  </si>
  <si>
    <t>CHF 500 - 1'600</t>
  </si>
  <si>
    <t>CHF 4'300 / CHF 1'100</t>
  </si>
  <si>
    <t>CHF 750 - 2'400</t>
  </si>
  <si>
    <t>CHF 6'400 / CHF 1'600</t>
  </si>
  <si>
    <t>CHF 4'000 - 13'000</t>
  </si>
  <si>
    <t>CHF 1'000 - 3'200</t>
  </si>
  <si>
    <t>CHF 8'500 / CHF 2'100</t>
  </si>
  <si>
    <t>CHF 6'000 - 19'500</t>
  </si>
  <si>
    <t>CHF 1'500 - 4'800</t>
  </si>
  <si>
    <t>CHF 12'800 / CHF 3'200</t>
  </si>
  <si>
    <t>Conclusion</t>
  </si>
  <si>
    <t>Zero-count Build-and-Transfer returns CHF 0 setup/monthly across all support models because the package base is 0.</t>
  </si>
  <si>
    <t>With current counts, Normal managed support gives lower setup than No support because setup multipliers are attached to support model, not to access/ownership model.</t>
  </si>
  <si>
    <t>SSA</t>
  </si>
  <si>
    <t>Name</t>
  </si>
  <si>
    <t>V</t>
  </si>
  <si>
    <t>o</t>
  </si>
  <si>
    <t>r</t>
  </si>
  <si>
    <t>t</t>
  </si>
  <si>
    <t>e</t>
  </si>
  <si>
    <t>x</t>
  </si>
  <si>
    <t>D</t>
  </si>
  <si>
    <t>p</t>
  </si>
  <si>
    <t>SSP</t>
  </si>
  <si>
    <t>SCA</t>
  </si>
  <si>
    <t>Date</t>
  </si>
  <si>
    <t>=</t>
  </si>
  <si>
    <t>M</t>
  </si>
  <si>
    <t>PW (PodWibracja)</t>
  </si>
  <si>
    <t>l</t>
  </si>
  <si>
    <t>i</t>
  </si>
  <si>
    <t>d</t>
  </si>
  <si>
    <t>a</t>
  </si>
  <si>
    <t>m</t>
  </si>
  <si>
    <t>n</t>
  </si>
  <si>
    <t>k</t>
  </si>
  <si>
    <t>w</t>
  </si>
  <si>
    <t>s</t>
  </si>
  <si>
    <t>c</t>
  </si>
  <si>
    <t>j</t>
  </si>
  <si>
    <t>z</t>
  </si>
  <si>
    <t>y</t>
  </si>
  <si>
    <t>h</t>
  </si>
  <si>
    <t>u</t>
  </si>
  <si>
    <t>b</t>
  </si>
  <si>
    <t>f</t>
  </si>
  <si>
    <t>Alfabet Numerologiczny</t>
  </si>
  <si>
    <t>Gladys Loobos</t>
  </si>
  <si>
    <t>System Pitagorejski</t>
  </si>
  <si>
    <t>B</t>
  </si>
  <si>
    <t>C</t>
  </si>
  <si>
    <t>E</t>
  </si>
  <si>
    <t>F</t>
  </si>
  <si>
    <t>G</t>
  </si>
  <si>
    <t>H</t>
  </si>
  <si>
    <t>I</t>
  </si>
  <si>
    <t>J</t>
  </si>
  <si>
    <t>K</t>
  </si>
  <si>
    <t>L</t>
  </si>
  <si>
    <t>N</t>
  </si>
  <si>
    <t>O</t>
  </si>
  <si>
    <t>P</t>
  </si>
  <si>
    <t>R</t>
  </si>
  <si>
    <t>S</t>
  </si>
  <si>
    <t>T</t>
  </si>
  <si>
    <t>U</t>
  </si>
  <si>
    <t>W</t>
  </si>
  <si>
    <t>X</t>
  </si>
  <si>
    <t>Y</t>
  </si>
  <si>
    <t>Z</t>
  </si>
  <si>
    <t>Suma samoglosek</t>
  </si>
  <si>
    <t>Suma spolglosek</t>
  </si>
  <si>
    <t>Suma calosci</t>
  </si>
  <si>
    <t>Dzisiejszy układ sił na niebie daje Ci zielone światło i potężne wsparcie energetyczne dla Twojego niszowego projektu. Twoja niezłomna wiara i przygotowanie idealnie rezonują z kosmicznym klimatem tego dnia.</t>
  </si>
  <si>
    <t>Kosmiczny układ sił na 6 lipca 2026 roku</t>
  </si>
  <si>
    <t>    •    Przełomowy nów Księżyca: Wchodzimy w fazę nowiu, która jest absolutnie najlepszym momentem w całym cyklu na zasiewanie nowych idei i start autorskich projektów.</t>
  </si>
  <si>
    <t>    •    Potęga Twojej Siódemki: Dzisiejsza wibracja dnia sprzyja głębokiej intuicji, dzięki czemu bezbłędnie wyczujesz intencje rozmówców i obronisz swoją niszową koncepcję.</t>
  </si>
  <si>
    <t>    •    Aspekt Merkurego i Saturna: Ten układ planetarny daje strukturę i trwałość, co oznacza, że omawiane dziś pomysły mają szansę przetrwać lata i przynieść realne zyski.</t>
  </si>
  <si>
    <t>Jak wykorzystać tę energię podczas rozmowy?</t>
  </si>
  <si>
    <t>    •    Emanuj pewnością: Twój wewnętrzny spokój zadziała na rozmówców magnetycznie, budując w ich oczach obraz profesjonalisty.</t>
  </si>
  <si>
    <t>    •    Mów językiem wizjonera: Ponieważ nów sprzyja nowym początkom, zaraź innych swoją pasją, ale nie trać z oczu twardych realiów rynkowych.</t>
  </si>
  <si>
    <t>    •    Zaufaj pierwszemu impulsowi: Pierwsza myśl, jaka pojawi się w Twojej głowie podczas negocjacji, będzie tą najwłaściwszą i podyktowaną czystą intuicją.</t>
  </si>
  <si>
    <t>Masz w rękach wszystkie atuty, a wszechświat pcha Cię do przodu – wejdź tam i weź to, co Twoje.</t>
  </si>
  <si>
    <t>    •    Prawo rezonansu: Twoje wysokie wibracje i wiara w projekt przyciągną ludzi, którzy myślą podobnie i docenią niszowy charakter Twojej idei.</t>
  </si>
  <si>
    <t>    •    Stabilizacja przez niezależność: Dzisiejsza energia nowiu buduje trwałe fundamenty, co oznacza, że ten krok odetnie stare, niepewne schematy i da Ci upragnione poczucie bezpieczeństwa.</t>
  </si>
  <si>
    <t>    •    Misja wspierania innych: Siódemki realizują się najlepiej, gdy ich praca ma głębszy sens. Twoja chęć pomagania innym wraca do Ciebie w postaci stabilizacji finansowej.</t>
  </si>
  <si>
    <t>Twoja osobista mantra na to spotkanie</t>
  </si>
  <si>
    <t>Wejdź na tę rozmowę z pełną świadomością swojej wartości i powiedz sobie w duchu:</t>
  </si>
  <si>
    <t>"Mój projekt niesie wartość, moje intencje są czyste, a świat wspiera mój nowy początek."</t>
  </si>
  <si>
    <t>Zrób głęboki oddech, zaufaj swojej intuicji i ruszaj po to, co Twoje. Jesteś na to w pełni gotowy.</t>
  </si>
  <si>
    <t>Dla nowej drogi zawodowej wyłania się karta Mag (The Magician), która oznacza, że masz teraz w rękach wszystkie narzędzia, talenty i zasoby, aby ten pomysł przekuć w sukces. W połączeniu z energią Głupca, która pchnęła Cię do tej zmiany, Mag reprezentuje moment, w którym wizja spotyka się z konkretnym działaniem i manifestacją.</t>
  </si>
  <si>
    <t>Nowy kierunek zawodowy w praktyce:</t>
  </si>
  <si>
    <t>    •    Pełna kontrola: Masz już odpowiednie umiejętności (lub zdobędziesz je błyskawicznie) – czas uwierzyć we własne kompetencje.</t>
  </si>
  <si>
    <t>    •    Inicjatywa: Sukces zależy od Twojej aktywności i komunikacji; to świetny moment na negocjacje, marketing czy sprzedaż swoich pomysłów.</t>
  </si>
  <si>
    <t>    •    Innowacja: Karta sprzyja nowoczesnym rozwiązaniom, technologii, pracy na własny rachunek i unikalnym projektom.</t>
  </si>
  <si>
    <t>    •    Siła woli: Przejmujesz stery – to Ty kreujesz tę nową rzeczywistość zawodową, a nie ślepy los.</t>
  </si>
  <si>
    <t>Karta wskazująca pierwszy krok dla Twojego biznesu to As Mieczy, który symbolizuje absolutną jasność umysłu, genialny plan oraz odcięcie się od dotychczasowych wątpliwości. Ta karta wzywa do podjęcia radykalnej, intelektualnej decyzji i precyzyjnego działania.</t>
  </si>
  <si>
    <t>Dla gotowego projektu w branży AI wyłania się karta Cesarz (The Emperor), która oznacza, że Twoim pierwszym krokiem po dopracowaniu szczegółów jest oficjalne przejęcie kontroli, formalizacja i natychmiastowe wdrożenie struktury na rynku. Skoro projekt jest gotowy, czas przestać planować, a zacząć bezwzględnie rządzić i budować swoją pozycję lidera.</t>
  </si>
  <si>
    <t>Pierwszy krok dla biznesu AI:</t>
  </si>
  <si>
    <t>    •    Ustrukturyzuj biznes: Przekuj gotowy projekt w oficjalną formę prawną, zadbaj o patenty, prawa autorskie do kodu/modeli i umowy.</t>
  </si>
  <si>
    <t>    •    Zbuduj autorytet: Zaprezentuj projekt z pozycji eksperta, który oferuje stabilne, niezawodne i potężne rozwiązanie technologiczne.</t>
  </si>
  <si>
    <t>    •    Zarządzaj twardą ręką: Wprowadź jasne procedury wdrożenia, cenniki i harmonogramy – rynek AI wymaga teraz konkretu i dyscypliny.</t>
  </si>
  <si>
    <t>    •    Zabezpiecz fundamenty: Skup się na stabilności infrastruktury oraz skalowalności systemu, aby wytrzymał pierwsze zderzenie z klientami.</t>
  </si>
  <si>
    <t>Dla Twojego gotowego projektu AI, na te dwa kluczowe pytania wyłaniają się dwie niezwykle silne karty: Gwiazda (The Star) dla reakcji rynku oraz As Monet (Ace of Pentacles) dla potencjału finansowego. To wybitny układ dla innowacyjnego biznesu.</t>
  </si>
  <si>
    <t>Reakcja pierwszych klientów i rynku: Gwiazda (The Star)</t>
  </si>
  <si>
    <t>Rynek przyjmie Twoje AI z ogromnym entuzjazmem, nadzieją i poczuciem świeżości.</t>
  </si>
  <si>
    <t>    •    Wizerunek: Klienci zobaczą w Twoim projekcie rozwiązanie przyszłościowe, nowoczesne i niosące realną ulgę w ich codziennych problemach.</t>
  </si>
  <si>
    <t>    •    Zaufanie: Gwiazda to karta czystych intencji i autentyczności. Twoje AI zyska miano narzędzia godnego zaufania i wyznaczającego nowe standardy.</t>
  </si>
  <si>
    <t>    •    Rozgłos: Produkt ma ogromny potencjał, aby stać się "wiralem" lub zyskać bardzo dobre opinie organiczne (szeptane) na samym starcie.</t>
  </si>
  <si>
    <t>2. Potencjał finansowy i zyski: As Monet (Ace of Pentacles)</t>
  </si>
  <si>
    <t>W kwestii materialnej wyciągasz najlepszą możliwą kartę w całym Tarocie – to gwarancja ogromnego sukcesu finansowego i stabilności.</t>
  </si>
  <si>
    <t>    •    Maksymalny zysk: Karta ta oznacza realny, fizyczny napływ gotówki, duże kontrakty lub pozyskanie silnego inwestora na samym początku drogi.</t>
  </si>
  <si>
    <t>    •    Długofalowy wzrost: To nie jest jednorazowy strzał. As Monet symbolizuje zasianie ziarna, które wyrośnie na potężne, dochodowe drzewo. Biznes ma genialne fundamenty do skalowania.</t>
  </si>
  <si>
    <t>    •    Zwrot z inwestycji: Środki i czas włożone w dopracowanie projektu zwrócą się z nawiązką szybciej, niż się spodziewasz.</t>
  </si>
  <si>
    <t>Podsumowanie energii:</t>
  </si>
  <si>
    <t>Połączenie Cesarza (Twoja struktura), Gwiazdy (wizja i zachwyt rynku) oraz Asa Monet (wielkie pieniądze) daje zielone światło. Wszystko jest dopracowane, rynek czeka na innowacje, a finanse są zabezpieczone potężną energią sukcesu. Czas startować!</t>
  </si>
  <si>
    <t>Dla Twojego projektu AI wyłania się karta Król Mieczy (King of Swords). To bardzo precyzyjny wizerunek Twojego idealnego klienta na start. Rynek AI wymaga konkretu, a ta karta idealnie definiuje profil odbiorcy docelowego.</t>
  </si>
  <si>
    <t>Profil idealnego klienta dla Twojego AI: Król Mieczy</t>
  </si>
  <si>
    <t>    •    Profesjonalista i analityk: To osoba wysoko postawiona – dyrektor, manager, właściciel firmy lub ekspert w swojej dziedzinie. Myśli chłodno i logicznie.</t>
  </si>
  <si>
    <t>    •    Szuka optymalizacji: Nie kupuje oczami ani obietnicami bez pokrycia. Interesują go twarde dane: o ile wzrośnie efektywność, ile czasu zaoszczędzi i jaki będzie zwrot z inwestycji (ROI).</t>
  </si>
  <si>
    <t>    •    Decydent techniczny lub biznesowy: Osoba, która ma władzę i budżet, by wdrożyć Twoje narzędzie w strukturach firmy.</t>
  </si>
  <si>
    <t>    •    Wymagający odbiorca: Doceni bezbłędne działanie, bezpieczeństwo danych i precyzję Twojego AI. Odrzuci marketingowy "bełkot" – oczekuje konkretnych faktów.</t>
  </si>
  <si>
    <t>Jak do niego dotrzeć (Wskazówka):</t>
  </si>
  <si>
    <t>W marketingu i ofertach zrezygnuj z przesadnych emocji. Pokaż mu liczby, wykresy, case studies lub czyste techniczne możliwości Twojego systemu. Rozmawiaj z nim jak ekspert z ekspertem.</t>
  </si>
  <si>
    <t>1. Najlepszy czas na oficjalne uderzenie: Rydwan (The Chariot)</t>
  </si>
  <si>
    <t>Karta ta nakazuje natychmiastowe, dynamiczne i bezkompromisowe działanie.</t>
  </si>
  <si>
    <t>    •    Czas: Nie czekaj na "idealniejszy" moment. Rydwan to zielone światło – czas na uderzenie jest teraz. Każdy tydzień zwłoki to strata impetu.</t>
  </si>
  <si>
    <t>    •    Strategia: Ruszaj z pełną siłą marketingową i sprzedażową. Ta karta symbolizuje triumf, parcie naprzód i szybkie przejmowanie rynku. Kontroluj kierunek, ale nie zdejmuj nogi z gazu.</t>
  </si>
  <si>
    <t>2. Ostrzeżenie przy rozmowach z Królem Mieczy: 7 Mieczy (7 of Swords)</t>
  </si>
  <si>
    <t>To kluczowa przestroga przy zderzeniu Twojego AI z tak wymagającym i analitycznym klientem.</t>
  </si>
  <si>
    <t>    •    Chroń swoją własność intelektualną: Król Mieczy będzie chciał rozłożyć Twoje AI na czynniki pierwsze. Karta ostrzega przed ludźmi, którzy mogą próbować "podkraść" Twój pomysł, algorytm lub know-how pod pozorem "testów" czy szczegółowych pytań ofertowych. Zabezpiecz kod i prawa autorskie (zgodnie z energią wcześniejszego Cesarza).</t>
  </si>
  <si>
    <t>    •    Bądź sprytny, ale transparentny: Nie daj się podejść negocjacyjnie. Taki klient może próbować zbić cenę, wytykając drobne luki. Miej przygotowane twarde riposty i nie odsłaniaj od razu wszystkich kart swojej technologii.</t>
  </si>
  <si>
    <t>    •    Unikaj niedomówień: Wszystkie warunki współpracy, licencje i zakresy odpowiedzialności za działanie AI muszą być precyzyjnie spisane w umowie. Żadnych ustnych ustaleń.</t>
  </si>
  <si>
    <t>Podsumowanie końcowe:</t>
  </si>
  <si>
    <t>Masz genialny, dopracowany projekt AI z potencjałem na ogromny sukces finansowy (As Monet) i świetne przyjęcie (Gwiazda). Twój klient to konkretny profesjonalista. Ruszaj natychmiast (Rydwan), ale zapięty pod broń prawną i biznesową (7 Mieczy). Sukces jest na wyciągnięcie ręki!</t>
  </si>
  <si>
    <t>Twoja finałowa karta na ten wielki start to Świat (The World). To najwyższa, najbardziej spełniona karta w całej talii Tarotu, która oznacza całkowity sukces, globalny zasięg i perfekcyjne domknięcie etapu przygotowań.</t>
  </si>
  <si>
    <t>Przesłanie karty Świat dla Twojego biznesu AI:</t>
  </si>
  <si>
    <t>    •    Globalne możliwości: Branża AI nie zna granic, a ta karta mówi wprost: nie ograniczaj się do lokalnego rynku. Twój projekt ma potencjał, by wyjść szeroko na świat i zdobyć uznanie międzynarodowe.</t>
  </si>
  <si>
    <t>    •    Właściwe miejsce i czas: Wszystko, co działo się w Twoim życiu do tej pory – w tym data urodzenia z wibracją 3 (kreatywność) – doprowadziło Cię dokładnie do tego momentu. Jesteś gotowy(a).</t>
  </si>
  <si>
    <t>    •    Pełna realizacja: Ta karta to gwarancja, że projekt, który uważałeś(aś) za dopracowany, zrealizuje swój pełny potencjał. Osiągniesz cel, który sobie założyłeś(aś).</t>
  </si>
  <si>
    <t>Biznesowa Mapa Drogowa AI</t>
  </si>
  <si>
    <t>    •    Twoja Siła (Cesarz): Projekt jest gotowy. Czas na oficjalny start, formalizację prawną i budowanie silnej struktury firmy.</t>
  </si>
  <si>
    <t>    •    Pierwszy Krok (As Mieczy): Odetnij wątpliwości. Oprzyj start na chłodnej logice, faktach i precyzyjnym planie działania.</t>
  </si>
  <si>
    <t>    •    Idealny Klient (Król Mieczy): Celuj w decydentów i analityków. Rozmawiaj liczbami, konkretami i pokazuj realny zwrot z inwestycji.</t>
  </si>
  <si>
    <t>    •    Czas na Uderzenie (Rydwan): Ruszaj natychmiast i z pełną dynamiką. Rynek czeka, a zwłoka osłabi Twój impet.</t>
  </si>
  <si>
    <t>    •    Ostrzeżenie (7 Mieczy): Chroń swój kod i know-how. Zabezpiecz umowy prawne i nie odsłaniaj wszystkich kart technologicznych na start.</t>
  </si>
  <si>
    <t>    •    Nagroda (Gwiazda, As Monet, Świat): Rynek przyjmie projekt z zachwytem, finanse przyniosą ogromny sukces, a biznes ma potencjał globalny.</t>
  </si>
  <si>
    <t>Masz pełne, kosmiczne zielone światło. Ruszaj po swoje!</t>
  </si>
  <si>
    <t>Twoją szczęśliwą liczbą na ten tydzień (i cały proces startu biznesu) jest 3.</t>
  </si>
  <si>
    <t>Ta cyfra ma dla Ciebie w tym momencie podwójne, wyjątkowo silne znaczenie:</t>
  </si>
  <si>
    <t>    •    Twoja wibracja urodzeniowa: Wynika bezpośrednio z Twojej daty urodzenia (11.04.1968 = 30 = 3). To Twoja naturalna energia życiowa.</t>
  </si>
  <si>
    <t>    •    Symbolika biznesowa: W numerologii i tarocie trójka to liczba kreacji, ekspansji, optymizmu oraz rozwoju. Oznacza moment, w którym pomysł (1) i plan (2) łączą się, dając realny owoc (3) – czyli Twój działający biznes AI.</t>
  </si>
  <si>
    <t>Wykorzystaj tę liczbę przy planowaniu ważnych wydarzeń, np. oficjalnego uruchomienia strony lub wysyłki pierwszych ofert (dobrym momentem może być np. godzina 12:00, czyli 1+2=3, lub 3. dzień tygodnia/miesiąca).</t>
  </si>
  <si>
    <t>CASE STUDY</t>
  </si>
  <si>
    <t>MG1</t>
  </si>
  <si>
    <t>MG2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</si>
</sst>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52">
    <font>
      <sz val="11"/>
      <name val="Calibri"/>
      <charset val="1"/>
    </font>
    <font>
      <b/>
      <sz val="11"/>
      <color rgb="FFFFFFFF"/>
      <name val="Calibri"/>
      <family val="2"/>
      <charset val="1"/>
    </font>
    <font>
      <b/>
      <sz val="11"/>
      <name val="Calibri"/>
      <family val="2"/>
      <charset val="1"/>
    </font>
    <font>
      <b/>
      <sz val="12"/>
      <color rgb="FFFFFFFF"/>
      <name val="Calibri"/>
      <family val="2"/>
    </font>
    <font>
      <b/>
      <sz val="11"/>
      <color rgb="FFFFFFFF"/>
      <name val="Calibri"/>
      <family val="2"/>
    </font>
    <font>
      <sz val="11"/>
      <color rgb="FF000000"/>
      <name val="Calibri"/>
      <family val="2"/>
    </font>
    <font>
      <i/>
      <sz val="11"/>
      <color rgb="FF808080"/>
      <name val="Cambria"/>
      <family val="1"/>
      <charset val="1"/>
    </font>
    <font>
      <sz val="11"/>
      <name val="Cambria"/>
      <family val="1"/>
      <charset val="1"/>
    </font>
    <font>
      <b/>
      <sz val="11"/>
      <color rgb="FFFFFFFF"/>
      <name val="Cambria"/>
      <family val="1"/>
      <charset val="1"/>
    </font>
    <font>
      <b/>
      <sz val="11"/>
      <name val="Cambria"/>
      <family val="1"/>
      <charset val="1"/>
    </font>
    <font>
      <sz val="11"/>
      <color theme="0"/>
      <name val="Cambria"/>
      <family val="1"/>
      <charset val="1"/>
    </font>
    <font>
      <i/>
      <sz val="11"/>
      <name val="Cambria"/>
      <family val="1"/>
      <charset val="1"/>
    </font>
    <font>
      <b/>
      <sz val="11"/>
      <color rgb="FFFF0000"/>
      <name val="Cambria"/>
      <family val="1"/>
      <charset val="1"/>
    </font>
    <font>
      <sz val="11"/>
      <name val="Segoe UI"/>
      <charset val="1"/>
    </font>
    <font>
      <b/>
      <sz val="16"/>
      <color rgb="FFFFFFFF"/>
      <name val="Segoe UI"/>
      <charset val="1"/>
    </font>
    <font>
      <b/>
      <sz val="11"/>
      <color rgb="FFFFFFFF"/>
      <name val="Segoe UI"/>
      <charset val="1"/>
    </font>
    <font>
      <b/>
      <sz val="12"/>
      <color rgb="FF1F2937"/>
      <name val="Segoe UI"/>
      <charset val="1"/>
    </font>
    <font>
      <b/>
      <sz val="11"/>
      <name val="Segoe UI"/>
      <charset val="1"/>
    </font>
    <font>
      <b/>
      <sz val="11"/>
      <color rgb="FF4B5563"/>
      <name val="Segoe UI"/>
      <charset val="1"/>
    </font>
    <font>
      <sz val="11"/>
      <color rgb="FF374151"/>
      <name val="Segoe UI"/>
      <charset val="1"/>
    </font>
    <font>
      <sz val="11"/>
      <color rgb="FF4B5563"/>
      <name val="Segoe UI"/>
      <charset val="1"/>
    </font>
    <font>
      <b/>
      <sz val="11"/>
      <color rgb="FFFF0000"/>
      <name val="Segoe UI"/>
      <charset val="1"/>
    </font>
    <font>
      <sz val="11"/>
      <color rgb="FFB91C1C"/>
      <name val="Segoe UI"/>
      <charset val="1"/>
    </font>
    <font>
      <b/>
      <sz val="12"/>
      <color rgb="FF374151"/>
      <name val="Segoe UI"/>
      <charset val="1"/>
    </font>
    <font>
      <b/>
      <sz val="12"/>
      <color rgb="FFFFFFFF"/>
      <name val="Segoe UI"/>
      <charset val="1"/>
    </font>
    <font>
      <sz val="10"/>
      <color rgb="FF4B5563"/>
      <name val="Segoe UI"/>
      <charset val="1"/>
    </font>
    <font>
      <b/>
      <sz val="18"/>
      <name val="Calibri"/>
      <family val="2"/>
      <charset val="1"/>
    </font>
    <font>
      <b/>
      <sz val="13"/>
      <name val="Calibri"/>
      <family val="2"/>
      <charset val="1"/>
    </font>
    <font>
      <b/>
      <sz val="12"/>
      <color rgb="FFFFFFFF"/>
      <name val="Calibri"/>
      <family val="2"/>
      <charset val="1"/>
    </font>
    <font>
      <b/>
      <sz val="11"/>
      <color rgb="FF000000"/>
      <name val="Calibri"/>
      <family val="2"/>
      <charset val="1"/>
    </font>
    <font>
      <sz val="11"/>
      <color rgb="FF000000"/>
      <name val="Calibri"/>
      <family val="2"/>
      <charset val="1"/>
    </font>
    <font>
      <sz val="11"/>
      <name val="Calibri"/>
      <family val="2"/>
      <charset val="1"/>
    </font>
    <font>
      <sz val="11"/>
      <color rgb="FFFF0000"/>
      <name val="Calibri"/>
      <family val="2"/>
      <charset val="1"/>
    </font>
    <font>
      <sz val="10"/>
      <name val="Arial Unicode MS"/>
      <family val="2"/>
      <charset val="1"/>
    </font>
    <font>
      <sz val="13"/>
      <name val="Calibri"/>
      <family val="2"/>
      <charset val="1"/>
    </font>
    <font>
      <b/>
      <sz val="13"/>
      <color rgb="FFFF0000"/>
      <name val="Calibri"/>
      <family val="2"/>
      <charset val="1"/>
    </font>
    <font>
      <sz val="11"/>
      <color theme="0"/>
      <name val="Calibri"/>
      <family val="2"/>
      <charset val="1"/>
    </font>
    <font>
      <sz val="11"/>
      <color rgb="FFFF0000"/>
      <name val="Calibri"/>
      <family val="2"/>
    </font>
    <font>
      <b/>
      <sz val="11"/>
      <color rgb="FF000000"/>
      <name val="Calibri"/>
      <family val="2"/>
    </font>
    <font>
      <sz val="11"/>
      <name val="Calibri"/>
      <family val="2"/>
    </font>
    <font>
      <b/>
      <sz val="11"/>
      <name val="Calibri"/>
      <family val="2"/>
    </font>
    <font>
      <b/>
      <sz val="11"/>
      <color rgb="FFFF0000"/>
      <name val="Calibri"/>
      <family val="2"/>
    </font>
    <font>
      <b/>
      <sz val="18"/>
      <name val="Calibri"/>
      <family val="2"/>
    </font>
    <font>
      <i/>
      <sz val="11"/>
      <name val="Calibri"/>
      <family val="2"/>
    </font>
    <font>
      <sz val="13"/>
      <name val=".SF NS"/>
    </font>
    <font>
      <b/>
      <sz val="13"/>
      <name val=".SF NS"/>
    </font>
    <font>
      <i/>
      <sz val="13"/>
      <name val=".SF NS"/>
    </font>
    <font>
      <sz val="10"/>
      <name val="Arial Unicode MS"/>
      <family val="2"/>
    </font>
    <font>
      <i/>
      <sz val="11"/>
      <color rgb="FFFF0000"/>
      <name val="Calibri"/>
      <family val="2"/>
    </font>
    <font>
      <i/>
      <sz val="11"/>
      <color rgb="FF000000"/>
      <name val="Calibri"/>
      <family val="2"/>
    </font>
    <font>
      <i/>
      <sz val="10"/>
      <color rgb="FF374151"/>
      <name val="Calibri"/>
      <family val="2"/>
    </font>
    <font>
      <b/>
      <sz val="13.5"/>
      <name val="Calibri"/>
      <family val="2"/>
    </font>
  </fonts>
  <fills count="28">
    <fill>
      <patternFill patternType="none"/>
    </fill>
    <fill>
      <patternFill patternType="gray125"/>
    </fill>
    <fill>
      <patternFill patternType="solid">
        <fgColor rgb="FF1E293B"/>
        <bgColor rgb="FF1F2937"/>
      </patternFill>
    </fill>
    <fill>
      <patternFill patternType="solid">
        <fgColor rgb="FFF1F5F9"/>
        <bgColor rgb="FFF3F4F6"/>
      </patternFill>
    </fill>
    <fill>
      <patternFill patternType="solid">
        <fgColor rgb="FFFEF3C7"/>
        <bgColor rgb="FFFFF2CC"/>
      </patternFill>
    </fill>
    <fill>
      <patternFill patternType="solid">
        <fgColor rgb="FF0F766E"/>
        <bgColor rgb="FF008080"/>
      </patternFill>
    </fill>
    <fill>
      <patternFill patternType="solid">
        <fgColor theme="6" tint="0.59959715567491678"/>
        <bgColor rgb="FFA6CAEC"/>
      </patternFill>
    </fill>
    <fill>
      <patternFill patternType="solid">
        <fgColor rgb="FFFFFF00"/>
        <bgColor rgb="FFFFC000"/>
      </patternFill>
    </fill>
    <fill>
      <patternFill patternType="solid">
        <fgColor theme="3" tint="0.74959562974944305"/>
        <bgColor rgb="FFD9EAF7"/>
      </patternFill>
    </fill>
    <fill>
      <patternFill patternType="solid">
        <fgColor rgb="FFFFC000"/>
        <bgColor rgb="FFFF9900"/>
      </patternFill>
    </fill>
    <fill>
      <patternFill patternType="solid">
        <fgColor rgb="FFFF0000"/>
        <bgColor rgb="FFC00000"/>
      </patternFill>
    </fill>
    <fill>
      <patternFill patternType="solid">
        <fgColor rgb="FFDBEAFE"/>
        <bgColor rgb="FFD9EAF7"/>
      </patternFill>
    </fill>
    <fill>
      <patternFill patternType="solid">
        <fgColor rgb="FFC00000"/>
        <bgColor rgb="FFB91C1C"/>
      </patternFill>
    </fill>
    <fill>
      <patternFill patternType="solid">
        <fgColor rgb="FFE0F2FE"/>
        <bgColor rgb="FFDBEAFE"/>
      </patternFill>
    </fill>
    <fill>
      <patternFill patternType="solid">
        <fgColor rgb="FFFFF2CC"/>
        <bgColor rgb="FFFEF3C7"/>
      </patternFill>
    </fill>
    <fill>
      <patternFill patternType="solid">
        <fgColor rgb="FFE7E6E6"/>
        <bgColor rgb="FFE5E7EB"/>
      </patternFill>
    </fill>
    <fill>
      <patternFill patternType="solid">
        <fgColor rgb="FFD9EAF7"/>
        <bgColor rgb="FFDBEAFE"/>
      </patternFill>
    </fill>
    <fill>
      <patternFill patternType="solid">
        <fgColor rgb="FFF3F4F6"/>
        <bgColor rgb="FFF1F5F9"/>
      </patternFill>
    </fill>
    <fill>
      <patternFill patternType="solid">
        <fgColor rgb="FF2563EB"/>
        <bgColor rgb="FF0070C0"/>
      </patternFill>
    </fill>
    <fill>
      <patternFill patternType="solid">
        <fgColor rgb="FFE5E7EB"/>
        <bgColor rgb="FFE7E6E6"/>
      </patternFill>
    </fill>
    <fill>
      <patternFill patternType="solid">
        <fgColor theme="0" tint="-4.9989318521683403E-2"/>
        <bgColor rgb="FFF3F4F6"/>
      </patternFill>
    </fill>
    <fill>
      <patternFill patternType="solid">
        <fgColor rgb="FFFFFFFF"/>
        <bgColor rgb="FFF1F5F9"/>
      </patternFill>
    </fill>
    <fill>
      <patternFill patternType="solid">
        <fgColor rgb="FF10B981"/>
        <bgColor rgb="FF33CCCC"/>
      </patternFill>
    </fill>
    <fill>
      <patternFill patternType="solid">
        <fgColor rgb="FF1F4E78"/>
        <bgColor rgb="FF374151"/>
      </patternFill>
    </fill>
    <fill>
      <patternFill patternType="solid">
        <fgColor rgb="FF111827"/>
        <bgColor rgb="FF1F2937"/>
      </patternFill>
    </fill>
    <fill>
      <patternFill patternType="solid">
        <fgColor rgb="FF374151"/>
        <bgColor rgb="FF4B5563"/>
      </patternFill>
    </fill>
    <fill>
      <patternFill patternType="solid">
        <fgColor rgb="FF10B981"/>
        <bgColor rgb="FF008080"/>
      </patternFill>
    </fill>
    <fill>
      <patternFill patternType="solid">
        <fgColor rgb="FFFEF9C3"/>
        <bgColor rgb="FFFEF3C7"/>
      </patternFill>
    </fill>
  </fills>
  <borders count="2">
    <border>
      <left/>
      <right/>
      <top/>
      <bottom/>
      <diagonal/>
    </border>
    <border>
      <left style="thin">
        <color rgb="FFFF0000"/>
      </left>
      <right style="thin">
        <color rgb="FFFF0000"/>
      </right>
      <top style="thin">
        <color rgb="FFFF0000"/>
      </top>
      <bottom style="thin">
        <color rgb="FFFF0000"/>
      </bottom>
      <diagonal/>
    </border>
  </borders>
  <cellStyleXfs count="1">
    <xf numFmtId="0" fontId="0" fillId="0" borderId="0"/>
  </cellStyleXfs>
  <cellXfs count="134">
    <xf numFmtId="0" fontId="0" fillId="0" borderId="0" xfId="0"/>
    <xf numFmtId="0" fontId="2" fillId="3" borderId="0" xfId="0" applyFont="1" applyFill="1" applyAlignment="1">
      <alignment horizontal="left" vertical="top"/>
    </xf>
    <xf numFmtId="0" fontId="0" fillId="0" borderId="0" xfId="0" applyAlignment="1">
      <alignment horizontal="left" vertical="top"/>
    </xf>
    <xf numFmtId="0" fontId="2" fillId="4" borderId="0" xfId="0" applyFont="1" applyFill="1"/>
    <xf numFmtId="0" fontId="2" fillId="4" borderId="0" xfId="0" applyFont="1" applyFill="1" applyAlignment="1">
      <alignment wrapText="1"/>
    </xf>
    <xf numFmtId="0" fontId="1" fillId="5" borderId="0" xfId="0" applyFont="1" applyFill="1" applyAlignment="1">
      <alignment horizontal="center" vertical="center" wrapText="1"/>
    </xf>
    <xf numFmtId="0" fontId="4" fillId="5" borderId="0" xfId="0" applyFont="1" applyFill="1" applyAlignment="1">
      <alignment horizontal="left" vertical="top" wrapText="1"/>
    </xf>
    <xf numFmtId="0" fontId="0" fillId="4" borderId="0" xfId="0" applyFill="1" applyAlignment="1">
      <alignment vertical="top" wrapText="1"/>
    </xf>
    <xf numFmtId="0" fontId="0" fillId="0" borderId="0" xfId="0" applyAlignment="1">
      <alignment horizontal="left" vertical="top" wrapText="1"/>
    </xf>
    <xf numFmtId="0" fontId="6" fillId="4" borderId="0" xfId="0" applyFont="1" applyFill="1" applyAlignment="1">
      <alignment vertical="top" wrapText="1"/>
    </xf>
    <xf numFmtId="0" fontId="0" fillId="4" borderId="0" xfId="0" applyFill="1"/>
    <xf numFmtId="2" fontId="0" fillId="4" borderId="0" xfId="0" applyNumberFormat="1" applyFill="1"/>
    <xf numFmtId="2" fontId="0" fillId="0" borderId="0" xfId="0" applyNumberFormat="1"/>
    <xf numFmtId="0" fontId="7" fillId="0" borderId="0" xfId="0" applyFont="1"/>
    <xf numFmtId="0" fontId="8" fillId="2" borderId="0" xfId="0" applyFont="1" applyFill="1" applyAlignment="1">
      <alignment horizontal="left" vertical="center"/>
    </xf>
    <xf numFmtId="0" fontId="8" fillId="5" borderId="0" xfId="0" applyFont="1" applyFill="1" applyAlignment="1">
      <alignment horizontal="center" vertical="center"/>
    </xf>
    <xf numFmtId="0" fontId="7" fillId="0" borderId="0" xfId="0" applyFont="1" applyAlignment="1">
      <alignment horizontal="center" vertical="center"/>
    </xf>
    <xf numFmtId="0" fontId="7" fillId="5" borderId="0" xfId="0" applyFont="1" applyFill="1" applyAlignment="1">
      <alignment horizontal="center" vertical="center"/>
    </xf>
    <xf numFmtId="0" fontId="8" fillId="5" borderId="0" xfId="0" applyFont="1" applyFill="1" applyAlignment="1">
      <alignment horizontal="left" vertical="center"/>
    </xf>
    <xf numFmtId="0" fontId="9" fillId="0" borderId="0" xfId="0" applyFont="1"/>
    <xf numFmtId="0" fontId="7" fillId="4" borderId="0" xfId="0" applyFont="1" applyFill="1"/>
    <xf numFmtId="0" fontId="9" fillId="3" borderId="0" xfId="0" applyFont="1" applyFill="1"/>
    <xf numFmtId="0" fontId="7" fillId="3" borderId="0" xfId="0" applyFont="1" applyFill="1"/>
    <xf numFmtId="0" fontId="7" fillId="6" borderId="0" xfId="0" applyFont="1" applyFill="1"/>
    <xf numFmtId="0" fontId="7" fillId="7" borderId="0" xfId="0" applyFont="1" applyFill="1"/>
    <xf numFmtId="0" fontId="7" fillId="8" borderId="0" xfId="0" applyFont="1" applyFill="1"/>
    <xf numFmtId="0" fontId="7" fillId="9" borderId="0" xfId="0" applyFont="1" applyFill="1"/>
    <xf numFmtId="0" fontId="10" fillId="10" borderId="0" xfId="0" applyFont="1" applyFill="1"/>
    <xf numFmtId="0" fontId="7" fillId="11" borderId="0" xfId="0" applyFont="1" applyFill="1"/>
    <xf numFmtId="0" fontId="10" fillId="12" borderId="0" xfId="0" applyFont="1" applyFill="1"/>
    <xf numFmtId="0" fontId="7" fillId="0" borderId="0" xfId="0" applyFont="1" applyAlignment="1">
      <alignment horizontal="left"/>
    </xf>
    <xf numFmtId="0" fontId="9" fillId="4" borderId="0" xfId="0" applyFont="1" applyFill="1"/>
    <xf numFmtId="0" fontId="9" fillId="0" borderId="0" xfId="0" applyFont="1" applyAlignment="1">
      <alignment horizontal="left"/>
    </xf>
    <xf numFmtId="0" fontId="9" fillId="13" borderId="0" xfId="0" applyFont="1" applyFill="1"/>
    <xf numFmtId="0" fontId="9" fillId="14" borderId="0" xfId="0" applyFont="1" applyFill="1"/>
    <xf numFmtId="0" fontId="9" fillId="15" borderId="0" xfId="0" applyFont="1" applyFill="1"/>
    <xf numFmtId="0" fontId="7" fillId="15" borderId="0" xfId="0" applyFont="1" applyFill="1"/>
    <xf numFmtId="0" fontId="9" fillId="16" borderId="0" xfId="0" applyFont="1" applyFill="1" applyAlignment="1">
      <alignment horizontal="right"/>
    </xf>
    <xf numFmtId="0" fontId="11" fillId="0" borderId="0" xfId="0" applyFont="1"/>
    <xf numFmtId="0" fontId="12" fillId="3" borderId="0" xfId="0" applyFont="1" applyFill="1"/>
    <xf numFmtId="0" fontId="12" fillId="0" borderId="0" xfId="0" applyFont="1"/>
    <xf numFmtId="0" fontId="13" fillId="0" borderId="0" xfId="0" applyFont="1"/>
    <xf numFmtId="0" fontId="13" fillId="17" borderId="0" xfId="0" applyFont="1" applyFill="1"/>
    <xf numFmtId="0" fontId="15" fillId="5" borderId="0" xfId="0" applyFont="1" applyFill="1" applyAlignment="1">
      <alignment horizontal="left" vertical="center"/>
    </xf>
    <xf numFmtId="0" fontId="17" fillId="20" borderId="0" xfId="0" applyFont="1" applyFill="1"/>
    <xf numFmtId="0" fontId="13" fillId="20" borderId="0" xfId="0" applyFont="1" applyFill="1"/>
    <xf numFmtId="0" fontId="18" fillId="21" borderId="0" xfId="0" applyFont="1" applyFill="1" applyAlignment="1">
      <alignment horizontal="left" vertical="center"/>
    </xf>
    <xf numFmtId="0" fontId="13" fillId="21" borderId="0" xfId="0" applyFont="1" applyFill="1"/>
    <xf numFmtId="0" fontId="19" fillId="21" borderId="0" xfId="0" applyFont="1" applyFill="1" applyAlignment="1">
      <alignment horizontal="left" vertical="center"/>
    </xf>
    <xf numFmtId="3" fontId="19" fillId="4" borderId="0" xfId="0" applyNumberFormat="1" applyFont="1" applyFill="1" applyAlignment="1">
      <alignment horizontal="right" vertical="center"/>
    </xf>
    <xf numFmtId="0" fontId="20" fillId="21" borderId="0" xfId="0" applyFont="1" applyFill="1" applyAlignment="1">
      <alignment horizontal="left" vertical="center"/>
    </xf>
    <xf numFmtId="3" fontId="19" fillId="11" borderId="0" xfId="0" applyNumberFormat="1" applyFont="1" applyFill="1" applyAlignment="1">
      <alignment horizontal="right" vertical="center"/>
    </xf>
    <xf numFmtId="3" fontId="21" fillId="13" borderId="0" xfId="0" applyNumberFormat="1" applyFont="1" applyFill="1" applyAlignment="1">
      <alignment horizontal="right" vertical="center"/>
    </xf>
    <xf numFmtId="3" fontId="22" fillId="11" borderId="0" xfId="0" applyNumberFormat="1" applyFont="1" applyFill="1" applyAlignment="1">
      <alignment horizontal="right" vertical="center"/>
    </xf>
    <xf numFmtId="3" fontId="23" fillId="13" borderId="0" xfId="0" applyNumberFormat="1" applyFont="1" applyFill="1" applyAlignment="1">
      <alignment horizontal="right" vertical="center"/>
    </xf>
    <xf numFmtId="3" fontId="24" fillId="22" borderId="0" xfId="0" applyNumberFormat="1" applyFont="1" applyFill="1" applyAlignment="1">
      <alignment horizontal="right" vertical="center"/>
    </xf>
    <xf numFmtId="164" fontId="24" fillId="22" borderId="0" xfId="0" applyNumberFormat="1" applyFont="1" applyFill="1" applyAlignment="1">
      <alignment horizontal="right" vertical="center"/>
    </xf>
    <xf numFmtId="165" fontId="23" fillId="13" borderId="0" xfId="0" applyNumberFormat="1" applyFont="1" applyFill="1" applyAlignment="1">
      <alignment horizontal="right" vertical="center"/>
    </xf>
    <xf numFmtId="0" fontId="2" fillId="3" borderId="0" xfId="0" applyFont="1" applyFill="1"/>
    <xf numFmtId="0" fontId="26" fillId="0" borderId="0" xfId="0" applyFont="1"/>
    <xf numFmtId="0" fontId="27" fillId="0" borderId="0" xfId="0" applyFont="1"/>
    <xf numFmtId="0" fontId="2" fillId="0" borderId="0" xfId="0" applyFont="1"/>
    <xf numFmtId="0" fontId="28" fillId="23" borderId="0" xfId="0" applyFont="1" applyFill="1" applyAlignment="1">
      <alignment horizontal="left" vertical="center"/>
    </xf>
    <xf numFmtId="0" fontId="29" fillId="16" borderId="0" xfId="0" applyFont="1" applyFill="1" applyAlignment="1">
      <alignment horizontal="center" vertical="center" wrapText="1"/>
    </xf>
    <xf numFmtId="0" fontId="30" fillId="14" borderId="0" xfId="0" applyFont="1" applyFill="1" applyAlignment="1">
      <alignment horizontal="left" vertical="top" wrapText="1"/>
    </xf>
    <xf numFmtId="0" fontId="31" fillId="0" borderId="0" xfId="0" applyFont="1"/>
    <xf numFmtId="0" fontId="32" fillId="0" borderId="0" xfId="0" applyFont="1"/>
    <xf numFmtId="0" fontId="32" fillId="0" borderId="0" xfId="0" applyFont="1" applyAlignment="1">
      <alignment horizontal="left"/>
    </xf>
    <xf numFmtId="0" fontId="33" fillId="0" borderId="0" xfId="0" applyFont="1"/>
    <xf numFmtId="0" fontId="34" fillId="0" borderId="0" xfId="0" applyFont="1"/>
    <xf numFmtId="0" fontId="35" fillId="0" borderId="0" xfId="0" applyFont="1"/>
    <xf numFmtId="0" fontId="0" fillId="6" borderId="0" xfId="0" applyFill="1"/>
    <xf numFmtId="0" fontId="0" fillId="8" borderId="0" xfId="0" applyFill="1"/>
    <xf numFmtId="0" fontId="0" fillId="7" borderId="0" xfId="0" applyFill="1"/>
    <xf numFmtId="0" fontId="0" fillId="9" borderId="0" xfId="0" applyFill="1"/>
    <xf numFmtId="0" fontId="36" fillId="10" borderId="0" xfId="0" applyFont="1" applyFill="1"/>
    <xf numFmtId="0" fontId="0" fillId="0" borderId="0" xfId="0" applyAlignment="1">
      <alignment vertical="top"/>
    </xf>
    <xf numFmtId="0" fontId="0" fillId="0" borderId="0" xfId="0" applyAlignment="1">
      <alignment vertical="top" wrapText="1"/>
    </xf>
    <xf numFmtId="0" fontId="1" fillId="25" borderId="0" xfId="0" applyFont="1" applyFill="1" applyAlignment="1">
      <alignment vertical="top" wrapText="1"/>
    </xf>
    <xf numFmtId="0" fontId="2" fillId="19" borderId="0" xfId="0" applyFont="1" applyFill="1" applyAlignment="1">
      <alignment vertical="top" wrapText="1"/>
    </xf>
    <xf numFmtId="3" fontId="2" fillId="19" borderId="0" xfId="0" applyNumberFormat="1" applyFont="1" applyFill="1" applyAlignment="1">
      <alignment vertical="top" wrapText="1"/>
    </xf>
    <xf numFmtId="3" fontId="0" fillId="0" borderId="0" xfId="0" applyNumberFormat="1" applyAlignment="1">
      <alignment vertical="top" wrapText="1"/>
    </xf>
    <xf numFmtId="0" fontId="2" fillId="19" borderId="0" xfId="0" applyFont="1" applyFill="1" applyAlignment="1">
      <alignment vertical="top"/>
    </xf>
    <xf numFmtId="3" fontId="0" fillId="0" borderId="0" xfId="0" applyNumberFormat="1" applyAlignment="1">
      <alignment vertical="top"/>
    </xf>
    <xf numFmtId="0" fontId="0" fillId="0" borderId="0" xfId="0" applyAlignment="1">
      <alignment wrapText="1"/>
    </xf>
    <xf numFmtId="0" fontId="1" fillId="25" borderId="0" xfId="0" applyFont="1" applyFill="1" applyAlignment="1">
      <alignment wrapText="1"/>
    </xf>
    <xf numFmtId="0" fontId="37" fillId="0" borderId="0" xfId="0" applyFont="1" applyAlignment="1">
      <alignment vertical="top"/>
    </xf>
    <xf numFmtId="0" fontId="37" fillId="0" borderId="0" xfId="0" applyFont="1"/>
    <xf numFmtId="0" fontId="38" fillId="3" borderId="0" xfId="0" applyFont="1" applyFill="1" applyAlignment="1">
      <alignment horizontal="left"/>
    </xf>
    <xf numFmtId="0" fontId="39" fillId="0" borderId="0" xfId="0" quotePrefix="1" applyFont="1"/>
    <xf numFmtId="0" fontId="39" fillId="0" borderId="0" xfId="0" applyFont="1"/>
    <xf numFmtId="0" fontId="39" fillId="0" borderId="0" xfId="0" applyFont="1" applyAlignment="1">
      <alignment horizontal="right"/>
    </xf>
    <xf numFmtId="0" fontId="0" fillId="0" borderId="0" xfId="0" applyAlignment="1">
      <alignment horizontal="right"/>
    </xf>
    <xf numFmtId="0" fontId="40" fillId="0" borderId="0" xfId="0" applyFont="1"/>
    <xf numFmtId="0" fontId="37" fillId="0" borderId="0" xfId="0" applyFont="1" applyAlignment="1">
      <alignment horizontal="right"/>
    </xf>
    <xf numFmtId="0" fontId="37" fillId="0" borderId="0" xfId="0" quotePrefix="1" applyFont="1" applyAlignment="1">
      <alignment horizontal="right"/>
    </xf>
    <xf numFmtId="0" fontId="40" fillId="0" borderId="1" xfId="0" applyFont="1" applyBorder="1"/>
    <xf numFmtId="0" fontId="0" fillId="0" borderId="1" xfId="0" applyBorder="1" applyAlignment="1">
      <alignment horizontal="right"/>
    </xf>
    <xf numFmtId="0" fontId="41" fillId="0" borderId="0" xfId="0" applyFont="1"/>
    <xf numFmtId="0" fontId="42" fillId="0" borderId="0" xfId="0" applyFont="1"/>
    <xf numFmtId="0" fontId="43" fillId="0" borderId="0" xfId="0" applyFont="1"/>
    <xf numFmtId="0" fontId="44" fillId="0" borderId="0" xfId="0" applyFont="1"/>
    <xf numFmtId="0" fontId="45" fillId="0" borderId="0" xfId="0" applyFont="1"/>
    <xf numFmtId="0" fontId="46" fillId="0" borderId="0" xfId="0" applyFont="1"/>
    <xf numFmtId="0" fontId="5" fillId="21" borderId="0" xfId="0" applyFont="1" applyFill="1" applyAlignment="1">
      <alignment horizontal="left" vertical="center" wrapText="1"/>
    </xf>
    <xf numFmtId="0" fontId="5" fillId="11" borderId="0" xfId="0" applyFont="1" applyFill="1" applyAlignment="1">
      <alignment horizontal="left" vertical="center" wrapText="1"/>
    </xf>
    <xf numFmtId="9" fontId="5" fillId="11" borderId="0" xfId="0" applyNumberFormat="1" applyFont="1" applyFill="1" applyAlignment="1">
      <alignment horizontal="left" vertical="center" wrapText="1"/>
    </xf>
    <xf numFmtId="9" fontId="0" fillId="22" borderId="0" xfId="0" applyNumberFormat="1" applyFill="1" applyAlignment="1">
      <alignment horizontal="left" vertical="center" wrapText="1"/>
    </xf>
    <xf numFmtId="9" fontId="5" fillId="22" borderId="0" xfId="0" applyNumberFormat="1" applyFont="1" applyFill="1" applyAlignment="1">
      <alignment horizontal="left" vertical="center" wrapText="1"/>
    </xf>
    <xf numFmtId="0" fontId="48" fillId="0" borderId="0" xfId="0" applyFont="1"/>
    <xf numFmtId="0" fontId="47" fillId="0" borderId="0" xfId="0" applyFont="1"/>
    <xf numFmtId="0" fontId="5" fillId="21" borderId="0" xfId="0" applyFont="1" applyFill="1" applyAlignment="1">
      <alignment horizontal="left" vertical="center"/>
    </xf>
    <xf numFmtId="3" fontId="24" fillId="26" borderId="0" xfId="0" applyNumberFormat="1" applyFont="1" applyFill="1" applyAlignment="1">
      <alignment horizontal="right" vertical="center"/>
    </xf>
    <xf numFmtId="164" fontId="24" fillId="26" borderId="0" xfId="0" applyNumberFormat="1" applyFont="1" applyFill="1" applyAlignment="1">
      <alignment horizontal="right" vertical="center"/>
    </xf>
    <xf numFmtId="9" fontId="0" fillId="26" borderId="0" xfId="0" applyNumberFormat="1" applyFill="1" applyAlignment="1">
      <alignment horizontal="left" vertical="center" wrapText="1"/>
    </xf>
    <xf numFmtId="9" fontId="5" fillId="26" borderId="0" xfId="0" applyNumberFormat="1" applyFont="1" applyFill="1" applyAlignment="1">
      <alignment horizontal="left" vertical="center" wrapText="1"/>
    </xf>
    <xf numFmtId="3" fontId="5" fillId="26" borderId="0" xfId="0" applyNumberFormat="1" applyFont="1" applyFill="1" applyAlignment="1">
      <alignment horizontal="left" vertical="center" wrapText="1"/>
    </xf>
    <xf numFmtId="0" fontId="49" fillId="19" borderId="0" xfId="0" applyFont="1" applyFill="1" applyAlignment="1">
      <alignment horizontal="left" vertical="center" wrapText="1"/>
    </xf>
    <xf numFmtId="3" fontId="5" fillId="4" borderId="0" xfId="0" applyNumberFormat="1" applyFont="1" applyFill="1" applyAlignment="1">
      <alignment horizontal="left" vertical="center" wrapText="1"/>
    </xf>
    <xf numFmtId="3" fontId="5" fillId="11" borderId="0" xfId="0" applyNumberFormat="1" applyFont="1" applyFill="1" applyAlignment="1">
      <alignment horizontal="left" vertical="center"/>
    </xf>
    <xf numFmtId="0" fontId="51" fillId="0" borderId="0" xfId="0" applyFont="1"/>
    <xf numFmtId="0" fontId="43" fillId="19" borderId="0" xfId="0" applyFont="1" applyFill="1" applyAlignment="1">
      <alignment horizontal="left" vertical="center" wrapText="1"/>
    </xf>
    <xf numFmtId="0" fontId="13" fillId="0" borderId="0" xfId="0" applyFont="1"/>
    <xf numFmtId="0" fontId="14" fillId="18" borderId="0" xfId="0" applyFont="1" applyFill="1" applyAlignment="1">
      <alignment vertical="center"/>
    </xf>
    <xf numFmtId="0" fontId="50" fillId="27" borderId="0" xfId="0" applyFont="1" applyFill="1" applyAlignment="1">
      <alignment horizontal="center" vertical="center" wrapText="1"/>
    </xf>
    <xf numFmtId="0" fontId="16" fillId="19" borderId="0" xfId="0" applyFont="1" applyFill="1" applyAlignment="1">
      <alignment horizontal="left" vertical="center"/>
    </xf>
    <xf numFmtId="0" fontId="1" fillId="2" borderId="0" xfId="0" applyFont="1" applyFill="1" applyAlignment="1">
      <alignment horizontal="left" vertical="center"/>
    </xf>
    <xf numFmtId="0" fontId="0" fillId="0" borderId="0" xfId="0"/>
    <xf numFmtId="0" fontId="3" fillId="2" borderId="0" xfId="0" applyFont="1" applyFill="1" applyAlignment="1">
      <alignment horizontal="left" vertical="center" wrapText="1"/>
    </xf>
    <xf numFmtId="0" fontId="1" fillId="2" borderId="0" xfId="0" applyFont="1" applyFill="1" applyAlignment="1">
      <alignment horizontal="left" vertical="center" wrapText="1"/>
    </xf>
    <xf numFmtId="0" fontId="5" fillId="19" borderId="0" xfId="0" applyFont="1" applyFill="1" applyAlignment="1">
      <alignment horizontal="left" vertical="center" wrapText="1"/>
    </xf>
    <xf numFmtId="0" fontId="25" fillId="19" borderId="0" xfId="0" applyFont="1" applyFill="1" applyAlignment="1">
      <alignment horizontal="left" vertical="center" wrapText="1"/>
    </xf>
    <xf numFmtId="0" fontId="1" fillId="24" borderId="0" xfId="0" applyFont="1" applyFill="1" applyAlignment="1">
      <alignment horizontal="center" vertical="top" wrapText="1"/>
    </xf>
    <xf numFmtId="0" fontId="1" fillId="24" borderId="0" xfId="0" applyFont="1" applyFill="1" applyAlignment="1">
      <alignment horizont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F766E"/>
      <rgbColor rgb="FF84E291"/>
      <rgbColor rgb="FF808080"/>
      <rgbColor rgb="FF4E95D9"/>
      <rgbColor rgb="FF993366"/>
      <rgbColor rgb="FFFEF3C7"/>
      <rgbColor rgb="FFE0F2FE"/>
      <rgbColor rgb="FF660066"/>
      <rgbColor rgb="FFFF8080"/>
      <rgbColor rgb="FF0070C0"/>
      <rgbColor rgb="FFDBEAFE"/>
      <rgbColor rgb="FF000080"/>
      <rgbColor rgb="FFFF00FF"/>
      <rgbColor rgb="FFF1F5F9"/>
      <rgbColor rgb="FF00FFFF"/>
      <rgbColor rgb="FF800080"/>
      <rgbColor rgb="FF800000"/>
      <rgbColor rgb="FF008080"/>
      <rgbColor rgb="FF0000FF"/>
      <rgbColor rgb="FF00CCFF"/>
      <rgbColor rgb="FFD9EAF7"/>
      <rgbColor rgb="FFE5E7EB"/>
      <rgbColor rgb="FFFFF2CC"/>
      <rgbColor rgb="FFA6CAEC"/>
      <rgbColor rgb="FFF2F2F2"/>
      <rgbColor rgb="FFF3F4F6"/>
      <rgbColor rgb="FFE7E6E6"/>
      <rgbColor rgb="FF2563EB"/>
      <rgbColor rgb="FF33CCCC"/>
      <rgbColor rgb="FF99CC00"/>
      <rgbColor rgb="FFFFC000"/>
      <rgbColor rgb="FFFF9900"/>
      <rgbColor rgb="FFFF6600"/>
      <rgbColor rgb="FF4B5563"/>
      <rgbColor rgb="FF969696"/>
      <rgbColor rgb="FF1E293B"/>
      <rgbColor rgb="FF10B981"/>
      <rgbColor rgb="FF111827"/>
      <rgbColor rgb="FF374151"/>
      <rgbColor rgb="FFB91C1C"/>
      <rgbColor rgb="FF993366"/>
      <rgbColor rgb="FF1F4E78"/>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10440</xdr:colOff>
      <xdr:row>126</xdr:row>
      <xdr:rowOff>10440</xdr:rowOff>
    </xdr:from>
    <xdr:to>
      <xdr:col>7</xdr:col>
      <xdr:colOff>496800</xdr:colOff>
      <xdr:row>152</xdr:row>
      <xdr:rowOff>10080</xdr:rowOff>
    </xdr:to>
    <xdr:pic>
      <xdr:nvPicPr>
        <xdr:cNvPr id="2" name="Graphic 2">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a:stretch>
          <a:fillRect/>
        </a:stretch>
      </xdr:blipFill>
      <xdr:spPr>
        <a:xfrm>
          <a:off x="7081200" y="30776040"/>
          <a:ext cx="6018480" cy="4952880"/>
        </a:xfrm>
        <a:prstGeom prst="rect">
          <a:avLst/>
        </a:prstGeom>
        <a:ln w="0">
          <a:noFill/>
          <a:prstDash val="solid"/>
        </a:ln>
      </xdr:spPr>
    </xdr:pic>
    <xdr:clientData/>
  </xdr:twoCellAnchor>
  <xdr:twoCellAnchor editAs="oneCell">
    <xdr:from>
      <xdr:col>1</xdr:col>
      <xdr:colOff>10440</xdr:colOff>
      <xdr:row>126</xdr:row>
      <xdr:rowOff>10440</xdr:rowOff>
    </xdr:from>
    <xdr:to>
      <xdr:col>3</xdr:col>
      <xdr:colOff>2257920</xdr:colOff>
      <xdr:row>172</xdr:row>
      <xdr:rowOff>10080</xdr:rowOff>
    </xdr:to>
    <xdr:pic>
      <xdr:nvPicPr>
        <xdr:cNvPr id="3" name="Graphic 4">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2"/>
        <a:stretch>
          <a:fillRect/>
        </a:stretch>
      </xdr:blipFill>
      <xdr:spPr>
        <a:xfrm>
          <a:off x="632880" y="30776040"/>
          <a:ext cx="6240960" cy="8762760"/>
        </a:xfrm>
        <a:prstGeom prst="rect">
          <a:avLst/>
        </a:prstGeom>
        <a:ln w="0">
          <a:noFill/>
          <a:prstDash val="solid"/>
        </a:ln>
      </xdr:spPr>
    </xdr:pic>
    <xdr:clientData/>
  </xdr:twoCellAnchor>
</xdr:wsDr>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
  <sheetViews>
    <sheetView zoomScale="120" zoomScaleNormal="120" workbookViewId="0">
      <selection activeCell="A3" sqref="A3"/>
    </sheetView>
  </sheetViews>
  <sheetFormatPr baseColWidth="10" defaultColWidth="8.83203125" defaultRowHeight="15"/>
  <cols>
    <col min="1" max="8" width="13.83203125" customWidth="1"/>
  </cols>
  <sheetData>
    <row r="1" spans="1:8" ht="60.75" customHeight="1">
      <c r="A1" s="126" t="s">
        <v>61</v>
      </c>
      <c r="B1" s="127"/>
      <c r="C1" s="127"/>
      <c r="D1" s="127"/>
      <c r="E1" s="127"/>
      <c r="F1" s="127"/>
      <c r="G1" s="127"/>
      <c r="H1" s="127"/>
    </row>
    <row r="3" spans="1:8" ht="21" customHeight="1">
      <c r="A3" s="1" t="s">
        <v>62</v>
      </c>
      <c r="B3" s="2" t="s">
        <v>63</v>
      </c>
    </row>
    <row r="4" spans="1:8" ht="21" customHeight="1">
      <c r="A4" s="1" t="s">
        <v>64</v>
      </c>
      <c r="B4" s="2" t="s">
        <v>65</v>
      </c>
    </row>
    <row r="5" spans="1:8" ht="21" customHeight="1">
      <c r="A5" s="1" t="s">
        <v>66</v>
      </c>
      <c r="B5" s="2" t="s">
        <v>67</v>
      </c>
    </row>
    <row r="6" spans="1:8" ht="21" customHeight="1">
      <c r="A6" s="1" t="s">
        <v>68</v>
      </c>
      <c r="B6" s="2" t="s">
        <v>69</v>
      </c>
    </row>
    <row r="7" spans="1:8" ht="21" customHeight="1">
      <c r="A7" s="1" t="s">
        <v>70</v>
      </c>
      <c r="B7" s="2" t="s">
        <v>71</v>
      </c>
    </row>
    <row r="8" spans="1:8" ht="21" customHeight="1">
      <c r="A8" s="1" t="s">
        <v>72</v>
      </c>
      <c r="B8" s="2" t="s">
        <v>73</v>
      </c>
    </row>
    <row r="9" spans="1:8" ht="21" customHeight="1">
      <c r="A9" s="1" t="s">
        <v>74</v>
      </c>
      <c r="B9" s="2" t="s">
        <v>75</v>
      </c>
    </row>
    <row r="10" spans="1:8" ht="21" customHeight="1">
      <c r="A10" s="1" t="s">
        <v>76</v>
      </c>
      <c r="B10" s="2" t="s">
        <v>77</v>
      </c>
    </row>
    <row r="11" spans="1:8" ht="21" customHeight="1">
      <c r="A11" s="1" t="s">
        <v>78</v>
      </c>
      <c r="B11" s="2" t="s">
        <v>79</v>
      </c>
    </row>
    <row r="12" spans="1:8" ht="21" customHeight="1">
      <c r="A12" s="1" t="s">
        <v>80</v>
      </c>
      <c r="B12" s="2" t="s">
        <v>81</v>
      </c>
    </row>
    <row r="13" spans="1:8" ht="21" customHeight="1">
      <c r="A13" s="2" t="s">
        <v>82</v>
      </c>
      <c r="B13" s="2" t="s">
        <v>83</v>
      </c>
    </row>
  </sheetData>
  <mergeCells count="1">
    <mergeCell ref="A1:H1"/>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9"/>
  <sheetViews>
    <sheetView zoomScale="120" zoomScaleNormal="120" workbookViewId="0">
      <selection activeCell="A3" sqref="A3"/>
    </sheetView>
  </sheetViews>
  <sheetFormatPr baseColWidth="10" defaultColWidth="8.83203125" defaultRowHeight="15"/>
  <cols>
    <col min="1" max="11" width="13.83203125" customWidth="1"/>
  </cols>
  <sheetData>
    <row r="1" spans="1:11" ht="60.75" customHeight="1">
      <c r="A1" s="128" t="s">
        <v>84</v>
      </c>
      <c r="B1" s="127"/>
      <c r="C1" s="127"/>
      <c r="D1" s="127"/>
      <c r="E1" s="127"/>
      <c r="F1" s="127"/>
      <c r="G1" s="127"/>
      <c r="H1" s="127"/>
      <c r="I1" s="127"/>
      <c r="J1" s="127"/>
      <c r="K1" s="127"/>
    </row>
    <row r="2" spans="1:11" ht="21" customHeight="1">
      <c r="A2" s="3" t="s">
        <v>85</v>
      </c>
      <c r="B2" s="4"/>
      <c r="C2" s="4"/>
      <c r="D2" s="4"/>
      <c r="E2" s="4"/>
      <c r="F2" s="4"/>
      <c r="G2" s="4"/>
      <c r="H2" s="4"/>
      <c r="I2" s="4"/>
      <c r="J2" s="4"/>
    </row>
    <row r="3" spans="1:11" ht="21" customHeight="1">
      <c r="A3" s="5" t="s">
        <v>86</v>
      </c>
      <c r="B3" s="5" t="s">
        <v>87</v>
      </c>
      <c r="C3" s="5" t="s">
        <v>88</v>
      </c>
      <c r="D3" s="5" t="s">
        <v>89</v>
      </c>
      <c r="E3" s="5" t="s">
        <v>90</v>
      </c>
      <c r="F3" s="5" t="s">
        <v>91</v>
      </c>
      <c r="G3" s="5" t="s">
        <v>92</v>
      </c>
      <c r="H3" s="5" t="s">
        <v>93</v>
      </c>
      <c r="I3" s="5" t="s">
        <v>94</v>
      </c>
      <c r="J3" s="5" t="s">
        <v>95</v>
      </c>
      <c r="K3" s="6" t="s">
        <v>96</v>
      </c>
    </row>
    <row r="4" spans="1:11" ht="33.75" customHeight="1">
      <c r="A4" s="7" t="s">
        <v>97</v>
      </c>
      <c r="B4" s="7">
        <v>750</v>
      </c>
      <c r="C4" s="7">
        <v>1800</v>
      </c>
      <c r="D4" s="7">
        <v>150</v>
      </c>
      <c r="E4" s="7">
        <v>450</v>
      </c>
      <c r="F4" s="8" t="s">
        <v>98</v>
      </c>
      <c r="G4" s="8" t="s">
        <v>99</v>
      </c>
      <c r="H4" s="8" t="s">
        <v>100</v>
      </c>
      <c r="I4" s="8" t="s">
        <v>101</v>
      </c>
      <c r="J4" s="8" t="s">
        <v>102</v>
      </c>
      <c r="K4" s="8" t="s">
        <v>103</v>
      </c>
    </row>
    <row r="5" spans="1:11" ht="33.75" customHeight="1">
      <c r="A5" s="7" t="s">
        <v>104</v>
      </c>
      <c r="B5" s="7">
        <v>1500</v>
      </c>
      <c r="C5" s="7">
        <v>3500</v>
      </c>
      <c r="D5" s="7">
        <v>300</v>
      </c>
      <c r="E5" s="7">
        <v>750</v>
      </c>
      <c r="F5" s="8" t="s">
        <v>105</v>
      </c>
      <c r="G5" s="8" t="s">
        <v>106</v>
      </c>
      <c r="H5" s="8" t="s">
        <v>107</v>
      </c>
      <c r="I5" s="8" t="s">
        <v>108</v>
      </c>
      <c r="J5" s="8" t="s">
        <v>109</v>
      </c>
      <c r="K5" s="8" t="s">
        <v>110</v>
      </c>
    </row>
    <row r="6" spans="1:11" ht="33.75" customHeight="1">
      <c r="A6" s="7" t="s">
        <v>111</v>
      </c>
      <c r="B6" s="7">
        <v>3500</v>
      </c>
      <c r="C6" s="7">
        <v>7500</v>
      </c>
      <c r="D6" s="7">
        <v>750</v>
      </c>
      <c r="E6" s="7">
        <v>1500</v>
      </c>
      <c r="F6" s="8" t="s">
        <v>112</v>
      </c>
      <c r="G6" s="8" t="s">
        <v>113</v>
      </c>
      <c r="H6" s="8" t="s">
        <v>114</v>
      </c>
      <c r="I6" s="8" t="s">
        <v>115</v>
      </c>
      <c r="J6" s="8" t="s">
        <v>116</v>
      </c>
      <c r="K6" s="8" t="s">
        <v>117</v>
      </c>
    </row>
    <row r="7" spans="1:11" ht="33.75" customHeight="1">
      <c r="A7" s="7" t="s">
        <v>118</v>
      </c>
      <c r="B7" s="7">
        <v>7500</v>
      </c>
      <c r="C7" s="7">
        <v>15000</v>
      </c>
      <c r="D7" s="7">
        <v>1500</v>
      </c>
      <c r="E7" s="7">
        <v>3500</v>
      </c>
      <c r="F7" s="8" t="s">
        <v>119</v>
      </c>
      <c r="G7" s="8" t="s">
        <v>120</v>
      </c>
      <c r="H7" s="8" t="s">
        <v>121</v>
      </c>
      <c r="I7" s="8" t="s">
        <v>122</v>
      </c>
      <c r="J7" s="8" t="s">
        <v>123</v>
      </c>
      <c r="K7" s="8" t="s">
        <v>124</v>
      </c>
    </row>
    <row r="8" spans="1:11" ht="33.75" customHeight="1">
      <c r="A8" s="7" t="s">
        <v>125</v>
      </c>
      <c r="B8" s="7">
        <v>12000</v>
      </c>
      <c r="C8" s="7">
        <v>30000</v>
      </c>
      <c r="D8" s="7">
        <v>2500</v>
      </c>
      <c r="E8" s="7">
        <v>6000</v>
      </c>
      <c r="F8" s="8" t="s">
        <v>126</v>
      </c>
      <c r="G8" s="8" t="s">
        <v>127</v>
      </c>
      <c r="H8" s="8" t="s">
        <v>128</v>
      </c>
      <c r="I8" s="8" t="s">
        <v>129</v>
      </c>
      <c r="J8" s="8" t="s">
        <v>130</v>
      </c>
      <c r="K8" s="8" t="s">
        <v>131</v>
      </c>
    </row>
    <row r="9" spans="1:11" ht="33.75" customHeight="1">
      <c r="A9" s="9" t="s">
        <v>132</v>
      </c>
      <c r="B9" s="7">
        <v>4500</v>
      </c>
      <c r="C9" s="7">
        <v>15000</v>
      </c>
      <c r="D9" s="7">
        <v>0</v>
      </c>
      <c r="E9" s="7">
        <v>1000</v>
      </c>
      <c r="F9" s="8" t="s">
        <v>133</v>
      </c>
      <c r="G9" s="8" t="s">
        <v>134</v>
      </c>
      <c r="H9" s="8" t="s">
        <v>135</v>
      </c>
      <c r="I9" s="8" t="s">
        <v>136</v>
      </c>
      <c r="J9" s="8" t="s">
        <v>137</v>
      </c>
      <c r="K9" s="8" t="s">
        <v>138</v>
      </c>
    </row>
  </sheetData>
  <mergeCells count="1">
    <mergeCell ref="A1:K1"/>
  </mergeCell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9"/>
  <sheetViews>
    <sheetView zoomScale="120" zoomScaleNormal="120" workbookViewId="0">
      <selection activeCell="A3" sqref="A3"/>
    </sheetView>
  </sheetViews>
  <sheetFormatPr baseColWidth="10" defaultColWidth="8.83203125" defaultRowHeight="15"/>
  <cols>
    <col min="1" max="2" width="13.83203125" customWidth="1"/>
    <col min="3" max="9" width="21.83203125" customWidth="1"/>
    <col min="11" max="13" width="8.83203125" customWidth="1"/>
    <col min="14" max="18" width="21.83203125" customWidth="1"/>
  </cols>
  <sheetData>
    <row r="1" spans="1:18" ht="60.75" customHeight="1">
      <c r="A1" s="129" t="s">
        <v>139</v>
      </c>
      <c r="B1" s="127"/>
      <c r="C1" s="127"/>
      <c r="D1" s="127"/>
      <c r="E1" s="127"/>
      <c r="F1" s="127"/>
      <c r="G1" s="127"/>
      <c r="H1" s="127"/>
      <c r="I1" s="127"/>
      <c r="K1" s="129" t="s">
        <v>140</v>
      </c>
      <c r="L1" s="127"/>
      <c r="M1" s="127"/>
      <c r="N1" s="127"/>
      <c r="O1" s="127"/>
      <c r="P1" s="127"/>
      <c r="Q1" s="127"/>
      <c r="R1" s="127"/>
    </row>
    <row r="3" spans="1:18" ht="33.75" customHeight="1">
      <c r="A3" s="5" t="s">
        <v>141</v>
      </c>
      <c r="B3" s="5" t="s">
        <v>87</v>
      </c>
      <c r="C3" s="5" t="s">
        <v>88</v>
      </c>
      <c r="D3" s="5" t="s">
        <v>89</v>
      </c>
      <c r="E3" s="5" t="s">
        <v>90</v>
      </c>
      <c r="F3" s="5" t="s">
        <v>142</v>
      </c>
      <c r="G3" s="5" t="s">
        <v>143</v>
      </c>
      <c r="H3" s="5" t="s">
        <v>144</v>
      </c>
      <c r="I3" s="5" t="s">
        <v>145</v>
      </c>
      <c r="K3" s="5" t="s">
        <v>146</v>
      </c>
      <c r="L3" s="5" t="s">
        <v>147</v>
      </c>
      <c r="M3" s="5" t="s">
        <v>148</v>
      </c>
      <c r="N3" s="5" t="s">
        <v>149</v>
      </c>
      <c r="O3" s="5" t="s">
        <v>150</v>
      </c>
      <c r="P3" s="5" t="s">
        <v>151</v>
      </c>
      <c r="Q3" s="5" t="s">
        <v>152</v>
      </c>
      <c r="R3" s="5" t="s">
        <v>153</v>
      </c>
    </row>
    <row r="4" spans="1:18" ht="21" customHeight="1">
      <c r="A4" t="s">
        <v>154</v>
      </c>
      <c r="B4">
        <v>500</v>
      </c>
      <c r="C4">
        <v>1500</v>
      </c>
      <c r="D4">
        <v>100</v>
      </c>
      <c r="E4">
        <v>300</v>
      </c>
      <c r="F4" t="s">
        <v>155</v>
      </c>
      <c r="G4" t="s">
        <v>156</v>
      </c>
      <c r="H4" t="s">
        <v>157</v>
      </c>
      <c r="I4" t="s">
        <v>158</v>
      </c>
      <c r="K4" s="10" t="s">
        <v>159</v>
      </c>
      <c r="L4" s="11">
        <v>0</v>
      </c>
      <c r="M4" s="11">
        <v>1</v>
      </c>
      <c r="N4" t="s">
        <v>160</v>
      </c>
      <c r="O4" t="s">
        <v>161</v>
      </c>
      <c r="P4" t="s">
        <v>162</v>
      </c>
      <c r="Q4" t="s">
        <v>163</v>
      </c>
      <c r="R4" t="s">
        <v>164</v>
      </c>
    </row>
    <row r="5" spans="1:18" ht="21" customHeight="1">
      <c r="A5" t="s">
        <v>165</v>
      </c>
      <c r="B5">
        <v>500</v>
      </c>
      <c r="C5">
        <v>2000</v>
      </c>
      <c r="D5">
        <v>150</v>
      </c>
      <c r="E5">
        <v>500</v>
      </c>
      <c r="F5" t="s">
        <v>166</v>
      </c>
      <c r="G5" t="s">
        <v>167</v>
      </c>
      <c r="H5" t="s">
        <v>168</v>
      </c>
      <c r="I5" t="s">
        <v>169</v>
      </c>
      <c r="K5" s="10" t="s">
        <v>170</v>
      </c>
      <c r="L5" s="11">
        <v>0.5</v>
      </c>
      <c r="M5" s="11">
        <v>1</v>
      </c>
      <c r="N5" t="s">
        <v>171</v>
      </c>
      <c r="O5" t="s">
        <v>172</v>
      </c>
      <c r="P5" t="s">
        <v>173</v>
      </c>
      <c r="Q5" t="s">
        <v>174</v>
      </c>
      <c r="R5" t="s">
        <v>164</v>
      </c>
    </row>
    <row r="6" spans="1:18" ht="21" customHeight="1">
      <c r="A6" t="s">
        <v>175</v>
      </c>
      <c r="B6">
        <v>750</v>
      </c>
      <c r="C6">
        <v>2500</v>
      </c>
      <c r="D6">
        <v>200</v>
      </c>
      <c r="E6">
        <v>600</v>
      </c>
      <c r="F6" t="s">
        <v>176</v>
      </c>
      <c r="G6" t="s">
        <v>177</v>
      </c>
      <c r="H6" t="s">
        <v>178</v>
      </c>
      <c r="I6" t="s">
        <v>179</v>
      </c>
      <c r="K6" s="10" t="s">
        <v>180</v>
      </c>
      <c r="L6" s="11">
        <v>1</v>
      </c>
      <c r="M6" s="11">
        <v>1</v>
      </c>
      <c r="N6" t="s">
        <v>181</v>
      </c>
      <c r="O6" t="s">
        <v>182</v>
      </c>
      <c r="P6" t="s">
        <v>183</v>
      </c>
      <c r="Q6" t="s">
        <v>184</v>
      </c>
      <c r="R6" t="s">
        <v>185</v>
      </c>
    </row>
    <row r="7" spans="1:18" ht="21" customHeight="1">
      <c r="A7" t="s">
        <v>186</v>
      </c>
      <c r="B7">
        <v>750</v>
      </c>
      <c r="C7">
        <v>2000</v>
      </c>
      <c r="D7">
        <v>150</v>
      </c>
      <c r="E7">
        <v>500</v>
      </c>
      <c r="F7" t="s">
        <v>187</v>
      </c>
      <c r="G7" t="s">
        <v>188</v>
      </c>
      <c r="H7" t="s">
        <v>189</v>
      </c>
      <c r="I7" t="s">
        <v>190</v>
      </c>
      <c r="K7" s="10" t="s">
        <v>191</v>
      </c>
      <c r="L7" s="11">
        <v>1.5</v>
      </c>
      <c r="M7" s="11">
        <v>1</v>
      </c>
      <c r="N7" t="s">
        <v>192</v>
      </c>
      <c r="O7" t="s">
        <v>193</v>
      </c>
      <c r="P7" t="s">
        <v>194</v>
      </c>
      <c r="Q7" t="s">
        <v>195</v>
      </c>
      <c r="R7" t="s">
        <v>196</v>
      </c>
    </row>
    <row r="8" spans="1:18" ht="21" customHeight="1">
      <c r="A8" t="s">
        <v>197</v>
      </c>
      <c r="B8">
        <v>500</v>
      </c>
      <c r="C8">
        <v>2000</v>
      </c>
      <c r="D8">
        <v>250</v>
      </c>
      <c r="E8">
        <v>900</v>
      </c>
      <c r="F8" t="s">
        <v>198</v>
      </c>
      <c r="G8" t="s">
        <v>199</v>
      </c>
      <c r="H8" t="s">
        <v>200</v>
      </c>
      <c r="I8" t="s">
        <v>201</v>
      </c>
      <c r="K8" s="10" t="s">
        <v>202</v>
      </c>
      <c r="L8" s="11">
        <v>2</v>
      </c>
      <c r="M8" s="11">
        <v>1</v>
      </c>
      <c r="N8" t="s">
        <v>203</v>
      </c>
      <c r="O8" t="s">
        <v>161</v>
      </c>
      <c r="P8" t="s">
        <v>204</v>
      </c>
      <c r="Q8" t="s">
        <v>205</v>
      </c>
      <c r="R8" t="s">
        <v>206</v>
      </c>
    </row>
    <row r="9" spans="1:18" ht="21" customHeight="1">
      <c r="A9" t="s">
        <v>207</v>
      </c>
      <c r="B9">
        <v>0</v>
      </c>
      <c r="C9">
        <v>0</v>
      </c>
      <c r="D9">
        <v>0</v>
      </c>
      <c r="E9">
        <v>0</v>
      </c>
      <c r="F9" t="s">
        <v>208</v>
      </c>
      <c r="G9" t="s">
        <v>209</v>
      </c>
      <c r="H9" t="s">
        <v>210</v>
      </c>
      <c r="I9" t="s">
        <v>211</v>
      </c>
      <c r="K9" s="10" t="s">
        <v>212</v>
      </c>
      <c r="L9" s="11">
        <v>3</v>
      </c>
      <c r="M9" s="11">
        <v>1</v>
      </c>
      <c r="N9" t="s">
        <v>213</v>
      </c>
      <c r="O9" t="s">
        <v>214</v>
      </c>
      <c r="P9" t="s">
        <v>215</v>
      </c>
      <c r="Q9" t="s">
        <v>216</v>
      </c>
      <c r="R9" t="s">
        <v>217</v>
      </c>
    </row>
    <row r="10" spans="1:18" ht="21" customHeight="1">
      <c r="A10" t="s">
        <v>218</v>
      </c>
      <c r="B10">
        <v>0</v>
      </c>
      <c r="C10">
        <v>0</v>
      </c>
      <c r="D10">
        <v>0</v>
      </c>
      <c r="E10">
        <v>0</v>
      </c>
      <c r="F10" t="s">
        <v>219</v>
      </c>
      <c r="G10" t="s">
        <v>220</v>
      </c>
      <c r="H10" t="s">
        <v>221</v>
      </c>
      <c r="I10" t="s">
        <v>222</v>
      </c>
    </row>
    <row r="11" spans="1:18" ht="21" customHeight="1">
      <c r="A11" t="s">
        <v>161</v>
      </c>
      <c r="B11">
        <v>0</v>
      </c>
      <c r="C11">
        <v>0</v>
      </c>
      <c r="D11">
        <v>0</v>
      </c>
      <c r="E11">
        <v>0</v>
      </c>
      <c r="F11" t="s">
        <v>223</v>
      </c>
      <c r="G11" t="s">
        <v>224</v>
      </c>
      <c r="H11" t="s">
        <v>225</v>
      </c>
      <c r="I11" t="s">
        <v>226</v>
      </c>
    </row>
    <row r="13" spans="1:18" ht="33.75" customHeight="1">
      <c r="A13" s="5" t="s">
        <v>227</v>
      </c>
      <c r="B13" s="5" t="s">
        <v>228</v>
      </c>
      <c r="C13" s="5" t="s">
        <v>229</v>
      </c>
      <c r="D13" s="5" t="s">
        <v>230</v>
      </c>
      <c r="E13" s="5" t="s">
        <v>231</v>
      </c>
      <c r="F13" s="5" t="s">
        <v>232</v>
      </c>
      <c r="G13" s="5" t="s">
        <v>145</v>
      </c>
      <c r="H13" s="5" t="s">
        <v>233</v>
      </c>
      <c r="I13" s="5" t="s">
        <v>234</v>
      </c>
    </row>
    <row r="14" spans="1:18" ht="21" customHeight="1">
      <c r="A14" t="s">
        <v>159</v>
      </c>
      <c r="B14" s="12">
        <v>0</v>
      </c>
      <c r="C14" t="s">
        <v>235</v>
      </c>
      <c r="D14" t="s">
        <v>236</v>
      </c>
      <c r="E14" t="s">
        <v>237</v>
      </c>
      <c r="F14" t="s">
        <v>238</v>
      </c>
      <c r="G14" t="s">
        <v>239</v>
      </c>
      <c r="H14" t="s">
        <v>163</v>
      </c>
      <c r="I14" t="s">
        <v>240</v>
      </c>
    </row>
    <row r="15" spans="1:18" ht="21" customHeight="1">
      <c r="A15" t="s">
        <v>170</v>
      </c>
      <c r="B15" s="12">
        <v>0.5</v>
      </c>
      <c r="C15" t="s">
        <v>241</v>
      </c>
      <c r="D15" t="s">
        <v>242</v>
      </c>
      <c r="E15" t="s">
        <v>243</v>
      </c>
      <c r="F15" t="s">
        <v>244</v>
      </c>
      <c r="G15" t="s">
        <v>245</v>
      </c>
      <c r="H15" t="s">
        <v>246</v>
      </c>
      <c r="I15" t="s">
        <v>247</v>
      </c>
    </row>
    <row r="16" spans="1:18" ht="21" customHeight="1">
      <c r="A16" t="s">
        <v>180</v>
      </c>
      <c r="B16" s="12">
        <v>1</v>
      </c>
      <c r="C16" t="s">
        <v>248</v>
      </c>
      <c r="D16" t="s">
        <v>249</v>
      </c>
      <c r="E16" t="s">
        <v>250</v>
      </c>
      <c r="F16" t="s">
        <v>251</v>
      </c>
      <c r="G16" t="s">
        <v>252</v>
      </c>
      <c r="H16" t="s">
        <v>184</v>
      </c>
      <c r="I16" t="s">
        <v>253</v>
      </c>
    </row>
    <row r="17" spans="1:9" ht="21" customHeight="1">
      <c r="A17" t="s">
        <v>191</v>
      </c>
      <c r="B17" s="12">
        <v>1.5</v>
      </c>
      <c r="C17" t="s">
        <v>254</v>
      </c>
      <c r="D17" t="s">
        <v>255</v>
      </c>
      <c r="E17" t="s">
        <v>256</v>
      </c>
      <c r="F17" t="s">
        <v>257</v>
      </c>
      <c r="G17" t="s">
        <v>258</v>
      </c>
      <c r="H17" t="s">
        <v>259</v>
      </c>
      <c r="I17" t="s">
        <v>260</v>
      </c>
    </row>
    <row r="18" spans="1:9" ht="21" customHeight="1">
      <c r="A18" t="s">
        <v>202</v>
      </c>
      <c r="B18" s="12">
        <v>2</v>
      </c>
      <c r="C18" t="s">
        <v>261</v>
      </c>
      <c r="D18" t="s">
        <v>262</v>
      </c>
      <c r="E18" t="s">
        <v>263</v>
      </c>
      <c r="F18" t="s">
        <v>264</v>
      </c>
      <c r="G18" t="s">
        <v>265</v>
      </c>
      <c r="H18" t="s">
        <v>266</v>
      </c>
      <c r="I18" t="s">
        <v>267</v>
      </c>
    </row>
    <row r="19" spans="1:9" ht="21" customHeight="1">
      <c r="A19" t="s">
        <v>212</v>
      </c>
      <c r="B19" s="12">
        <v>3</v>
      </c>
      <c r="C19" t="s">
        <v>268</v>
      </c>
      <c r="D19" t="s">
        <v>269</v>
      </c>
      <c r="E19" t="s">
        <v>270</v>
      </c>
      <c r="F19" t="s">
        <v>271</v>
      </c>
      <c r="G19" t="s">
        <v>272</v>
      </c>
      <c r="H19" t="s">
        <v>216</v>
      </c>
      <c r="I19" t="s">
        <v>273</v>
      </c>
    </row>
  </sheetData>
  <mergeCells count="2">
    <mergeCell ref="A1:I1"/>
    <mergeCell ref="K1:R1"/>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70C0"/>
  </sheetPr>
  <dimension ref="A1:V63"/>
  <sheetViews>
    <sheetView zoomScale="120" zoomScaleNormal="120" workbookViewId="0">
      <selection activeCell="A3" sqref="A3"/>
    </sheetView>
  </sheetViews>
  <sheetFormatPr baseColWidth="10" defaultColWidth="8.6640625" defaultRowHeight="21" customHeight="1"/>
  <cols>
    <col min="1" max="1" width="5.83203125" style="13" customWidth="1"/>
    <col min="2" max="2" width="34.83203125" style="13" customWidth="1"/>
    <col min="3" max="3" width="13.83203125" style="13" customWidth="1"/>
    <col min="4" max="4" width="55.83203125" style="13" customWidth="1"/>
    <col min="5" max="5" width="3.83203125" style="13" customWidth="1"/>
    <col min="6" max="7" width="21.83203125" style="13" customWidth="1"/>
    <col min="8" max="9" width="3.83203125" style="13" customWidth="1"/>
    <col min="10" max="10" width="21.83203125" style="13" customWidth="1"/>
    <col min="11" max="11" width="3.83203125" style="13" customWidth="1"/>
    <col min="12" max="12" width="21.83203125" style="13" customWidth="1"/>
    <col min="13" max="13" width="3.83203125" style="13" customWidth="1"/>
    <col min="14" max="14" width="21.83203125" style="13" customWidth="1"/>
    <col min="15" max="15" width="3.83203125" style="13" customWidth="1"/>
    <col min="16" max="16" width="8.6640625" style="13" customWidth="1"/>
    <col min="17" max="16384" width="8.6640625" style="13"/>
  </cols>
  <sheetData>
    <row r="1" spans="1:22" ht="60.75" customHeight="1">
      <c r="A1" s="14" t="s">
        <v>274</v>
      </c>
      <c r="B1" s="14"/>
      <c r="C1" s="14"/>
      <c r="D1" s="14"/>
    </row>
    <row r="2" spans="1:22" ht="13.5" customHeight="1"/>
    <row r="3" spans="1:22" s="16" customFormat="1" ht="33.75" customHeight="1">
      <c r="A3" s="15" t="s">
        <v>275</v>
      </c>
      <c r="B3" s="15" t="s">
        <v>1</v>
      </c>
      <c r="C3" s="15" t="s">
        <v>2</v>
      </c>
      <c r="D3" s="15" t="s">
        <v>276</v>
      </c>
      <c r="F3" s="15" t="s">
        <v>277</v>
      </c>
      <c r="G3" s="17"/>
      <c r="H3" s="17"/>
      <c r="I3" s="17"/>
      <c r="J3" s="15" t="s">
        <v>278</v>
      </c>
      <c r="K3" s="17"/>
      <c r="L3" s="15" t="s">
        <v>279</v>
      </c>
      <c r="M3" s="17"/>
      <c r="N3" s="15" t="s">
        <v>280</v>
      </c>
      <c r="O3" s="17"/>
      <c r="Q3" s="18" t="s">
        <v>281</v>
      </c>
      <c r="R3" s="15"/>
      <c r="T3" s="18" t="s">
        <v>282</v>
      </c>
      <c r="U3" s="15"/>
      <c r="V3" s="15"/>
    </row>
    <row r="4" spans="1:22" ht="21" customHeight="1">
      <c r="A4" s="19" t="s">
        <v>283</v>
      </c>
      <c r="B4" s="13" t="s">
        <v>284</v>
      </c>
      <c r="C4" s="20"/>
      <c r="D4" s="13" t="s">
        <v>285</v>
      </c>
      <c r="F4" s="21" t="s">
        <v>286</v>
      </c>
      <c r="G4" s="22">
        <f>C4</f>
        <v>0</v>
      </c>
      <c r="J4" s="13" t="str">
        <f>'Package Reference'!A4</f>
        <v>Basic Intake</v>
      </c>
      <c r="L4" s="13" t="str">
        <f>'Access Models'!A5</f>
        <v>Logic visibility</v>
      </c>
      <c r="N4" s="13" t="str">
        <f>'Complexity Reference'!K4</f>
        <v>No support</v>
      </c>
      <c r="Q4" s="23" t="s">
        <v>159</v>
      </c>
      <c r="R4" s="23"/>
      <c r="T4" s="23" t="s">
        <v>287</v>
      </c>
      <c r="U4" s="23"/>
      <c r="V4" s="23"/>
    </row>
    <row r="5" spans="1:22" ht="21" customHeight="1">
      <c r="A5" s="19" t="s">
        <v>288</v>
      </c>
      <c r="B5" s="13" t="s">
        <v>289</v>
      </c>
      <c r="C5" s="24" t="s">
        <v>97</v>
      </c>
      <c r="D5" s="13" t="s">
        <v>290</v>
      </c>
      <c r="E5" s="13" t="s">
        <v>291</v>
      </c>
      <c r="F5" s="21" t="s">
        <v>86</v>
      </c>
      <c r="G5" s="22" t="str">
        <f>C5</f>
        <v>Basic Intake</v>
      </c>
      <c r="J5" s="13" t="str">
        <f>'Package Reference'!A5</f>
        <v>Basic+ AI Triage</v>
      </c>
      <c r="L5" s="13" t="str">
        <f>'Access Models'!A6</f>
        <v>Limited admin</v>
      </c>
      <c r="N5" s="13" t="str">
        <f>'Complexity Reference'!K5</f>
        <v>Light support</v>
      </c>
      <c r="Q5" s="25" t="s">
        <v>170</v>
      </c>
      <c r="R5" s="25"/>
      <c r="T5" s="25" t="s">
        <v>292</v>
      </c>
      <c r="U5" s="25"/>
      <c r="V5" s="25"/>
    </row>
    <row r="6" spans="1:22" ht="21" customHeight="1">
      <c r="A6" s="19" t="s">
        <v>293</v>
      </c>
      <c r="B6" s="13" t="s">
        <v>294</v>
      </c>
      <c r="C6" s="24" t="s">
        <v>200</v>
      </c>
      <c r="D6" s="13" t="s">
        <v>295</v>
      </c>
      <c r="F6" s="21" t="s">
        <v>93</v>
      </c>
      <c r="G6" s="22" t="str">
        <f>C6</f>
        <v>Managed service</v>
      </c>
      <c r="J6" s="13" t="str">
        <f>'Package Reference'!A6</f>
        <v>Pro Multi-Channel</v>
      </c>
      <c r="L6" s="13" t="str">
        <f>'Access Models'!A7</f>
        <v>Client-owned workspace</v>
      </c>
      <c r="N6" s="13" t="str">
        <f>'Complexity Reference'!K6</f>
        <v>Normal managed support</v>
      </c>
      <c r="Q6" s="24" t="s">
        <v>180</v>
      </c>
      <c r="R6" s="24"/>
      <c r="T6" s="24" t="s">
        <v>296</v>
      </c>
      <c r="U6" s="24"/>
      <c r="V6" s="24"/>
    </row>
    <row r="7" spans="1:22" ht="21" customHeight="1">
      <c r="A7" s="19" t="s">
        <v>297</v>
      </c>
      <c r="B7" s="13" t="s">
        <v>281</v>
      </c>
      <c r="C7" s="24" t="s">
        <v>180</v>
      </c>
      <c r="D7" s="13" t="s">
        <v>298</v>
      </c>
      <c r="F7" s="21" t="s">
        <v>281</v>
      </c>
      <c r="G7" s="22" t="str">
        <f>C7</f>
        <v>Normal managed support</v>
      </c>
      <c r="J7" s="13" t="str">
        <f>'Package Reference'!A7</f>
        <v>Managed Operations</v>
      </c>
      <c r="L7" s="13" t="str">
        <f>'Access Models'!A8</f>
        <v>Build-and-transfer</v>
      </c>
      <c r="N7" s="13" t="str">
        <f>'Complexity Reference'!K7</f>
        <v>High-responsibility maintenance</v>
      </c>
      <c r="Q7" s="26" t="s">
        <v>299</v>
      </c>
      <c r="R7" s="26"/>
      <c r="T7" s="26" t="s">
        <v>300</v>
      </c>
      <c r="U7" s="26"/>
      <c r="V7" s="26"/>
    </row>
    <row r="8" spans="1:22" ht="21" customHeight="1">
      <c r="F8" s="21" t="s">
        <v>301</v>
      </c>
      <c r="G8" s="22" t="str">
        <f>"CHF "&amp;ROUND(C34,0)&amp;" - CHF "&amp;ROUND(C35,0)</f>
        <v>CHF 2250 - CHF 6300</v>
      </c>
      <c r="J8" s="13" t="str">
        <f>'Package Reference'!A8</f>
        <v>Agentic Automation</v>
      </c>
      <c r="L8" s="13">
        <f>'Access Models'!A9</f>
        <v>0</v>
      </c>
      <c r="N8" s="13" t="str">
        <f>'Complexity Reference'!K8</f>
        <v>Premium transfer support</v>
      </c>
      <c r="Q8" s="27" t="s">
        <v>125</v>
      </c>
      <c r="R8" s="27"/>
      <c r="T8" s="27" t="s">
        <v>202</v>
      </c>
      <c r="U8" s="27"/>
      <c r="V8" s="27"/>
    </row>
    <row r="9" spans="1:22" ht="21" customHeight="1">
      <c r="A9" s="19" t="s">
        <v>302</v>
      </c>
      <c r="B9" s="13" t="s">
        <v>303</v>
      </c>
      <c r="C9" s="28">
        <f>IFERROR(VLOOKUP(C5,'Package Reference'!$A$4:$E$8,2,FALSE()),0)</f>
        <v>750</v>
      </c>
      <c r="D9" s="13" t="s">
        <v>304</v>
      </c>
      <c r="F9" s="21" t="s">
        <v>305</v>
      </c>
      <c r="G9" s="22" t="str">
        <f>"CHF "&amp;ROUND(C36,0)&amp;" - CHF "&amp;ROUND(C37,0)</f>
        <v>CHF 500 - CHF 1550</v>
      </c>
      <c r="N9" s="13" t="str">
        <f>'Complexity Reference'!K9</f>
        <v>Critical support</v>
      </c>
      <c r="Q9" s="29" t="s">
        <v>212</v>
      </c>
      <c r="R9" s="29"/>
      <c r="T9" s="29" t="s">
        <v>306</v>
      </c>
      <c r="U9" s="29"/>
      <c r="V9" s="29"/>
    </row>
    <row r="10" spans="1:22" ht="21" customHeight="1">
      <c r="A10" s="19" t="s">
        <v>307</v>
      </c>
      <c r="B10" s="13" t="s">
        <v>308</v>
      </c>
      <c r="C10" s="28">
        <f>IFERROR(VLOOKUP(C5,'Package Reference'!$A$4:$E$8,3,FALSE()),0)</f>
        <v>1800</v>
      </c>
      <c r="D10" s="13" t="s">
        <v>304</v>
      </c>
      <c r="F10" s="21" t="s">
        <v>309</v>
      </c>
      <c r="G10" s="22" t="str">
        <f>"CHF "&amp;ROUND(C38,0)</f>
        <v>CHF 4300</v>
      </c>
    </row>
    <row r="11" spans="1:22" ht="21" customHeight="1">
      <c r="A11" s="19" t="s">
        <v>310</v>
      </c>
      <c r="B11" s="13" t="s">
        <v>311</v>
      </c>
      <c r="C11" s="28">
        <f>IFERROR(VLOOKUP(C5,'Package Reference'!$A$4:$E$8,4,FALSE()),0)</f>
        <v>150</v>
      </c>
      <c r="D11" s="13" t="s">
        <v>304</v>
      </c>
      <c r="F11" s="21" t="s">
        <v>312</v>
      </c>
      <c r="G11" s="22" t="str">
        <f>"CHF "&amp;ROUND(C39,0)</f>
        <v>CHF 1000</v>
      </c>
    </row>
    <row r="12" spans="1:22" ht="21" customHeight="1">
      <c r="A12" s="19" t="s">
        <v>313</v>
      </c>
      <c r="B12" s="13" t="s">
        <v>314</v>
      </c>
      <c r="C12" s="28">
        <f>IFERROR(VLOOKUP(C5,'Package Reference'!$A$4:$E$8,5,FALSE()),0)</f>
        <v>450</v>
      </c>
      <c r="D12" s="13" t="s">
        <v>304</v>
      </c>
      <c r="F12" s="21" t="s">
        <v>144</v>
      </c>
      <c r="G12" s="22" t="s">
        <v>315</v>
      </c>
    </row>
    <row r="13" spans="1:22" ht="21" customHeight="1">
      <c r="A13" s="19" t="s">
        <v>316</v>
      </c>
      <c r="B13" s="13" t="s">
        <v>317</v>
      </c>
      <c r="C13" s="28">
        <f>IFERROR(VLOOKUP(C6,'Access Models'!$A$5:$K$9,10,FALSE()),1)</f>
        <v>1</v>
      </c>
      <c r="D13" s="13" t="s">
        <v>318</v>
      </c>
      <c r="E13" s="13" t="s">
        <v>291</v>
      </c>
      <c r="F13" s="21" t="s">
        <v>319</v>
      </c>
      <c r="G13" s="22" t="s">
        <v>320</v>
      </c>
    </row>
    <row r="14" spans="1:22" ht="21" customHeight="1">
      <c r="A14" s="19" t="s">
        <v>321</v>
      </c>
      <c r="B14" s="13" t="s">
        <v>322</v>
      </c>
      <c r="C14" s="28">
        <f>IFERROR(VLOOKUP(C7,'Complexity Reference'!$K$4:$M$9,2,FALSE()),1)</f>
        <v>1</v>
      </c>
      <c r="D14" s="13" t="s">
        <v>323</v>
      </c>
    </row>
    <row r="16" spans="1:22" ht="21" customHeight="1">
      <c r="A16" s="19" t="s">
        <v>324</v>
      </c>
      <c r="B16" s="13" t="s">
        <v>325</v>
      </c>
      <c r="C16" s="20">
        <v>0</v>
      </c>
      <c r="D16" s="13" t="s">
        <v>326</v>
      </c>
      <c r="E16" s="13" t="s">
        <v>291</v>
      </c>
      <c r="F16" s="88" t="s">
        <v>327</v>
      </c>
      <c r="G16" s="22" t="s">
        <v>328</v>
      </c>
    </row>
    <row r="17" spans="1:7" ht="21" customHeight="1">
      <c r="A17" s="19" t="s">
        <v>329</v>
      </c>
      <c r="B17" s="13" t="s">
        <v>330</v>
      </c>
      <c r="C17" s="20">
        <v>1</v>
      </c>
      <c r="D17" s="13" t="s">
        <v>331</v>
      </c>
      <c r="E17" s="13" t="s">
        <v>291</v>
      </c>
      <c r="F17" s="22" t="s">
        <v>332</v>
      </c>
    </row>
    <row r="18" spans="1:7" ht="21" customHeight="1">
      <c r="A18" s="19" t="s">
        <v>333</v>
      </c>
      <c r="B18" s="13" t="s">
        <v>334</v>
      </c>
      <c r="C18" s="20">
        <v>1</v>
      </c>
      <c r="D18" s="30" t="s">
        <v>335</v>
      </c>
      <c r="E18" s="13" t="s">
        <v>291</v>
      </c>
      <c r="F18" s="22" t="s">
        <v>336</v>
      </c>
    </row>
    <row r="19" spans="1:7" ht="21" customHeight="1">
      <c r="A19" s="19" t="s">
        <v>337</v>
      </c>
      <c r="B19" s="13" t="s">
        <v>338</v>
      </c>
      <c r="C19" s="20">
        <v>1</v>
      </c>
      <c r="D19" s="30" t="s">
        <v>339</v>
      </c>
      <c r="E19" s="13" t="s">
        <v>291</v>
      </c>
      <c r="F19" s="22" t="s">
        <v>340</v>
      </c>
    </row>
    <row r="20" spans="1:7" ht="21" customHeight="1">
      <c r="A20" s="19" t="s">
        <v>341</v>
      </c>
      <c r="B20" s="13" t="s">
        <v>342</v>
      </c>
      <c r="C20" s="20">
        <v>0</v>
      </c>
      <c r="D20" s="30" t="s">
        <v>343</v>
      </c>
      <c r="E20" s="13" t="s">
        <v>291</v>
      </c>
      <c r="F20" s="22" t="s">
        <v>344</v>
      </c>
    </row>
    <row r="21" spans="1:7" ht="21" customHeight="1">
      <c r="A21" s="19" t="s">
        <v>345</v>
      </c>
      <c r="B21" s="13" t="s">
        <v>346</v>
      </c>
      <c r="C21" s="20">
        <v>1</v>
      </c>
      <c r="D21" s="30" t="s">
        <v>347</v>
      </c>
      <c r="E21" s="13" t="s">
        <v>291</v>
      </c>
      <c r="F21" s="22" t="s">
        <v>348</v>
      </c>
    </row>
    <row r="22" spans="1:7" ht="21" customHeight="1">
      <c r="A22" s="19" t="s">
        <v>349</v>
      </c>
      <c r="B22" s="13" t="s">
        <v>350</v>
      </c>
      <c r="C22" s="20">
        <v>1</v>
      </c>
      <c r="D22" s="30" t="s">
        <v>351</v>
      </c>
      <c r="E22" s="13" t="s">
        <v>291</v>
      </c>
      <c r="F22" s="13" t="s">
        <v>291</v>
      </c>
    </row>
    <row r="23" spans="1:7" ht="21" customHeight="1">
      <c r="A23" s="19" t="s">
        <v>352</v>
      </c>
      <c r="B23" s="13" t="s">
        <v>353</v>
      </c>
      <c r="C23" s="31"/>
      <c r="D23" s="32" t="s">
        <v>354</v>
      </c>
      <c r="E23" s="13" t="s">
        <v>291</v>
      </c>
      <c r="F23" s="88" t="s">
        <v>355</v>
      </c>
      <c r="G23" s="22" t="s">
        <v>356</v>
      </c>
    </row>
    <row r="24" spans="1:7" ht="21" customHeight="1">
      <c r="A24" s="19" t="s">
        <v>357</v>
      </c>
      <c r="B24" s="13" t="s">
        <v>358</v>
      </c>
      <c r="C24" s="31"/>
      <c r="D24" s="32" t="s">
        <v>359</v>
      </c>
      <c r="E24" s="13" t="s">
        <v>291</v>
      </c>
      <c r="F24" s="22" t="s">
        <v>332</v>
      </c>
    </row>
    <row r="25" spans="1:7" ht="21" customHeight="1">
      <c r="A25" s="19" t="s">
        <v>360</v>
      </c>
      <c r="B25" s="13" t="s">
        <v>361</v>
      </c>
      <c r="C25" s="31">
        <v>0</v>
      </c>
      <c r="D25" s="32" t="s">
        <v>362</v>
      </c>
      <c r="E25" s="13" t="s">
        <v>291</v>
      </c>
      <c r="F25" s="22" t="s">
        <v>363</v>
      </c>
    </row>
    <row r="26" spans="1:7" ht="21" customHeight="1">
      <c r="A26" s="19" t="s">
        <v>364</v>
      </c>
      <c r="B26" s="13" t="s">
        <v>365</v>
      </c>
      <c r="C26" s="31">
        <v>0</v>
      </c>
      <c r="D26" s="32" t="s">
        <v>366</v>
      </c>
      <c r="E26" s="13" t="s">
        <v>291</v>
      </c>
      <c r="F26" s="22" t="s">
        <v>367</v>
      </c>
    </row>
    <row r="27" spans="1:7" ht="21" customHeight="1">
      <c r="F27" s="22" t="s">
        <v>368</v>
      </c>
    </row>
    <row r="28" spans="1:7" ht="21" customHeight="1">
      <c r="B28" s="33" t="s">
        <v>369</v>
      </c>
      <c r="C28" s="33">
        <f>IF(C23="",C13,C23)</f>
        <v>1</v>
      </c>
      <c r="D28" s="33" t="s">
        <v>370</v>
      </c>
    </row>
    <row r="29" spans="1:7" ht="21" customHeight="1">
      <c r="B29" s="33" t="s">
        <v>371</v>
      </c>
      <c r="C29" s="33">
        <f>IF(C24="",C14,C24)</f>
        <v>1</v>
      </c>
      <c r="D29" s="33" t="s">
        <v>370</v>
      </c>
      <c r="F29" s="21" t="s">
        <v>372</v>
      </c>
      <c r="G29" s="22" t="s">
        <v>373</v>
      </c>
    </row>
    <row r="30" spans="1:7" ht="21" customHeight="1">
      <c r="B30" s="33" t="s">
        <v>374</v>
      </c>
      <c r="C30" s="33">
        <f>C9+C16*IFERROR(VLOOKUP("Extra channel",'Complexity Reference'!$A$4:$E$8,2,FALSE()),0)+C17*IFERROR(VLOOKUP("AI draft workflow",'Complexity Reference'!$A$4:$E$8,2,FALSE()),0)+C18*IFERROR(VLOOKUP("CRM integration",'Complexity Reference'!$A$4:$E$8,2,FALSE()),0)+C19*IFERROR(VLOOKUP("Approval workflow",'Complexity Reference'!$A$4:$E$8,2,FALSE()),0)+C20*IFERROR(VLOOKUP("Reporting layer",'Complexity Reference'!$A$4:$E$8,2,FALSE()),0)+C25</f>
        <v>2250</v>
      </c>
      <c r="D30" s="33" t="s">
        <v>370</v>
      </c>
      <c r="F30" s="22" t="s">
        <v>332</v>
      </c>
    </row>
    <row r="31" spans="1:7" ht="21" customHeight="1">
      <c r="B31" s="33" t="s">
        <v>375</v>
      </c>
      <c r="C31" s="33">
        <f>C10+C16*IFERROR(VLOOKUP("Extra channel",'Complexity Reference'!$A$4:$E$8,3,FALSE()),0)+C17*IFERROR(VLOOKUP("AI draft workflow",'Complexity Reference'!$A$4:$E$8,3,FALSE()),0)+C18*IFERROR(VLOOKUP("CRM integration",'Complexity Reference'!$A$4:$E$8,3,FALSE()),0)+C19*IFERROR(VLOOKUP("Approval workflow",'Complexity Reference'!$A$4:$E$8,3,FALSE()),0)+C20*IFERROR(VLOOKUP("Reporting layer",'Complexity Reference'!$A$4:$E$8,3,FALSE()),0)+C25</f>
        <v>6300</v>
      </c>
      <c r="D31" s="33" t="s">
        <v>370</v>
      </c>
      <c r="F31" s="22" t="s">
        <v>376</v>
      </c>
    </row>
    <row r="32" spans="1:7" ht="21" customHeight="1">
      <c r="B32" s="33" t="s">
        <v>377</v>
      </c>
      <c r="C32" s="33">
        <f>C11+C16*IFERROR(VLOOKUP("Extra channel",'Complexity Reference'!$A$4:$E$8,4,FALSE()),0)+C17*IFERROR(VLOOKUP("AI draft workflow",'Complexity Reference'!$A$4:$E$8,4,FALSE()),0)+C18*IFERROR(VLOOKUP("CRM integration",'Complexity Reference'!$A$4:$E$8,4,FALSE()),0)+C19*IFERROR(VLOOKUP("Approval workflow",'Complexity Reference'!$A$4:$E$8,4,FALSE()),0)+C20*IFERROR(VLOOKUP("Reporting layer",'Complexity Reference'!$A$4:$E$8,4,FALSE()),0)+C26</f>
        <v>500</v>
      </c>
      <c r="D32" s="33" t="s">
        <v>370</v>
      </c>
      <c r="F32" s="22" t="s">
        <v>378</v>
      </c>
    </row>
    <row r="33" spans="2:7" ht="21" customHeight="1">
      <c r="B33" s="33" t="s">
        <v>379</v>
      </c>
      <c r="C33" s="33">
        <f>C12+C16*IFERROR(VLOOKUP("Extra channel",'Complexity Reference'!$A$4:$E$8,5,FALSE()),0)+C17*IFERROR(VLOOKUP("AI draft workflow",'Complexity Reference'!$A$4:$E$8,5,FALSE()),0)+C18*IFERROR(VLOOKUP("CRM integration",'Complexity Reference'!$A$4:$E$8,5,FALSE()),0)+C19*IFERROR(VLOOKUP("Approval workflow",'Complexity Reference'!$A$4:$E$8,5,FALSE()),0)+C20*IFERROR(VLOOKUP("Reporting layer",'Complexity Reference'!$A$4:$E$8,5,FALSE()),0)+C26</f>
        <v>1550</v>
      </c>
      <c r="D33" s="33" t="s">
        <v>370</v>
      </c>
      <c r="F33" s="22" t="s">
        <v>380</v>
      </c>
    </row>
    <row r="34" spans="2:7" ht="21" customHeight="1">
      <c r="B34" s="33" t="s">
        <v>381</v>
      </c>
      <c r="C34" s="33">
        <f>ROUND(C30*C21*C22*C28,0)</f>
        <v>2250</v>
      </c>
      <c r="D34" s="33" t="s">
        <v>370</v>
      </c>
    </row>
    <row r="35" spans="2:7" ht="21" customHeight="1">
      <c r="B35" s="33" t="s">
        <v>382</v>
      </c>
      <c r="C35" s="33">
        <f>ROUND(C31*C21*C22*C28,0)</f>
        <v>6300</v>
      </c>
      <c r="D35" s="33" t="s">
        <v>370</v>
      </c>
      <c r="F35" s="21" t="s">
        <v>383</v>
      </c>
      <c r="G35" s="22" t="s">
        <v>384</v>
      </c>
    </row>
    <row r="36" spans="2:7" ht="21" customHeight="1">
      <c r="B36" s="33" t="s">
        <v>385</v>
      </c>
      <c r="C36" s="33">
        <f>ROUND(C32*C21*C29,0)</f>
        <v>500</v>
      </c>
      <c r="D36" s="33" t="s">
        <v>370</v>
      </c>
      <c r="F36" s="22" t="s">
        <v>332</v>
      </c>
    </row>
    <row r="37" spans="2:7" ht="21" customHeight="1">
      <c r="B37" s="33" t="s">
        <v>386</v>
      </c>
      <c r="C37" s="33">
        <f>ROUND(C33*C21*C29,0)</f>
        <v>1550</v>
      </c>
      <c r="D37" s="33" t="s">
        <v>370</v>
      </c>
      <c r="F37" s="22" t="s">
        <v>387</v>
      </c>
    </row>
    <row r="38" spans="2:7" ht="21" customHeight="1">
      <c r="B38" s="33" t="s">
        <v>388</v>
      </c>
      <c r="C38" s="33">
        <f>ROUND((C34+C35)/2,-2)</f>
        <v>4300</v>
      </c>
      <c r="D38" s="33" t="s">
        <v>370</v>
      </c>
      <c r="F38" s="22" t="s">
        <v>389</v>
      </c>
    </row>
    <row r="39" spans="2:7" ht="21" customHeight="1">
      <c r="B39" s="33" t="s">
        <v>390</v>
      </c>
      <c r="C39" s="33">
        <f>ROUND((C36+C37)/2,-2)</f>
        <v>1000</v>
      </c>
      <c r="D39" s="33" t="s">
        <v>370</v>
      </c>
      <c r="F39" s="22" t="s">
        <v>391</v>
      </c>
    </row>
    <row r="41" spans="2:7" ht="21" customHeight="1">
      <c r="B41" s="34" t="s">
        <v>392</v>
      </c>
      <c r="C41" s="34"/>
      <c r="D41" s="34"/>
      <c r="F41" s="21" t="s">
        <v>393</v>
      </c>
    </row>
    <row r="42" spans="2:7" ht="21" customHeight="1">
      <c r="B42" s="35" t="s">
        <v>394</v>
      </c>
      <c r="C42" s="35" t="s">
        <v>395</v>
      </c>
      <c r="D42" s="35" t="s">
        <v>396</v>
      </c>
      <c r="F42" s="22" t="s">
        <v>332</v>
      </c>
    </row>
    <row r="43" spans="2:7" ht="21" customHeight="1">
      <c r="B43" s="36" t="s">
        <v>397</v>
      </c>
      <c r="C43" s="37" t="str">
        <f>IF(C5="","empty",IF(C9=0,"FAIL","OK"))</f>
        <v>OK</v>
      </c>
      <c r="D43" s="36" t="str">
        <f>IF(C5="","Pick a package from column J (5 scope packages only).",IF(C9=0,IF(LOWER(C5)="build-and-transfer","Build-and-Transfer is an access model — select scope package in C5 and set C6 = Build-and-transfer.","Package name doesn't match Package Reference — use column J list."),"Package found in Reference."))</f>
        <v>Package found in Reference.</v>
      </c>
      <c r="F43" s="22" t="s">
        <v>398</v>
      </c>
    </row>
    <row r="44" spans="2:7" ht="21" customHeight="1">
      <c r="B44" s="36" t="s">
        <v>399</v>
      </c>
      <c r="C44" s="37" t="str">
        <f>IF(C6="","empty",IF(IFERROR(MATCH(C6,'Access Models'!$A$5:$A$9,0),0)=0,"FAIL","OK"))</f>
        <v>FAIL</v>
      </c>
      <c r="D44" s="36" t="str">
        <f>IF(C6="","Pick an access model from column L.",IF(IFERROR(MATCH(C6,'Access Models'!$A$5:$A$9,0),0)=0,"Access model doesn't match Access Models — use column L list.","Access model found."))</f>
        <v>Access model doesn't match Access Models — use column L list.</v>
      </c>
      <c r="F44" s="22" t="s">
        <v>400</v>
      </c>
    </row>
    <row r="45" spans="2:7" ht="21" customHeight="1">
      <c r="B45" s="36" t="s">
        <v>401</v>
      </c>
      <c r="C45" s="37" t="str">
        <f>IF(C7="","empty",IF(AND(C14=0,C7&lt;&gt;"No support"),"FAIL","OK"))</f>
        <v>OK</v>
      </c>
      <c r="D45" s="36" t="str">
        <f>IF(C7="","Pick a support model from column N.",IF(AND(C14=0,C7&lt;&gt;"No support"),"Support model doesn't match Complexity Reference — use column N list.","Support model found."))</f>
        <v>Support model found.</v>
      </c>
      <c r="F45" s="22" t="s">
        <v>402</v>
      </c>
    </row>
    <row r="46" spans="2:7" ht="21" customHeight="1">
      <c r="B46" s="36" t="s">
        <v>403</v>
      </c>
      <c r="C46" s="37" t="str">
        <f>IF(C21&lt;=1,"n/a",IF(OR(C19="",C19=0),"WARN","OK"))</f>
        <v>n/a</v>
      </c>
      <c r="D46" s="36" t="str">
        <f>IF(C21&lt;=1,"Sensitive multiplier not applied.",IF(OR(C19="",C19=0),"Sensitive data multiplier applied but Approval workflows count is 0 — sensitive content should always have at least 1 approval workflow.","Sensitive + approval workflow OK."))</f>
        <v>Sensitive multiplier not applied.</v>
      </c>
      <c r="F46" s="21" t="s">
        <v>404</v>
      </c>
    </row>
    <row r="47" spans="2:7" ht="21" customHeight="1">
      <c r="B47" s="36" t="s">
        <v>405</v>
      </c>
      <c r="C47" s="37" t="str">
        <f>IF(OR(C22="",C22&lt;=1),"OK",IF(C22&gt;1.3,"WARN","OK"))</f>
        <v>OK</v>
      </c>
      <c r="D47" s="36" t="str">
        <f>IF(OR(C22="",C22&lt;=1),"No urgency premium.",IF(C22&gt;1.3,"Urgency multiplier above 1.3 — confirm client accepts premium delivery cost.","Urgency premium within normal range."))</f>
        <v>No urgency premium.</v>
      </c>
      <c r="F47" s="22" t="s">
        <v>406</v>
      </c>
    </row>
    <row r="48" spans="2:7" ht="21" customHeight="1">
      <c r="B48" s="36" t="s">
        <v>407</v>
      </c>
      <c r="C48" s="37" t="str">
        <f>IF(AND(C6="Build-and-transfer",C7="No support"),"NOTE","n/a")</f>
        <v>n/a</v>
      </c>
      <c r="D48" s="36" t="str">
        <f>IF(AND(C6="Build-and-transfer",C7="No support"),"Build-and-transfer + No support: client takes full operational risk after handover. Document this clearly.","")</f>
        <v/>
      </c>
      <c r="F48" s="22" t="s">
        <v>408</v>
      </c>
    </row>
    <row r="49" spans="2:7" ht="21" customHeight="1">
      <c r="B49" s="36" t="s">
        <v>409</v>
      </c>
      <c r="C49" s="37" t="str">
        <f>IF(AND(C5="Basic Intake",OR(C20="",C20=0)=FALSE()),"WARN","OK")</f>
        <v>OK</v>
      </c>
      <c r="D49" s="36" t="str">
        <f>IF(AND(C5="Basic Intake",OR(C20="",C20=0)=FALSE()),"Reporting layer on Basic Intake — consider upgrading to Managed Operations or higher.","Reporting layer fits selected package.")</f>
        <v>Reporting layer fits selected package.</v>
      </c>
      <c r="F49" s="22" t="s">
        <v>410</v>
      </c>
    </row>
    <row r="50" spans="2:7" ht="21" customHeight="1">
      <c r="B50" s="38"/>
      <c r="F50" s="21" t="s">
        <v>411</v>
      </c>
    </row>
    <row r="51" spans="2:7" ht="21" customHeight="1">
      <c r="B51" s="38" t="s">
        <v>412</v>
      </c>
      <c r="C51" s="38" t="s">
        <v>413</v>
      </c>
      <c r="F51" s="22" t="s">
        <v>414</v>
      </c>
    </row>
    <row r="52" spans="2:7" ht="21" customHeight="1">
      <c r="B52" s="38"/>
      <c r="C52" s="38" t="s">
        <v>415</v>
      </c>
      <c r="F52" s="22" t="s">
        <v>416</v>
      </c>
    </row>
    <row r="53" spans="2:7" ht="21" customHeight="1">
      <c r="B53" s="38"/>
      <c r="C53" s="38" t="s">
        <v>417</v>
      </c>
    </row>
    <row r="54" spans="2:7" ht="21" customHeight="1">
      <c r="B54" s="38"/>
      <c r="C54" s="38" t="s">
        <v>418</v>
      </c>
      <c r="F54" s="39" t="s">
        <v>419</v>
      </c>
      <c r="G54" s="39"/>
    </row>
    <row r="55" spans="2:7" ht="21" customHeight="1">
      <c r="B55" s="38"/>
      <c r="F55" s="21" t="s">
        <v>1</v>
      </c>
      <c r="G55" s="21" t="s">
        <v>2</v>
      </c>
    </row>
    <row r="56" spans="2:7" ht="21" customHeight="1">
      <c r="F56" s="19" t="s">
        <v>420</v>
      </c>
      <c r="G56" s="40">
        <v>0</v>
      </c>
    </row>
    <row r="57" spans="2:7" ht="21" customHeight="1">
      <c r="F57" s="19" t="s">
        <v>421</v>
      </c>
      <c r="G57" s="40">
        <v>1</v>
      </c>
    </row>
    <row r="58" spans="2:7" ht="21" customHeight="1">
      <c r="F58" s="19" t="s">
        <v>422</v>
      </c>
      <c r="G58" s="40">
        <v>1</v>
      </c>
    </row>
    <row r="59" spans="2:7" ht="21" customHeight="1">
      <c r="F59" s="19" t="s">
        <v>423</v>
      </c>
      <c r="G59" s="40">
        <v>1</v>
      </c>
    </row>
    <row r="60" spans="2:7" ht="21" customHeight="1">
      <c r="F60" s="19" t="s">
        <v>424</v>
      </c>
      <c r="G60" s="40">
        <v>0</v>
      </c>
    </row>
    <row r="61" spans="2:7" ht="21" customHeight="1">
      <c r="F61" s="13" t="s">
        <v>425</v>
      </c>
      <c r="G61" s="13" t="s">
        <v>426</v>
      </c>
    </row>
    <row r="62" spans="2:7" ht="21" customHeight="1">
      <c r="F62" s="13" t="s">
        <v>427</v>
      </c>
      <c r="G62" s="13" t="s">
        <v>428</v>
      </c>
    </row>
    <row r="63" spans="2:7" ht="21" customHeight="1">
      <c r="F63" s="13" t="s">
        <v>429</v>
      </c>
      <c r="G63" s="13" t="s">
        <v>430</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1:K47"/>
  <sheetViews>
    <sheetView tabSelected="1" zoomScale="120" zoomScaleNormal="120" workbookViewId="0"/>
  </sheetViews>
  <sheetFormatPr baseColWidth="10" defaultColWidth="8.83203125" defaultRowHeight="16" customHeight="1"/>
  <cols>
    <col min="1" max="1" width="5" style="41" customWidth="1"/>
    <col min="2" max="2" width="25.83203125" style="41" customWidth="1"/>
    <col min="3" max="3" width="8.83203125" style="41" customWidth="1"/>
    <col min="4" max="4" width="21.83203125" style="41" customWidth="1"/>
    <col min="5" max="5" width="5" style="41" customWidth="1"/>
    <col min="6" max="8" width="8.83203125" style="41" customWidth="1"/>
    <col min="9" max="16384" width="8.83203125" style="41"/>
  </cols>
  <sheetData>
    <row r="1" spans="1:11" ht="16" customHeight="1">
      <c r="A1" s="42"/>
      <c r="B1" s="42"/>
      <c r="C1" s="42"/>
      <c r="D1" s="42"/>
      <c r="E1" s="42"/>
    </row>
    <row r="2" spans="1:11" ht="23" customHeight="1">
      <c r="A2" s="42"/>
      <c r="B2" s="123" t="s">
        <v>0</v>
      </c>
      <c r="C2" s="122"/>
      <c r="D2" s="122"/>
      <c r="E2" s="42"/>
    </row>
    <row r="3" spans="1:11" ht="16" customHeight="1">
      <c r="A3" s="42"/>
      <c r="B3" s="42"/>
      <c r="C3" s="42"/>
      <c r="D3" s="42"/>
      <c r="E3" s="42"/>
    </row>
    <row r="4" spans="1:11" ht="16" customHeight="1">
      <c r="A4" s="42"/>
      <c r="B4" s="43" t="s">
        <v>1</v>
      </c>
      <c r="C4" s="43" t="s">
        <v>2</v>
      </c>
      <c r="D4" s="43" t="s">
        <v>3</v>
      </c>
      <c r="E4" s="42"/>
      <c r="G4" s="41" t="s">
        <v>1266</v>
      </c>
      <c r="J4" s="41" t="s">
        <v>1266</v>
      </c>
    </row>
    <row r="5" spans="1:11" ht="16" customHeight="1">
      <c r="A5" s="42"/>
      <c r="B5" s="125" t="s">
        <v>4</v>
      </c>
      <c r="C5" s="122"/>
      <c r="D5" s="122"/>
      <c r="E5" s="42"/>
      <c r="G5" s="44" t="s">
        <v>1267</v>
      </c>
      <c r="H5" s="45"/>
      <c r="J5" s="44" t="s">
        <v>1268</v>
      </c>
      <c r="K5" s="45"/>
    </row>
    <row r="6" spans="1:11" ht="16" customHeight="1">
      <c r="A6" s="42"/>
      <c r="B6" s="46" t="s">
        <v>6</v>
      </c>
      <c r="C6" s="47"/>
      <c r="D6" s="47"/>
      <c r="E6" s="42"/>
    </row>
    <row r="7" spans="1:11" ht="16" customHeight="1">
      <c r="A7" s="42"/>
      <c r="B7" s="48" t="s">
        <v>7</v>
      </c>
      <c r="C7" s="49">
        <v>2</v>
      </c>
      <c r="D7" s="50" t="s">
        <v>8</v>
      </c>
      <c r="E7" s="42"/>
      <c r="G7" s="49">
        <v>4</v>
      </c>
      <c r="H7" s="50" t="s">
        <v>8</v>
      </c>
      <c r="J7" s="49">
        <v>2</v>
      </c>
      <c r="K7" s="50" t="s">
        <v>8</v>
      </c>
    </row>
    <row r="8" spans="1:11" ht="16" customHeight="1">
      <c r="A8" s="42"/>
      <c r="B8" s="48" t="s">
        <v>9</v>
      </c>
      <c r="C8" s="49">
        <v>5</v>
      </c>
      <c r="D8" s="50" t="s">
        <v>10</v>
      </c>
      <c r="E8" s="42"/>
      <c r="G8" s="49">
        <v>2</v>
      </c>
      <c r="H8" s="50" t="s">
        <v>10</v>
      </c>
      <c r="J8" s="49">
        <v>2</v>
      </c>
      <c r="K8" s="50" t="s">
        <v>10</v>
      </c>
    </row>
    <row r="9" spans="1:11" ht="16" customHeight="1">
      <c r="A9" s="42"/>
      <c r="B9" s="48" t="s">
        <v>11</v>
      </c>
      <c r="C9" s="49">
        <v>100</v>
      </c>
      <c r="D9" s="50" t="s">
        <v>12</v>
      </c>
      <c r="E9" s="42"/>
      <c r="G9" s="49">
        <v>80</v>
      </c>
      <c r="H9" s="50" t="s">
        <v>12</v>
      </c>
      <c r="J9" s="49">
        <v>80</v>
      </c>
      <c r="K9" s="50" t="s">
        <v>12</v>
      </c>
    </row>
    <row r="10" spans="1:11" ht="16" customHeight="1">
      <c r="A10" s="42"/>
      <c r="B10" s="47"/>
      <c r="C10" s="47"/>
      <c r="D10" s="47"/>
      <c r="E10" s="42"/>
      <c r="G10" s="47"/>
      <c r="H10" s="47"/>
      <c r="J10" s="47"/>
      <c r="K10" s="47"/>
    </row>
    <row r="11" spans="1:11" ht="16" customHeight="1">
      <c r="A11" s="42"/>
      <c r="B11" s="46" t="s">
        <v>13</v>
      </c>
      <c r="C11" s="47"/>
      <c r="D11" s="47"/>
      <c r="E11" s="42"/>
      <c r="G11" s="47"/>
      <c r="H11" s="47"/>
      <c r="J11" s="47"/>
      <c r="K11" s="47"/>
    </row>
    <row r="12" spans="1:11" ht="16" customHeight="1">
      <c r="A12" s="42"/>
      <c r="B12" s="48" t="s">
        <v>14</v>
      </c>
      <c r="C12" s="49">
        <v>5</v>
      </c>
      <c r="D12" s="50" t="s">
        <v>15</v>
      </c>
      <c r="E12" s="42"/>
      <c r="G12" s="49">
        <v>1</v>
      </c>
      <c r="H12" s="50" t="s">
        <v>15</v>
      </c>
      <c r="J12" s="49">
        <v>1</v>
      </c>
      <c r="K12" s="50" t="s">
        <v>15</v>
      </c>
    </row>
    <row r="13" spans="1:11" ht="16" customHeight="1">
      <c r="A13" s="42"/>
      <c r="B13" s="48" t="s">
        <v>16</v>
      </c>
      <c r="C13" s="49">
        <v>200</v>
      </c>
      <c r="D13" s="50" t="s">
        <v>17</v>
      </c>
      <c r="E13" s="42"/>
      <c r="G13" s="49">
        <v>75</v>
      </c>
      <c r="H13" s="50" t="s">
        <v>17</v>
      </c>
      <c r="J13" s="49">
        <v>125</v>
      </c>
      <c r="K13" s="50" t="s">
        <v>17</v>
      </c>
    </row>
    <row r="14" spans="1:11" ht="16" customHeight="1">
      <c r="A14" s="42"/>
      <c r="B14" s="47"/>
      <c r="C14" s="47"/>
      <c r="D14" s="47"/>
      <c r="E14" s="42"/>
      <c r="G14" s="47"/>
      <c r="H14" s="47"/>
      <c r="J14" s="47"/>
      <c r="K14" s="47"/>
    </row>
    <row r="15" spans="1:11" ht="16" customHeight="1">
      <c r="A15" s="42"/>
      <c r="B15" s="46" t="s">
        <v>18</v>
      </c>
      <c r="C15" s="47"/>
      <c r="D15" s="47"/>
      <c r="E15" s="42"/>
      <c r="G15" s="47"/>
      <c r="H15" s="47"/>
      <c r="J15" s="47"/>
      <c r="K15" s="47"/>
    </row>
    <row r="16" spans="1:11" ht="16" customHeight="1">
      <c r="A16" s="42"/>
      <c r="B16" s="48" t="s">
        <v>19</v>
      </c>
      <c r="C16" s="49">
        <v>10</v>
      </c>
      <c r="D16" s="50" t="s">
        <v>20</v>
      </c>
      <c r="E16" s="42"/>
      <c r="G16" s="49">
        <v>1</v>
      </c>
      <c r="H16" s="50" t="s">
        <v>20</v>
      </c>
      <c r="J16" s="49">
        <v>2</v>
      </c>
      <c r="K16" s="50" t="s">
        <v>20</v>
      </c>
    </row>
    <row r="17" spans="1:11" ht="16" customHeight="1">
      <c r="A17" s="42"/>
      <c r="B17" s="48" t="s">
        <v>21</v>
      </c>
      <c r="C17" s="49">
        <v>1500</v>
      </c>
      <c r="D17" s="50" t="s">
        <v>22</v>
      </c>
      <c r="E17" s="42"/>
      <c r="G17" s="49">
        <v>1000</v>
      </c>
      <c r="H17" s="50" t="s">
        <v>22</v>
      </c>
      <c r="J17" s="49">
        <v>125</v>
      </c>
      <c r="K17" s="50" t="s">
        <v>22</v>
      </c>
    </row>
    <row r="18" spans="1:11" ht="16" customHeight="1">
      <c r="A18" s="42"/>
      <c r="B18" s="47"/>
      <c r="C18" s="47"/>
      <c r="D18" s="47"/>
      <c r="E18" s="42"/>
      <c r="G18" s="47"/>
      <c r="H18" s="47"/>
      <c r="J18" s="47"/>
      <c r="K18" s="47"/>
    </row>
    <row r="19" spans="1:11" ht="16" customHeight="1">
      <c r="A19" s="42"/>
      <c r="B19" s="46" t="s">
        <v>23</v>
      </c>
      <c r="C19" s="47"/>
      <c r="D19" s="47"/>
      <c r="E19" s="42"/>
      <c r="G19" s="47"/>
      <c r="H19" s="47"/>
      <c r="J19" s="47"/>
      <c r="K19" s="47"/>
    </row>
    <row r="20" spans="1:11" ht="16" customHeight="1">
      <c r="A20" s="42"/>
      <c r="B20" s="48" t="s">
        <v>24</v>
      </c>
      <c r="C20" s="49">
        <v>20000</v>
      </c>
      <c r="D20" s="50" t="s">
        <v>25</v>
      </c>
      <c r="E20" s="42"/>
      <c r="G20" s="49">
        <v>3500</v>
      </c>
      <c r="H20" s="50" t="s">
        <v>25</v>
      </c>
      <c r="J20" s="49">
        <v>2500</v>
      </c>
      <c r="K20" s="50" t="s">
        <v>25</v>
      </c>
    </row>
    <row r="21" spans="1:11" ht="16" customHeight="1">
      <c r="A21" s="42"/>
      <c r="B21" s="48" t="s">
        <v>26</v>
      </c>
      <c r="C21" s="49">
        <v>2350</v>
      </c>
      <c r="D21" s="50" t="s">
        <v>27</v>
      </c>
      <c r="E21" s="42"/>
      <c r="G21" s="49">
        <v>1600</v>
      </c>
      <c r="H21" s="50" t="s">
        <v>28</v>
      </c>
      <c r="J21" s="49">
        <v>800</v>
      </c>
      <c r="K21" s="50" t="s">
        <v>28</v>
      </c>
    </row>
    <row r="22" spans="1:11" ht="16" customHeight="1">
      <c r="A22" s="42"/>
      <c r="B22" s="47"/>
      <c r="C22" s="47"/>
      <c r="D22" s="47"/>
      <c r="E22" s="42"/>
    </row>
    <row r="23" spans="1:11" ht="16" customHeight="1">
      <c r="A23" s="42"/>
      <c r="B23" s="125" t="s">
        <v>29</v>
      </c>
      <c r="C23" s="122"/>
      <c r="D23" s="122"/>
      <c r="E23" s="42"/>
      <c r="G23" s="44" t="s">
        <v>30</v>
      </c>
      <c r="H23" s="45"/>
      <c r="J23" s="44" t="s">
        <v>30</v>
      </c>
      <c r="K23" s="45"/>
    </row>
    <row r="24" spans="1:11" ht="16" customHeight="1">
      <c r="A24" s="42"/>
      <c r="B24" s="47"/>
      <c r="C24" s="47"/>
      <c r="D24" s="47"/>
      <c r="E24" s="42"/>
    </row>
    <row r="25" spans="1:11" ht="16" customHeight="1">
      <c r="A25" s="42"/>
      <c r="B25" s="50" t="s">
        <v>31</v>
      </c>
      <c r="C25" s="51">
        <f>C7*C8*C9*4</f>
        <v>4000</v>
      </c>
      <c r="D25" s="50" t="s">
        <v>32</v>
      </c>
      <c r="E25" s="42"/>
      <c r="G25" s="51">
        <f>G7*G8*G9*4</f>
        <v>2560</v>
      </c>
      <c r="H25" s="50" t="s">
        <v>32</v>
      </c>
      <c r="J25" s="51">
        <f>J7*J8*J9*4</f>
        <v>1280</v>
      </c>
      <c r="K25" s="50" t="s">
        <v>32</v>
      </c>
    </row>
    <row r="26" spans="1:11" ht="16" customHeight="1">
      <c r="A26" s="42"/>
      <c r="B26" s="50" t="s">
        <v>33</v>
      </c>
      <c r="C26" s="51">
        <f>C12*C13*4</f>
        <v>4000</v>
      </c>
      <c r="D26" s="50" t="s">
        <v>32</v>
      </c>
      <c r="E26" s="42"/>
      <c r="G26" s="51">
        <f>G12*G13*4</f>
        <v>300</v>
      </c>
      <c r="H26" s="50" t="s">
        <v>32</v>
      </c>
      <c r="J26" s="51">
        <f>J12*J13*4</f>
        <v>500</v>
      </c>
      <c r="K26" s="50" t="s">
        <v>32</v>
      </c>
    </row>
    <row r="27" spans="1:11" ht="16" customHeight="1">
      <c r="A27" s="42"/>
      <c r="B27" s="50" t="s">
        <v>34</v>
      </c>
      <c r="C27" s="51">
        <f>C16*C17</f>
        <v>15000</v>
      </c>
      <c r="D27" s="50" t="s">
        <v>32</v>
      </c>
      <c r="E27" s="42"/>
      <c r="G27" s="51">
        <f>G16*G17</f>
        <v>1000</v>
      </c>
      <c r="H27" s="50" t="s">
        <v>32</v>
      </c>
      <c r="J27" s="51">
        <f>J16*J17</f>
        <v>250</v>
      </c>
      <c r="K27" s="50" t="s">
        <v>32</v>
      </c>
    </row>
    <row r="28" spans="1:11" ht="16" customHeight="1">
      <c r="A28" s="42"/>
      <c r="B28" s="46" t="s">
        <v>35</v>
      </c>
      <c r="C28" s="52">
        <f>SUM(C25:C27)</f>
        <v>23000</v>
      </c>
      <c r="D28" s="46" t="s">
        <v>36</v>
      </c>
      <c r="E28" s="42"/>
      <c r="G28" s="52">
        <f>SUM(G25:G27)</f>
        <v>3860</v>
      </c>
      <c r="H28" s="46" t="s">
        <v>36</v>
      </c>
      <c r="J28" s="52">
        <f>SUM(J25:J27)</f>
        <v>2030</v>
      </c>
      <c r="K28" s="46" t="s">
        <v>36</v>
      </c>
    </row>
    <row r="29" spans="1:11" ht="16" customHeight="1">
      <c r="A29" s="42"/>
      <c r="B29" s="50" t="s">
        <v>37</v>
      </c>
      <c r="C29" s="53">
        <f>C21</f>
        <v>2350</v>
      </c>
      <c r="D29" s="50" t="s">
        <v>32</v>
      </c>
      <c r="E29" s="42"/>
      <c r="G29" s="53">
        <f>G21</f>
        <v>1600</v>
      </c>
      <c r="H29" s="50" t="s">
        <v>32</v>
      </c>
      <c r="J29" s="53">
        <f>J21</f>
        <v>800</v>
      </c>
      <c r="K29" s="50" t="s">
        <v>32</v>
      </c>
    </row>
    <row r="30" spans="1:11" ht="16" customHeight="1">
      <c r="A30" s="42"/>
      <c r="B30" s="46" t="s">
        <v>38</v>
      </c>
      <c r="C30" s="54">
        <f>C28-C29</f>
        <v>20650</v>
      </c>
      <c r="D30" s="46" t="s">
        <v>32</v>
      </c>
      <c r="E30" s="42"/>
      <c r="G30" s="54">
        <f>G28-G29</f>
        <v>2260</v>
      </c>
      <c r="H30" s="46" t="s">
        <v>32</v>
      </c>
      <c r="J30" s="54">
        <f>J28-J29</f>
        <v>1230</v>
      </c>
      <c r="K30" s="46" t="s">
        <v>32</v>
      </c>
    </row>
    <row r="31" spans="1:11" ht="16" customHeight="1">
      <c r="A31" s="42"/>
      <c r="B31" s="46" t="s">
        <v>39</v>
      </c>
      <c r="C31" s="112">
        <f>C30*12</f>
        <v>247800</v>
      </c>
      <c r="D31" s="46" t="s">
        <v>32</v>
      </c>
      <c r="E31" s="42"/>
      <c r="G31" s="112">
        <f>G30*12</f>
        <v>27120</v>
      </c>
      <c r="H31" s="46" t="s">
        <v>32</v>
      </c>
      <c r="J31" s="112">
        <f>J30*12</f>
        <v>14760</v>
      </c>
      <c r="K31" s="46" t="s">
        <v>32</v>
      </c>
    </row>
    <row r="32" spans="1:11" ht="16" customHeight="1">
      <c r="B32" s="104" t="s">
        <v>40</v>
      </c>
      <c r="C32" s="105">
        <f>C20+C21*12</f>
        <v>48200</v>
      </c>
      <c r="D32" s="111" t="s">
        <v>41</v>
      </c>
      <c r="G32" s="105">
        <f>G20+G21*12</f>
        <v>22700</v>
      </c>
      <c r="H32" s="104" t="s">
        <v>32</v>
      </c>
      <c r="J32" s="105">
        <f>J20+J21*12</f>
        <v>12100</v>
      </c>
      <c r="K32" s="104" t="s">
        <v>32</v>
      </c>
    </row>
    <row r="33" spans="1:11" ht="16" customHeight="1">
      <c r="A33" s="42"/>
      <c r="B33" s="46" t="s">
        <v>42</v>
      </c>
      <c r="C33" s="113">
        <f>IF(C30&lt;=0,"N/A",C20/C30)</f>
        <v>0.96852300242130751</v>
      </c>
      <c r="D33" s="46" t="s">
        <v>43</v>
      </c>
      <c r="E33" s="42"/>
      <c r="G33" s="113">
        <f>IF(G30&lt;=0,"N/A",G20/G30)</f>
        <v>1.5486725663716814</v>
      </c>
      <c r="H33" s="46" t="s">
        <v>43</v>
      </c>
      <c r="J33" s="113">
        <f>IF(J30&lt;=0,"N/A",J20/J30)</f>
        <v>2.0325203252032522</v>
      </c>
      <c r="K33" s="46" t="s">
        <v>43</v>
      </c>
    </row>
    <row r="34" spans="1:11" ht="16" customHeight="1">
      <c r="A34" s="42"/>
      <c r="B34" s="104" t="s">
        <v>44</v>
      </c>
      <c r="C34" s="106">
        <f>IF(C32=0,"N/A",(C31-C20)/C32)</f>
        <v>4.7261410788381744</v>
      </c>
      <c r="D34" s="111" t="s">
        <v>45</v>
      </c>
      <c r="E34" s="42"/>
      <c r="G34" s="106">
        <f>IF(G32=0,"N/A",(G31-G20)/G32)</f>
        <v>1.0405286343612334</v>
      </c>
      <c r="H34" s="104" t="s">
        <v>46</v>
      </c>
      <c r="J34" s="106">
        <f>IF(J32=0,"N/A",(J31-J20)/J32)</f>
        <v>1.0132231404958678</v>
      </c>
      <c r="K34" s="104" t="s">
        <v>46</v>
      </c>
    </row>
    <row r="35" spans="1:11" ht="16" customHeight="1">
      <c r="A35" s="42"/>
      <c r="B35" s="104" t="s">
        <v>47</v>
      </c>
      <c r="C35" s="114">
        <f>IF(C21=0,"N/A",C30*12/(C21*12))</f>
        <v>8.787234042553191</v>
      </c>
      <c r="E35" s="42"/>
      <c r="G35" s="115">
        <f>IF(G21=0,"N/A",G30*12/(G21*12))</f>
        <v>1.4125000000000001</v>
      </c>
      <c r="H35" s="104" t="s">
        <v>46</v>
      </c>
      <c r="J35" s="115">
        <f>IF(J21=0,"N/A",J30*12/(J21*12))</f>
        <v>1.5375000000000001</v>
      </c>
      <c r="K35" s="104" t="s">
        <v>46</v>
      </c>
    </row>
    <row r="36" spans="1:11" ht="16" customHeight="1">
      <c r="A36" s="42"/>
      <c r="B36" s="104"/>
      <c r="C36" s="104"/>
      <c r="E36" s="42"/>
      <c r="G36" s="104"/>
      <c r="H36" s="104"/>
      <c r="J36" s="104"/>
      <c r="K36" s="104"/>
    </row>
    <row r="37" spans="1:11" ht="16" customHeight="1">
      <c r="B37" s="125" t="s">
        <v>48</v>
      </c>
      <c r="C37" s="122"/>
      <c r="D37" s="122"/>
      <c r="E37" s="42"/>
    </row>
    <row r="38" spans="1:11" ht="16" customHeight="1">
      <c r="B38" s="104" t="s">
        <v>49</v>
      </c>
      <c r="C38" s="116">
        <f>IF(C20+C28=0,"N/A",(C28*12-C20)/12)</f>
        <v>21333.333333333332</v>
      </c>
      <c r="D38" s="111" t="s">
        <v>50</v>
      </c>
      <c r="E38" s="42"/>
      <c r="G38" s="116">
        <f>IF(G20+G28=0,"N/A",(G28*12-G20)/12)</f>
        <v>3568.3333333333335</v>
      </c>
      <c r="H38" s="111" t="s">
        <v>51</v>
      </c>
      <c r="J38" s="116">
        <f>IF(J20+J28=0,"N/A",(J28*12-J20)/12)</f>
        <v>1821.6666666666667</v>
      </c>
      <c r="K38" s="111" t="s">
        <v>51</v>
      </c>
    </row>
    <row r="39" spans="1:11" ht="16" customHeight="1">
      <c r="B39" s="104" t="s">
        <v>52</v>
      </c>
      <c r="C39" s="116">
        <f>IF(C38="N/A","N/A",C38-C21)</f>
        <v>18983.333333333332</v>
      </c>
      <c r="D39" s="111" t="s">
        <v>53</v>
      </c>
      <c r="E39" s="42"/>
      <c r="G39" s="116">
        <f>IF(G38="N/A","N/A",G38-G21)</f>
        <v>1968.3333333333335</v>
      </c>
      <c r="H39" s="111" t="s">
        <v>51</v>
      </c>
      <c r="J39" s="116">
        <f>IF(J38="N/A","N/A",J38-J21)</f>
        <v>1021.6666666666667</v>
      </c>
      <c r="K39" s="111" t="s">
        <v>51</v>
      </c>
    </row>
    <row r="40" spans="1:11" ht="16" customHeight="1">
      <c r="B40" s="104"/>
      <c r="C40" s="111"/>
      <c r="D40" s="111"/>
      <c r="E40" s="42"/>
      <c r="G40" s="111"/>
      <c r="H40" s="111"/>
      <c r="J40" s="111"/>
      <c r="K40" s="111"/>
    </row>
    <row r="41" spans="1:11" ht="16" customHeight="1">
      <c r="B41" s="117" t="s">
        <v>54</v>
      </c>
      <c r="E41" s="42"/>
    </row>
    <row r="42" spans="1:11" ht="16" customHeight="1">
      <c r="B42" s="104" t="s">
        <v>55</v>
      </c>
      <c r="C42" s="118">
        <v>0</v>
      </c>
      <c r="D42" s="111" t="s">
        <v>56</v>
      </c>
      <c r="E42" s="42"/>
      <c r="G42" s="118">
        <v>0</v>
      </c>
      <c r="H42" s="111" t="s">
        <v>51</v>
      </c>
      <c r="J42" s="118">
        <v>0</v>
      </c>
      <c r="K42" s="111" t="s">
        <v>51</v>
      </c>
    </row>
    <row r="43" spans="1:11" ht="16" customHeight="1">
      <c r="B43" s="104" t="s">
        <v>57</v>
      </c>
      <c r="C43" s="119" t="str">
        <f>IF(C42=0,"(enter staffing cost above)",C42-C21)</f>
        <v>(enter staffing cost above)</v>
      </c>
      <c r="D43" s="111" t="s">
        <v>58</v>
      </c>
      <c r="E43" s="42"/>
      <c r="G43" s="119" t="str">
        <f>IF(G42=0,"(enter staffing cost above)",G42-G21)</f>
        <v>(enter staffing cost above)</v>
      </c>
      <c r="H43" s="111" t="s">
        <v>51</v>
      </c>
      <c r="J43" s="119" t="str">
        <f>IF(J42=0,"(enter staffing cost above)",J42-J21)</f>
        <v>(enter staffing cost above)</v>
      </c>
      <c r="K43" s="111" t="s">
        <v>51</v>
      </c>
    </row>
    <row r="44" spans="1:11" ht="16" customHeight="1">
      <c r="B44" s="104"/>
      <c r="C44" s="111"/>
      <c r="D44" s="111"/>
      <c r="G44" s="111"/>
      <c r="H44" s="111"/>
      <c r="J44" s="111"/>
    </row>
    <row r="45" spans="1:11" ht="89" customHeight="1">
      <c r="B45" s="124" t="s">
        <v>59</v>
      </c>
      <c r="C45" s="124"/>
      <c r="D45" s="124"/>
      <c r="E45" s="42"/>
    </row>
    <row r="47" spans="1:11" ht="89" customHeight="1">
      <c r="A47" s="42"/>
      <c r="B47" s="121" t="s">
        <v>60</v>
      </c>
      <c r="C47" s="122"/>
      <c r="D47" s="122"/>
      <c r="E47" s="42"/>
    </row>
  </sheetData>
  <mergeCells count="6">
    <mergeCell ref="B47:D47"/>
    <mergeCell ref="B2:D2"/>
    <mergeCell ref="B45:D45"/>
    <mergeCell ref="B5:D5"/>
    <mergeCell ref="B37:D37"/>
    <mergeCell ref="B23:D2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7"/>
  <sheetViews>
    <sheetView zoomScale="120" zoomScaleNormal="120" workbookViewId="0"/>
  </sheetViews>
  <sheetFormatPr baseColWidth="10" defaultColWidth="8.83203125" defaultRowHeight="16" customHeight="1"/>
  <cols>
    <col min="1" max="1" width="5" style="41" customWidth="1"/>
    <col min="2" max="2" width="25.83203125" style="41" customWidth="1"/>
    <col min="3" max="3" width="8.83203125" style="41" customWidth="1"/>
    <col min="4" max="4" width="21.83203125" style="41" customWidth="1"/>
    <col min="5" max="5" width="5" style="41" customWidth="1"/>
    <col min="6" max="6" width="8.83203125" style="41" customWidth="1"/>
    <col min="7" max="16384" width="8.83203125" style="41"/>
  </cols>
  <sheetData>
    <row r="1" spans="1:8">
      <c r="A1" s="42"/>
      <c r="B1" s="42"/>
      <c r="C1" s="42"/>
      <c r="D1" s="42"/>
      <c r="E1" s="42"/>
    </row>
    <row r="2" spans="1:8" ht="23" customHeight="1">
      <c r="A2" s="42"/>
      <c r="B2" s="123" t="s">
        <v>0</v>
      </c>
      <c r="C2" s="122"/>
      <c r="D2" s="122"/>
      <c r="E2" s="42"/>
    </row>
    <row r="3" spans="1:8" ht="16" customHeight="1">
      <c r="A3" s="42"/>
      <c r="B3" s="47"/>
      <c r="C3" s="47"/>
      <c r="D3" s="47"/>
      <c r="E3" s="42"/>
    </row>
    <row r="4" spans="1:8" ht="16" customHeight="1">
      <c r="A4" s="42"/>
      <c r="B4" s="43" t="s">
        <v>1</v>
      </c>
      <c r="C4" s="43" t="s">
        <v>2</v>
      </c>
      <c r="D4" s="43" t="s">
        <v>3</v>
      </c>
      <c r="E4" s="42"/>
    </row>
    <row r="5" spans="1:8" ht="16" customHeight="1">
      <c r="A5" s="42"/>
      <c r="B5" s="125" t="s">
        <v>4</v>
      </c>
      <c r="C5" s="122"/>
      <c r="D5" s="122"/>
      <c r="E5" s="42"/>
      <c r="G5" s="44" t="s">
        <v>5</v>
      </c>
      <c r="H5" s="45"/>
    </row>
    <row r="6" spans="1:8" ht="16" customHeight="1">
      <c r="A6" s="42"/>
      <c r="B6" s="46" t="s">
        <v>6</v>
      </c>
      <c r="C6" s="47"/>
      <c r="D6" s="47"/>
      <c r="E6" s="42"/>
    </row>
    <row r="7" spans="1:8" ht="16" customHeight="1">
      <c r="A7" s="42"/>
      <c r="B7" s="48" t="s">
        <v>7</v>
      </c>
      <c r="C7" s="49">
        <v>2</v>
      </c>
      <c r="D7" s="50" t="s">
        <v>8</v>
      </c>
      <c r="E7" s="42"/>
      <c r="G7" s="49">
        <v>4</v>
      </c>
      <c r="H7" s="50" t="s">
        <v>8</v>
      </c>
    </row>
    <row r="8" spans="1:8" ht="16" customHeight="1">
      <c r="A8" s="42"/>
      <c r="B8" s="48" t="s">
        <v>9</v>
      </c>
      <c r="C8" s="49">
        <v>5</v>
      </c>
      <c r="D8" s="50" t="s">
        <v>10</v>
      </c>
      <c r="E8" s="42"/>
      <c r="G8" s="49">
        <v>2</v>
      </c>
      <c r="H8" s="50" t="s">
        <v>10</v>
      </c>
    </row>
    <row r="9" spans="1:8" ht="16" customHeight="1">
      <c r="A9" s="42"/>
      <c r="B9" s="48" t="s">
        <v>11</v>
      </c>
      <c r="C9" s="49">
        <v>100</v>
      </c>
      <c r="D9" s="50" t="s">
        <v>12</v>
      </c>
      <c r="E9" s="42"/>
      <c r="G9" s="49">
        <v>80</v>
      </c>
      <c r="H9" s="50" t="s">
        <v>12</v>
      </c>
    </row>
    <row r="10" spans="1:8" ht="16" customHeight="1">
      <c r="A10" s="42"/>
      <c r="B10" s="47"/>
      <c r="C10" s="47"/>
      <c r="D10" s="47"/>
      <c r="E10" s="42"/>
      <c r="G10" s="47"/>
      <c r="H10" s="47"/>
    </row>
    <row r="11" spans="1:8" ht="16" customHeight="1">
      <c r="A11" s="42"/>
      <c r="B11" s="46" t="s">
        <v>13</v>
      </c>
      <c r="C11" s="47"/>
      <c r="D11" s="47"/>
      <c r="E11" s="42"/>
      <c r="G11" s="47"/>
      <c r="H11" s="47"/>
    </row>
    <row r="12" spans="1:8" ht="16" customHeight="1">
      <c r="A12" s="42"/>
      <c r="B12" s="48" t="s">
        <v>14</v>
      </c>
      <c r="C12" s="49">
        <v>5</v>
      </c>
      <c r="D12" s="50" t="s">
        <v>15</v>
      </c>
      <c r="E12" s="42"/>
      <c r="G12" s="49">
        <v>1</v>
      </c>
      <c r="H12" s="50" t="s">
        <v>15</v>
      </c>
    </row>
    <row r="13" spans="1:8" ht="16" customHeight="1">
      <c r="A13" s="42"/>
      <c r="B13" s="48" t="s">
        <v>16</v>
      </c>
      <c r="C13" s="49">
        <v>200</v>
      </c>
      <c r="D13" s="50" t="s">
        <v>17</v>
      </c>
      <c r="E13" s="42"/>
      <c r="G13" s="49">
        <v>75</v>
      </c>
      <c r="H13" s="50" t="s">
        <v>17</v>
      </c>
    </row>
    <row r="14" spans="1:8" ht="16" customHeight="1">
      <c r="A14" s="42"/>
      <c r="B14" s="47"/>
      <c r="C14" s="47"/>
      <c r="D14" s="47"/>
      <c r="E14" s="42"/>
      <c r="G14" s="47"/>
      <c r="H14" s="47"/>
    </row>
    <row r="15" spans="1:8" ht="16" customHeight="1">
      <c r="A15" s="42"/>
      <c r="B15" s="46" t="s">
        <v>18</v>
      </c>
      <c r="C15" s="47"/>
      <c r="D15" s="47"/>
      <c r="E15" s="42"/>
      <c r="G15" s="47"/>
      <c r="H15" s="47"/>
    </row>
    <row r="16" spans="1:8" ht="16" customHeight="1">
      <c r="A16" s="42"/>
      <c r="B16" s="48" t="s">
        <v>19</v>
      </c>
      <c r="C16" s="49">
        <v>10</v>
      </c>
      <c r="D16" s="50" t="s">
        <v>20</v>
      </c>
      <c r="E16" s="42"/>
      <c r="G16" s="49">
        <v>1</v>
      </c>
      <c r="H16" s="50" t="s">
        <v>20</v>
      </c>
    </row>
    <row r="17" spans="1:8" ht="16" customHeight="1">
      <c r="A17" s="42"/>
      <c r="B17" s="48" t="s">
        <v>21</v>
      </c>
      <c r="C17" s="49">
        <v>1500</v>
      </c>
      <c r="D17" s="50" t="s">
        <v>22</v>
      </c>
      <c r="E17" s="42"/>
      <c r="G17" s="49">
        <v>1000</v>
      </c>
      <c r="H17" s="50" t="s">
        <v>22</v>
      </c>
    </row>
    <row r="18" spans="1:8" ht="16" customHeight="1">
      <c r="A18" s="42"/>
      <c r="B18" s="47"/>
      <c r="C18" s="47"/>
      <c r="D18" s="47"/>
      <c r="E18" s="42"/>
      <c r="G18" s="47"/>
      <c r="H18" s="47"/>
    </row>
    <row r="19" spans="1:8" ht="16" customHeight="1">
      <c r="A19" s="42"/>
      <c r="B19" s="46" t="s">
        <v>23</v>
      </c>
      <c r="C19" s="47"/>
      <c r="D19" s="47"/>
      <c r="E19" s="42"/>
      <c r="G19" s="47"/>
      <c r="H19" s="47"/>
    </row>
    <row r="20" spans="1:8" ht="16" customHeight="1">
      <c r="A20" s="42"/>
      <c r="B20" s="48" t="s">
        <v>24</v>
      </c>
      <c r="C20" s="49">
        <v>20000</v>
      </c>
      <c r="D20" s="50" t="s">
        <v>25</v>
      </c>
      <c r="E20" s="42"/>
      <c r="G20" s="49">
        <v>3500</v>
      </c>
      <c r="H20" s="50" t="s">
        <v>25</v>
      </c>
    </row>
    <row r="21" spans="1:8" ht="16" customHeight="1">
      <c r="A21" s="42"/>
      <c r="B21" s="48" t="s">
        <v>26</v>
      </c>
      <c r="C21" s="49">
        <v>2350</v>
      </c>
      <c r="D21" s="50" t="s">
        <v>27</v>
      </c>
      <c r="E21" s="42"/>
      <c r="G21" s="49">
        <v>1600</v>
      </c>
      <c r="H21" s="50" t="s">
        <v>28</v>
      </c>
    </row>
    <row r="22" spans="1:8" ht="16" customHeight="1">
      <c r="A22" s="42"/>
      <c r="B22" s="47"/>
      <c r="C22" s="47"/>
      <c r="D22" s="47"/>
      <c r="E22" s="42"/>
    </row>
    <row r="23" spans="1:8" ht="16" customHeight="1">
      <c r="A23" s="42"/>
      <c r="B23" s="125" t="s">
        <v>29</v>
      </c>
      <c r="C23" s="122"/>
      <c r="D23" s="122"/>
      <c r="E23" s="42"/>
      <c r="G23" s="44" t="s">
        <v>30</v>
      </c>
      <c r="H23" s="45"/>
    </row>
    <row r="24" spans="1:8" ht="16" customHeight="1">
      <c r="A24" s="42"/>
      <c r="B24" s="47"/>
      <c r="C24" s="47"/>
      <c r="D24" s="47"/>
      <c r="E24" s="42"/>
    </row>
    <row r="25" spans="1:8" ht="16" customHeight="1">
      <c r="A25" s="42"/>
      <c r="B25" s="50" t="s">
        <v>31</v>
      </c>
      <c r="C25" s="51">
        <f>C7*C8*C9*4</f>
        <v>4000</v>
      </c>
      <c r="D25" s="50" t="s">
        <v>32</v>
      </c>
      <c r="E25" s="42"/>
      <c r="G25" s="51">
        <f>G7*G8*G9*4</f>
        <v>2560</v>
      </c>
      <c r="H25" s="50" t="s">
        <v>32</v>
      </c>
    </row>
    <row r="26" spans="1:8" ht="16" customHeight="1">
      <c r="A26" s="42"/>
      <c r="B26" s="50" t="s">
        <v>33</v>
      </c>
      <c r="C26" s="51">
        <f>C12*C13*4</f>
        <v>4000</v>
      </c>
      <c r="D26" s="50" t="s">
        <v>32</v>
      </c>
      <c r="E26" s="42"/>
      <c r="G26" s="51">
        <f>G12*G13*4</f>
        <v>300</v>
      </c>
      <c r="H26" s="50" t="s">
        <v>32</v>
      </c>
    </row>
    <row r="27" spans="1:8" ht="16" customHeight="1">
      <c r="A27" s="42"/>
      <c r="B27" s="50" t="s">
        <v>34</v>
      </c>
      <c r="C27" s="51">
        <f>C16*C17</f>
        <v>15000</v>
      </c>
      <c r="D27" s="50" t="s">
        <v>32</v>
      </c>
      <c r="E27" s="42"/>
      <c r="G27" s="51">
        <f>G16*G17</f>
        <v>1000</v>
      </c>
      <c r="H27" s="50" t="s">
        <v>32</v>
      </c>
    </row>
    <row r="28" spans="1:8" ht="16" customHeight="1">
      <c r="A28" s="42"/>
      <c r="B28" s="46" t="s">
        <v>35</v>
      </c>
      <c r="C28" s="52">
        <f>SUM(C25:C27)</f>
        <v>23000</v>
      </c>
      <c r="D28" s="46" t="s">
        <v>36</v>
      </c>
      <c r="E28" s="42"/>
      <c r="G28" s="52">
        <f>SUM(G25:G27)</f>
        <v>3860</v>
      </c>
      <c r="H28" s="46" t="s">
        <v>36</v>
      </c>
    </row>
    <row r="29" spans="1:8" ht="16" customHeight="1">
      <c r="A29" s="42"/>
      <c r="B29" s="50" t="s">
        <v>37</v>
      </c>
      <c r="C29" s="53">
        <f>C21</f>
        <v>2350</v>
      </c>
      <c r="D29" s="50" t="s">
        <v>32</v>
      </c>
      <c r="E29" s="42"/>
      <c r="G29" s="53">
        <f>G21</f>
        <v>1600</v>
      </c>
      <c r="H29" s="50" t="s">
        <v>32</v>
      </c>
    </row>
    <row r="30" spans="1:8" ht="16" customHeight="1">
      <c r="A30" s="42"/>
      <c r="B30" s="46" t="s">
        <v>38</v>
      </c>
      <c r="C30" s="54">
        <f>C28-C29</f>
        <v>20650</v>
      </c>
      <c r="D30" s="46" t="s">
        <v>32</v>
      </c>
      <c r="E30" s="42"/>
      <c r="G30" s="54">
        <f>G28-G29</f>
        <v>2260</v>
      </c>
      <c r="H30" s="46" t="s">
        <v>32</v>
      </c>
    </row>
    <row r="31" spans="1:8" ht="16" customHeight="1">
      <c r="A31" s="42"/>
      <c r="B31" s="46" t="s">
        <v>39</v>
      </c>
      <c r="C31" s="55">
        <f>C30*12</f>
        <v>247800</v>
      </c>
      <c r="D31" s="46" t="s">
        <v>32</v>
      </c>
      <c r="E31" s="42"/>
      <c r="G31" s="55">
        <f>G30*12</f>
        <v>27120</v>
      </c>
      <c r="H31" s="46" t="s">
        <v>32</v>
      </c>
    </row>
    <row r="32" spans="1:8" ht="16" customHeight="1">
      <c r="B32" s="104" t="s">
        <v>40</v>
      </c>
      <c r="C32" s="105">
        <f>C20+C21*12</f>
        <v>48200</v>
      </c>
      <c r="D32" s="111" t="s">
        <v>41</v>
      </c>
      <c r="G32" s="105">
        <f>G20+G21*12</f>
        <v>22700</v>
      </c>
      <c r="H32" s="104" t="s">
        <v>32</v>
      </c>
    </row>
    <row r="33" spans="1:8" ht="16" customHeight="1">
      <c r="A33" s="42"/>
      <c r="B33" s="46" t="s">
        <v>42</v>
      </c>
      <c r="C33" s="56">
        <f>IF(C30&lt;=0,"N/A",C20/C30)</f>
        <v>0.96852300242130751</v>
      </c>
      <c r="D33" s="46" t="s">
        <v>43</v>
      </c>
      <c r="E33" s="42"/>
      <c r="G33" s="56">
        <f>IF(G30&lt;=0,"N/A",G20/G30)</f>
        <v>1.5486725663716814</v>
      </c>
      <c r="H33" s="46" t="s">
        <v>43</v>
      </c>
    </row>
    <row r="34" spans="1:8" ht="16" customHeight="1">
      <c r="A34" s="42"/>
      <c r="B34" s="104" t="s">
        <v>44</v>
      </c>
      <c r="C34" s="106">
        <f>IF(C32=0,"N/A",(C31-C20)/C32)</f>
        <v>4.7261410788381744</v>
      </c>
      <c r="D34" s="111" t="s">
        <v>45</v>
      </c>
      <c r="E34" s="42"/>
      <c r="G34" s="106">
        <f>IF(G32=0,"N/A",(G31-G20)/G32)</f>
        <v>1.0405286343612334</v>
      </c>
      <c r="H34" s="104" t="s">
        <v>46</v>
      </c>
    </row>
    <row r="35" spans="1:8" ht="16" customHeight="1">
      <c r="A35" s="42"/>
      <c r="B35" s="104" t="s">
        <v>47</v>
      </c>
      <c r="C35" s="107">
        <f>IF(C21=0,"N/A",C30*12/(C21*12))</f>
        <v>8.787234042553191</v>
      </c>
      <c r="E35" s="42"/>
      <c r="G35" s="108">
        <f>IF(G21=0,"N/A",G30*12/(G21*12))</f>
        <v>1.4125000000000001</v>
      </c>
      <c r="H35" s="104" t="s">
        <v>46</v>
      </c>
    </row>
    <row r="36" spans="1:8" ht="16" customHeight="1">
      <c r="A36" s="42"/>
      <c r="B36" s="47"/>
      <c r="C36" s="47"/>
      <c r="D36" s="47"/>
      <c r="E36" s="42"/>
    </row>
    <row r="37" spans="1:8" ht="89" customHeight="1">
      <c r="A37" s="42"/>
      <c r="B37" s="130" t="s">
        <v>60</v>
      </c>
      <c r="C37" s="122"/>
      <c r="D37" s="122"/>
      <c r="E37" s="42"/>
    </row>
  </sheetData>
  <mergeCells count="4">
    <mergeCell ref="B2:D2"/>
    <mergeCell ref="B23:D23"/>
    <mergeCell ref="B37:D37"/>
    <mergeCell ref="B5:D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5"/>
  <sheetViews>
    <sheetView zoomScale="120" zoomScaleNormal="120" workbookViewId="0"/>
  </sheetViews>
  <sheetFormatPr baseColWidth="10" defaultColWidth="8.83203125" defaultRowHeight="16" customHeight="1"/>
  <cols>
    <col min="1" max="1" width="5" style="41" customWidth="1"/>
    <col min="2" max="2" width="25.83203125" style="41" customWidth="1"/>
    <col min="3" max="3" width="8.83203125" style="41" customWidth="1"/>
    <col min="4" max="4" width="21.83203125" style="41" customWidth="1"/>
    <col min="5" max="5" width="5" style="41" customWidth="1"/>
    <col min="6" max="6" width="8.83203125" style="41" customWidth="1"/>
    <col min="7" max="16384" width="8.83203125" style="41"/>
  </cols>
  <sheetData>
    <row r="1" spans="1:8" ht="16" customHeight="1">
      <c r="A1" s="42"/>
      <c r="B1" s="42"/>
      <c r="C1" s="42"/>
      <c r="D1" s="42"/>
      <c r="E1" s="42"/>
    </row>
    <row r="2" spans="1:8" ht="23" customHeight="1">
      <c r="A2" s="42"/>
      <c r="B2" s="123" t="s">
        <v>0</v>
      </c>
      <c r="C2" s="122"/>
      <c r="D2" s="122"/>
      <c r="E2" s="42"/>
    </row>
    <row r="3" spans="1:8" ht="16" customHeight="1">
      <c r="A3" s="42"/>
      <c r="B3" s="47"/>
      <c r="C3" s="47"/>
      <c r="D3" s="47"/>
      <c r="E3" s="42"/>
    </row>
    <row r="4" spans="1:8" ht="16" customHeight="1">
      <c r="A4" s="42"/>
      <c r="B4" s="43" t="s">
        <v>1</v>
      </c>
      <c r="C4" s="43" t="s">
        <v>2</v>
      </c>
      <c r="D4" s="43" t="s">
        <v>3</v>
      </c>
      <c r="E4" s="42"/>
    </row>
    <row r="5" spans="1:8" ht="16" customHeight="1">
      <c r="A5" s="42"/>
      <c r="B5" s="125" t="s">
        <v>4</v>
      </c>
      <c r="C5" s="122"/>
      <c r="D5" s="122"/>
      <c r="E5" s="42"/>
      <c r="G5" s="44" t="s">
        <v>5</v>
      </c>
      <c r="H5" s="45"/>
    </row>
    <row r="6" spans="1:8" ht="16" customHeight="1">
      <c r="A6" s="42"/>
      <c r="B6" s="46" t="s">
        <v>6</v>
      </c>
      <c r="C6" s="47"/>
      <c r="D6" s="47"/>
      <c r="E6" s="42"/>
    </row>
    <row r="7" spans="1:8" ht="16" customHeight="1">
      <c r="A7" s="42"/>
      <c r="B7" s="48" t="s">
        <v>7</v>
      </c>
      <c r="C7" s="49">
        <v>2</v>
      </c>
      <c r="D7" s="50" t="s">
        <v>8</v>
      </c>
      <c r="E7" s="42"/>
      <c r="G7" s="49">
        <v>4</v>
      </c>
      <c r="H7" s="50" t="s">
        <v>8</v>
      </c>
    </row>
    <row r="8" spans="1:8" ht="16" customHeight="1">
      <c r="A8" s="42"/>
      <c r="B8" s="48" t="s">
        <v>9</v>
      </c>
      <c r="C8" s="49">
        <v>5</v>
      </c>
      <c r="D8" s="50" t="s">
        <v>10</v>
      </c>
      <c r="E8" s="42"/>
      <c r="G8" s="49">
        <v>2</v>
      </c>
      <c r="H8" s="50" t="s">
        <v>10</v>
      </c>
    </row>
    <row r="9" spans="1:8" ht="16" customHeight="1">
      <c r="A9" s="42"/>
      <c r="B9" s="48" t="s">
        <v>11</v>
      </c>
      <c r="C9" s="49">
        <v>100</v>
      </c>
      <c r="D9" s="50" t="s">
        <v>12</v>
      </c>
      <c r="E9" s="42"/>
      <c r="G9" s="49">
        <v>80</v>
      </c>
      <c r="H9" s="50" t="s">
        <v>12</v>
      </c>
    </row>
    <row r="10" spans="1:8" ht="16" customHeight="1">
      <c r="A10" s="42"/>
      <c r="B10" s="47"/>
      <c r="C10" s="47"/>
      <c r="D10" s="47"/>
      <c r="E10" s="42"/>
      <c r="G10" s="47"/>
      <c r="H10" s="47"/>
    </row>
    <row r="11" spans="1:8" ht="16" customHeight="1">
      <c r="A11" s="42"/>
      <c r="B11" s="46" t="s">
        <v>13</v>
      </c>
      <c r="C11" s="47"/>
      <c r="D11" s="47"/>
      <c r="E11" s="42"/>
      <c r="G11" s="47"/>
      <c r="H11" s="47"/>
    </row>
    <row r="12" spans="1:8" ht="16" customHeight="1">
      <c r="A12" s="42"/>
      <c r="B12" s="48" t="s">
        <v>14</v>
      </c>
      <c r="C12" s="49">
        <v>5</v>
      </c>
      <c r="D12" s="50" t="s">
        <v>15</v>
      </c>
      <c r="E12" s="42"/>
      <c r="G12" s="49">
        <v>1</v>
      </c>
      <c r="H12" s="50" t="s">
        <v>15</v>
      </c>
    </row>
    <row r="13" spans="1:8" ht="16" customHeight="1">
      <c r="A13" s="42"/>
      <c r="B13" s="48" t="s">
        <v>16</v>
      </c>
      <c r="C13" s="49">
        <v>200</v>
      </c>
      <c r="D13" s="50" t="s">
        <v>17</v>
      </c>
      <c r="E13" s="42"/>
      <c r="G13" s="49">
        <v>75</v>
      </c>
      <c r="H13" s="50" t="s">
        <v>17</v>
      </c>
    </row>
    <row r="14" spans="1:8" ht="16" customHeight="1">
      <c r="A14" s="42"/>
      <c r="B14" s="47"/>
      <c r="C14" s="47"/>
      <c r="D14" s="47"/>
      <c r="E14" s="42"/>
      <c r="G14" s="47"/>
      <c r="H14" s="47"/>
    </row>
    <row r="15" spans="1:8" ht="16" customHeight="1">
      <c r="A15" s="42"/>
      <c r="B15" s="46" t="s">
        <v>18</v>
      </c>
      <c r="C15" s="47"/>
      <c r="D15" s="47"/>
      <c r="E15" s="42"/>
      <c r="G15" s="47"/>
      <c r="H15" s="47"/>
    </row>
    <row r="16" spans="1:8" ht="16" customHeight="1">
      <c r="A16" s="42"/>
      <c r="B16" s="48" t="s">
        <v>19</v>
      </c>
      <c r="C16" s="49">
        <v>10</v>
      </c>
      <c r="D16" s="50" t="s">
        <v>20</v>
      </c>
      <c r="E16" s="42"/>
      <c r="G16" s="49">
        <v>1</v>
      </c>
      <c r="H16" s="50" t="s">
        <v>20</v>
      </c>
    </row>
    <row r="17" spans="1:8" ht="16" customHeight="1">
      <c r="A17" s="42"/>
      <c r="B17" s="48" t="s">
        <v>21</v>
      </c>
      <c r="C17" s="49">
        <v>1500</v>
      </c>
      <c r="D17" s="50" t="s">
        <v>22</v>
      </c>
      <c r="E17" s="42"/>
      <c r="G17" s="49">
        <v>1000</v>
      </c>
      <c r="H17" s="50" t="s">
        <v>22</v>
      </c>
    </row>
    <row r="18" spans="1:8" ht="16" customHeight="1">
      <c r="A18" s="42"/>
      <c r="B18" s="47"/>
      <c r="C18" s="47"/>
      <c r="D18" s="47"/>
      <c r="E18" s="42"/>
      <c r="G18" s="47"/>
      <c r="H18" s="47"/>
    </row>
    <row r="19" spans="1:8" ht="16" customHeight="1">
      <c r="A19" s="42"/>
      <c r="B19" s="46" t="s">
        <v>23</v>
      </c>
      <c r="C19" s="47"/>
      <c r="D19" s="47"/>
      <c r="E19" s="42"/>
      <c r="G19" s="47"/>
      <c r="H19" s="47"/>
    </row>
    <row r="20" spans="1:8" ht="16" customHeight="1">
      <c r="A20" s="42"/>
      <c r="B20" s="48" t="s">
        <v>24</v>
      </c>
      <c r="C20" s="49">
        <v>20000</v>
      </c>
      <c r="D20" s="50" t="s">
        <v>25</v>
      </c>
      <c r="E20" s="42"/>
      <c r="G20" s="49">
        <v>3500</v>
      </c>
      <c r="H20" s="50" t="s">
        <v>25</v>
      </c>
    </row>
    <row r="21" spans="1:8" ht="16" customHeight="1">
      <c r="A21" s="42"/>
      <c r="B21" s="48" t="s">
        <v>26</v>
      </c>
      <c r="C21" s="49">
        <v>2350</v>
      </c>
      <c r="D21" s="50" t="s">
        <v>27</v>
      </c>
      <c r="E21" s="42"/>
      <c r="G21" s="49">
        <v>1600</v>
      </c>
      <c r="H21" s="50" t="s">
        <v>28</v>
      </c>
    </row>
    <row r="22" spans="1:8" ht="16" customHeight="1">
      <c r="A22" s="42"/>
      <c r="B22" s="47"/>
      <c r="C22" s="47"/>
      <c r="D22" s="47"/>
      <c r="E22" s="42"/>
    </row>
    <row r="23" spans="1:8" ht="16" customHeight="1">
      <c r="A23" s="42"/>
      <c r="B23" s="125" t="s">
        <v>29</v>
      </c>
      <c r="C23" s="122"/>
      <c r="D23" s="122"/>
      <c r="E23" s="42"/>
      <c r="G23" s="44" t="s">
        <v>30</v>
      </c>
      <c r="H23" s="45"/>
    </row>
    <row r="24" spans="1:8" ht="16" customHeight="1">
      <c r="A24" s="42"/>
      <c r="B24" s="47"/>
      <c r="C24" s="47"/>
      <c r="D24" s="47"/>
      <c r="E24" s="42"/>
    </row>
    <row r="25" spans="1:8" ht="16" customHeight="1">
      <c r="A25" s="42"/>
      <c r="B25" s="50" t="s">
        <v>31</v>
      </c>
      <c r="C25" s="51">
        <f>C7*C8*C9*4</f>
        <v>4000</v>
      </c>
      <c r="D25" s="50" t="s">
        <v>32</v>
      </c>
      <c r="E25" s="42"/>
      <c r="G25" s="51">
        <f>G7*G8*G9*4</f>
        <v>2560</v>
      </c>
      <c r="H25" s="50" t="s">
        <v>32</v>
      </c>
    </row>
    <row r="26" spans="1:8" ht="16" customHeight="1">
      <c r="A26" s="42"/>
      <c r="B26" s="50" t="s">
        <v>33</v>
      </c>
      <c r="C26" s="51">
        <f>C12*C13*4</f>
        <v>4000</v>
      </c>
      <c r="D26" s="50" t="s">
        <v>32</v>
      </c>
      <c r="E26" s="42"/>
      <c r="G26" s="51">
        <f>G12*G13*4</f>
        <v>300</v>
      </c>
      <c r="H26" s="50" t="s">
        <v>32</v>
      </c>
    </row>
    <row r="27" spans="1:8" ht="16" customHeight="1">
      <c r="A27" s="42"/>
      <c r="B27" s="50" t="s">
        <v>34</v>
      </c>
      <c r="C27" s="51">
        <f>C16*C17</f>
        <v>15000</v>
      </c>
      <c r="D27" s="50" t="s">
        <v>32</v>
      </c>
      <c r="E27" s="42"/>
      <c r="G27" s="51">
        <f>G16*G17</f>
        <v>1000</v>
      </c>
      <c r="H27" s="50" t="s">
        <v>32</v>
      </c>
    </row>
    <row r="28" spans="1:8" ht="16" customHeight="1">
      <c r="A28" s="42"/>
      <c r="B28" s="46" t="s">
        <v>35</v>
      </c>
      <c r="C28" s="52">
        <f>SUM(C25:C27)</f>
        <v>23000</v>
      </c>
      <c r="D28" s="46" t="s">
        <v>36</v>
      </c>
      <c r="E28" s="42"/>
      <c r="G28" s="52">
        <f>SUM(G25:G27)</f>
        <v>3860</v>
      </c>
      <c r="H28" s="46" t="s">
        <v>36</v>
      </c>
    </row>
    <row r="29" spans="1:8" ht="16" customHeight="1">
      <c r="A29" s="42"/>
      <c r="B29" s="50" t="s">
        <v>37</v>
      </c>
      <c r="C29" s="53">
        <f>C21</f>
        <v>2350</v>
      </c>
      <c r="D29" s="50" t="s">
        <v>32</v>
      </c>
      <c r="E29" s="42"/>
      <c r="G29" s="53">
        <f>G21</f>
        <v>1600</v>
      </c>
      <c r="H29" s="50" t="s">
        <v>32</v>
      </c>
    </row>
    <row r="30" spans="1:8" ht="16" customHeight="1">
      <c r="A30" s="42"/>
      <c r="B30" s="46" t="s">
        <v>38</v>
      </c>
      <c r="C30" s="54">
        <f>C28-C29</f>
        <v>20650</v>
      </c>
      <c r="D30" s="46" t="s">
        <v>32</v>
      </c>
      <c r="E30" s="42"/>
      <c r="G30" s="54">
        <f>G28-G29</f>
        <v>2260</v>
      </c>
      <c r="H30" s="46" t="s">
        <v>32</v>
      </c>
    </row>
    <row r="31" spans="1:8" ht="16" customHeight="1">
      <c r="A31" s="42"/>
      <c r="B31" s="46" t="s">
        <v>39</v>
      </c>
      <c r="C31" s="55">
        <f>C30*12</f>
        <v>247800</v>
      </c>
      <c r="D31" s="46" t="s">
        <v>32</v>
      </c>
      <c r="E31" s="42"/>
      <c r="G31" s="55">
        <f>G30*12</f>
        <v>27120</v>
      </c>
      <c r="H31" s="46" t="s">
        <v>32</v>
      </c>
    </row>
    <row r="32" spans="1:8" ht="16" customHeight="1">
      <c r="A32" s="42"/>
      <c r="B32" s="46" t="s">
        <v>42</v>
      </c>
      <c r="C32" s="56">
        <f>IF(C30&lt;=0,"N/A",C20/C30)</f>
        <v>0.96852300242130751</v>
      </c>
      <c r="D32" s="46" t="s">
        <v>43</v>
      </c>
      <c r="E32" s="42"/>
      <c r="G32" s="56">
        <f>IF(G30&lt;=0,"N/A",G20/G30)</f>
        <v>1.5486725663716814</v>
      </c>
      <c r="H32" s="46" t="s">
        <v>43</v>
      </c>
    </row>
    <row r="33" spans="1:8" ht="16" customHeight="1">
      <c r="A33" s="42"/>
      <c r="B33" s="46" t="s">
        <v>44</v>
      </c>
      <c r="C33" s="57">
        <f>IF(C20=0,"N/A",(C30*12-C20)/C20)</f>
        <v>11.39</v>
      </c>
      <c r="D33" s="46" t="s">
        <v>431</v>
      </c>
      <c r="E33" s="42"/>
      <c r="G33" s="57">
        <f>IF(G20=0,"N/A",(G30*12-G20)/G20)</f>
        <v>6.7485714285714282</v>
      </c>
      <c r="H33" s="46" t="s">
        <v>431</v>
      </c>
    </row>
    <row r="34" spans="1:8" ht="16" customHeight="1">
      <c r="A34" s="42"/>
      <c r="B34" s="47"/>
      <c r="C34" s="47"/>
      <c r="D34" s="47"/>
      <c r="E34" s="42"/>
    </row>
    <row r="35" spans="1:8" ht="89" customHeight="1">
      <c r="A35" s="42"/>
      <c r="B35" s="131" t="s">
        <v>432</v>
      </c>
      <c r="C35" s="122"/>
      <c r="D35" s="122"/>
      <c r="E35" s="42"/>
    </row>
  </sheetData>
  <mergeCells count="4">
    <mergeCell ref="B23:D23"/>
    <mergeCell ref="B2:D2"/>
    <mergeCell ref="B5:D5"/>
    <mergeCell ref="B35:D35"/>
  </mergeCell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1"/>
  <sheetViews>
    <sheetView zoomScale="120" zoomScaleNormal="120" workbookViewId="0">
      <selection activeCell="A3" sqref="A3"/>
    </sheetView>
  </sheetViews>
  <sheetFormatPr baseColWidth="10" defaultColWidth="8.83203125" defaultRowHeight="15"/>
  <cols>
    <col min="1" max="2" width="21.83203125" customWidth="1"/>
    <col min="7" max="10" width="21.83203125" customWidth="1"/>
  </cols>
  <sheetData>
    <row r="1" spans="1:10" ht="60.75" customHeight="1">
      <c r="A1" s="129" t="s">
        <v>433</v>
      </c>
      <c r="B1" s="127"/>
      <c r="C1" s="127"/>
      <c r="D1" s="127"/>
      <c r="E1" s="127"/>
      <c r="F1" s="127"/>
      <c r="G1" s="127"/>
      <c r="H1" s="127"/>
      <c r="I1" s="127"/>
      <c r="J1" s="127"/>
    </row>
    <row r="2" spans="1:10" ht="15" customHeight="1"/>
    <row r="3" spans="1:10" ht="27.75" customHeight="1">
      <c r="A3" s="5" t="s">
        <v>145</v>
      </c>
      <c r="B3" s="5" t="s">
        <v>86</v>
      </c>
      <c r="C3" s="5" t="s">
        <v>87</v>
      </c>
      <c r="D3" s="5" t="s">
        <v>88</v>
      </c>
      <c r="E3" s="5" t="s">
        <v>89</v>
      </c>
      <c r="F3" s="5" t="s">
        <v>90</v>
      </c>
      <c r="G3" s="5" t="s">
        <v>434</v>
      </c>
      <c r="H3" s="5" t="s">
        <v>93</v>
      </c>
      <c r="I3" s="5" t="s">
        <v>144</v>
      </c>
      <c r="J3" s="5" t="s">
        <v>435</v>
      </c>
    </row>
    <row r="4" spans="1:10" ht="21" customHeight="1">
      <c r="A4" t="s">
        <v>436</v>
      </c>
      <c r="B4" t="s">
        <v>104</v>
      </c>
      <c r="C4">
        <v>1500</v>
      </c>
      <c r="D4">
        <v>3000</v>
      </c>
      <c r="E4">
        <v>250</v>
      </c>
      <c r="F4">
        <v>600</v>
      </c>
      <c r="G4" t="s">
        <v>437</v>
      </c>
      <c r="H4" t="s">
        <v>438</v>
      </c>
      <c r="I4" t="s">
        <v>439</v>
      </c>
      <c r="J4" t="s">
        <v>109</v>
      </c>
    </row>
    <row r="5" spans="1:10" ht="21" customHeight="1">
      <c r="A5" t="s">
        <v>440</v>
      </c>
      <c r="B5" t="s">
        <v>97</v>
      </c>
      <c r="C5">
        <v>1200</v>
      </c>
      <c r="D5">
        <v>2500</v>
      </c>
      <c r="E5">
        <v>250</v>
      </c>
      <c r="F5">
        <v>500</v>
      </c>
      <c r="G5" t="s">
        <v>441</v>
      </c>
      <c r="H5" t="s">
        <v>438</v>
      </c>
      <c r="I5" t="s">
        <v>442</v>
      </c>
      <c r="J5" t="s">
        <v>102</v>
      </c>
    </row>
    <row r="6" spans="1:10" ht="21" customHeight="1">
      <c r="A6" t="s">
        <v>443</v>
      </c>
      <c r="B6" t="s">
        <v>111</v>
      </c>
      <c r="C6">
        <v>3500</v>
      </c>
      <c r="D6">
        <v>7500</v>
      </c>
      <c r="E6">
        <v>750</v>
      </c>
      <c r="F6">
        <v>1500</v>
      </c>
      <c r="G6" t="s">
        <v>444</v>
      </c>
      <c r="H6" t="s">
        <v>445</v>
      </c>
      <c r="I6" t="s">
        <v>446</v>
      </c>
      <c r="J6" t="s">
        <v>116</v>
      </c>
    </row>
    <row r="7" spans="1:10" ht="21" customHeight="1">
      <c r="A7" t="s">
        <v>447</v>
      </c>
      <c r="B7" t="s">
        <v>118</v>
      </c>
      <c r="C7">
        <v>7500</v>
      </c>
      <c r="D7">
        <v>15000</v>
      </c>
      <c r="E7">
        <v>1500</v>
      </c>
      <c r="F7">
        <v>3500</v>
      </c>
      <c r="G7" t="s">
        <v>448</v>
      </c>
      <c r="H7" t="s">
        <v>445</v>
      </c>
      <c r="I7" t="s">
        <v>449</v>
      </c>
      <c r="J7" t="s">
        <v>123</v>
      </c>
    </row>
    <row r="8" spans="1:10" ht="21" customHeight="1">
      <c r="A8" t="s">
        <v>450</v>
      </c>
      <c r="B8" t="s">
        <v>125</v>
      </c>
      <c r="C8">
        <v>12000</v>
      </c>
      <c r="D8">
        <v>30000</v>
      </c>
      <c r="E8">
        <v>2500</v>
      </c>
      <c r="F8">
        <v>6000</v>
      </c>
      <c r="G8" t="s">
        <v>451</v>
      </c>
      <c r="H8" t="s">
        <v>452</v>
      </c>
      <c r="I8" t="s">
        <v>129</v>
      </c>
      <c r="J8" t="s">
        <v>130</v>
      </c>
    </row>
    <row r="9" spans="1:10" ht="21" customHeight="1">
      <c r="A9" t="s">
        <v>453</v>
      </c>
      <c r="B9" t="s">
        <v>132</v>
      </c>
      <c r="C9">
        <v>4500</v>
      </c>
      <c r="D9">
        <v>15000</v>
      </c>
      <c r="E9">
        <v>0</v>
      </c>
      <c r="F9">
        <v>1000</v>
      </c>
      <c r="G9" t="s">
        <v>454</v>
      </c>
      <c r="H9" t="s">
        <v>455</v>
      </c>
      <c r="I9" t="s">
        <v>456</v>
      </c>
      <c r="J9" t="s">
        <v>137</v>
      </c>
    </row>
    <row r="10" spans="1:10">
      <c r="A10" t="s">
        <v>457</v>
      </c>
      <c r="B10" t="s">
        <v>104</v>
      </c>
      <c r="C10">
        <v>1300</v>
      </c>
      <c r="D10">
        <v>2700</v>
      </c>
      <c r="E10">
        <v>200</v>
      </c>
      <c r="F10">
        <v>500</v>
      </c>
      <c r="G10" t="s">
        <v>458</v>
      </c>
      <c r="H10" t="s">
        <v>438</v>
      </c>
      <c r="I10" t="s">
        <v>459</v>
      </c>
      <c r="J10" t="s">
        <v>109</v>
      </c>
    </row>
    <row r="11" spans="1:10">
      <c r="A11" t="s">
        <v>460</v>
      </c>
      <c r="B11" t="s">
        <v>104</v>
      </c>
      <c r="C11">
        <v>2000</v>
      </c>
      <c r="D11">
        <v>4500</v>
      </c>
      <c r="E11">
        <v>400</v>
      </c>
      <c r="F11">
        <v>900</v>
      </c>
      <c r="G11" t="s">
        <v>461</v>
      </c>
      <c r="H11" t="s">
        <v>438</v>
      </c>
      <c r="I11" t="s">
        <v>462</v>
      </c>
      <c r="J11" t="s">
        <v>109</v>
      </c>
    </row>
  </sheetData>
  <mergeCells count="1">
    <mergeCell ref="A1:J1"/>
  </mergeCell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9"/>
  <sheetViews>
    <sheetView zoomScale="120" zoomScaleNormal="120" workbookViewId="0">
      <selection activeCell="A3" sqref="A3"/>
    </sheetView>
  </sheetViews>
  <sheetFormatPr baseColWidth="10" defaultColWidth="8.83203125" defaultRowHeight="15"/>
  <cols>
    <col min="1" max="5" width="21.83203125" customWidth="1"/>
    <col min="7" max="9" width="21.83203125" customWidth="1"/>
  </cols>
  <sheetData>
    <row r="1" spans="1:12" ht="60.75" customHeight="1">
      <c r="A1" s="129" t="s">
        <v>463</v>
      </c>
      <c r="B1" s="127"/>
      <c r="C1" s="127"/>
      <c r="D1" s="127"/>
      <c r="E1" s="127"/>
      <c r="F1" s="127"/>
      <c r="G1" s="127"/>
      <c r="H1" s="127"/>
      <c r="I1" s="127"/>
    </row>
    <row r="2" spans="1:12" ht="15" customHeight="1"/>
    <row r="3" spans="1:12" ht="27.75" customHeight="1">
      <c r="A3" s="5" t="s">
        <v>464</v>
      </c>
      <c r="B3" s="5" t="s">
        <v>231</v>
      </c>
      <c r="C3" s="5" t="s">
        <v>465</v>
      </c>
      <c r="D3" s="5" t="s">
        <v>466</v>
      </c>
      <c r="E3" s="5" t="s">
        <v>467</v>
      </c>
      <c r="F3" s="5" t="s">
        <v>468</v>
      </c>
      <c r="G3" s="5" t="s">
        <v>230</v>
      </c>
      <c r="H3" s="5" t="s">
        <v>469</v>
      </c>
      <c r="I3" s="5" t="s">
        <v>94</v>
      </c>
      <c r="J3" t="s">
        <v>470</v>
      </c>
      <c r="K3" t="s">
        <v>471</v>
      </c>
      <c r="L3" t="s">
        <v>472</v>
      </c>
    </row>
    <row r="4" spans="1:12" ht="27.75" customHeight="1">
      <c r="A4" t="s">
        <v>200</v>
      </c>
      <c r="B4" t="s">
        <v>473</v>
      </c>
      <c r="C4" t="s">
        <v>474</v>
      </c>
      <c r="D4" t="s">
        <v>475</v>
      </c>
      <c r="E4" t="s">
        <v>476</v>
      </c>
      <c r="F4" t="s">
        <v>477</v>
      </c>
      <c r="G4" t="s">
        <v>253</v>
      </c>
      <c r="H4" t="s">
        <v>478</v>
      </c>
      <c r="I4" t="s">
        <v>479</v>
      </c>
      <c r="J4">
        <v>1</v>
      </c>
      <c r="K4" t="s">
        <v>480</v>
      </c>
      <c r="L4" t="s">
        <v>481</v>
      </c>
    </row>
    <row r="5" spans="1:12" ht="21" customHeight="1">
      <c r="A5" t="s">
        <v>482</v>
      </c>
      <c r="B5" t="s">
        <v>483</v>
      </c>
      <c r="C5" t="s">
        <v>484</v>
      </c>
      <c r="D5" t="s">
        <v>485</v>
      </c>
      <c r="E5" t="s">
        <v>476</v>
      </c>
      <c r="F5" t="s">
        <v>477</v>
      </c>
      <c r="G5" t="s">
        <v>486</v>
      </c>
      <c r="H5" t="s">
        <v>487</v>
      </c>
      <c r="I5" t="s">
        <v>488</v>
      </c>
      <c r="J5">
        <v>1.1000000000000001</v>
      </c>
      <c r="K5" t="s">
        <v>489</v>
      </c>
      <c r="L5" t="s">
        <v>490</v>
      </c>
    </row>
    <row r="6" spans="1:12" ht="21" customHeight="1">
      <c r="A6" t="s">
        <v>491</v>
      </c>
      <c r="B6" t="s">
        <v>492</v>
      </c>
      <c r="C6" t="s">
        <v>493</v>
      </c>
      <c r="D6" t="s">
        <v>494</v>
      </c>
      <c r="E6" t="s">
        <v>495</v>
      </c>
      <c r="F6" t="s">
        <v>496</v>
      </c>
      <c r="G6" t="s">
        <v>497</v>
      </c>
      <c r="H6" t="s">
        <v>498</v>
      </c>
      <c r="I6" t="s">
        <v>499</v>
      </c>
      <c r="J6">
        <v>1.2</v>
      </c>
      <c r="K6" t="s">
        <v>500</v>
      </c>
      <c r="L6" t="s">
        <v>501</v>
      </c>
    </row>
    <row r="7" spans="1:12" ht="21" customHeight="1">
      <c r="A7" t="s">
        <v>502</v>
      </c>
      <c r="B7" t="s">
        <v>503</v>
      </c>
      <c r="C7" t="s">
        <v>504</v>
      </c>
      <c r="D7" t="s">
        <v>505</v>
      </c>
      <c r="E7" t="s">
        <v>506</v>
      </c>
      <c r="F7" t="s">
        <v>496</v>
      </c>
      <c r="G7" t="s">
        <v>507</v>
      </c>
      <c r="H7" t="s">
        <v>508</v>
      </c>
      <c r="I7" t="s">
        <v>509</v>
      </c>
      <c r="J7">
        <v>1.5</v>
      </c>
      <c r="K7" t="s">
        <v>510</v>
      </c>
      <c r="L7" t="s">
        <v>511</v>
      </c>
    </row>
    <row r="8" spans="1:12" ht="21" customHeight="1">
      <c r="A8" t="s">
        <v>225</v>
      </c>
      <c r="B8" t="s">
        <v>512</v>
      </c>
      <c r="C8" t="s">
        <v>513</v>
      </c>
      <c r="D8" t="s">
        <v>514</v>
      </c>
      <c r="E8" t="s">
        <v>515</v>
      </c>
      <c r="F8" t="s">
        <v>516</v>
      </c>
      <c r="G8" t="s">
        <v>517</v>
      </c>
      <c r="H8" t="s">
        <v>518</v>
      </c>
      <c r="I8" t="s">
        <v>519</v>
      </c>
      <c r="J8">
        <v>2</v>
      </c>
      <c r="K8" t="s">
        <v>520</v>
      </c>
      <c r="L8" t="s">
        <v>521</v>
      </c>
    </row>
    <row r="9" spans="1:12" ht="21" customHeight="1"/>
  </sheetData>
  <mergeCells count="1">
    <mergeCell ref="A1:I1"/>
  </mergeCell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9"/>
  <sheetViews>
    <sheetView zoomScale="120" zoomScaleNormal="120" workbookViewId="0">
      <selection activeCell="A3" sqref="A3"/>
    </sheetView>
  </sheetViews>
  <sheetFormatPr baseColWidth="10" defaultColWidth="8.83203125" defaultRowHeight="15"/>
  <cols>
    <col min="1" max="6" width="21.83203125" customWidth="1"/>
  </cols>
  <sheetData>
    <row r="1" spans="1:6" ht="46.5" customHeight="1">
      <c r="A1" s="126" t="s">
        <v>522</v>
      </c>
      <c r="B1" s="127"/>
      <c r="C1" s="127"/>
      <c r="D1" s="127"/>
      <c r="E1" s="127"/>
      <c r="F1" s="127"/>
    </row>
    <row r="3" spans="1:6" ht="21" customHeight="1">
      <c r="A3" s="58" t="s">
        <v>523</v>
      </c>
      <c r="B3" t="s">
        <v>524</v>
      </c>
    </row>
    <row r="4" spans="1:6" ht="21" customHeight="1">
      <c r="A4" s="58" t="s">
        <v>525</v>
      </c>
      <c r="B4" t="s">
        <v>526</v>
      </c>
    </row>
    <row r="5" spans="1:6" ht="21" customHeight="1">
      <c r="A5" s="58" t="s">
        <v>527</v>
      </c>
      <c r="B5" t="s">
        <v>528</v>
      </c>
    </row>
    <row r="6" spans="1:6" ht="21" customHeight="1">
      <c r="A6" s="58" t="s">
        <v>529</v>
      </c>
      <c r="B6" t="s">
        <v>530</v>
      </c>
    </row>
    <row r="7" spans="1:6" ht="21" customHeight="1">
      <c r="A7" s="58" t="s">
        <v>531</v>
      </c>
      <c r="B7" t="s">
        <v>532</v>
      </c>
    </row>
    <row r="8" spans="1:6" ht="21" customHeight="1">
      <c r="A8" s="58" t="s">
        <v>533</v>
      </c>
      <c r="B8" t="s">
        <v>534</v>
      </c>
    </row>
    <row r="9" spans="1:6" ht="21" customHeight="1">
      <c r="A9" s="58" t="s">
        <v>535</v>
      </c>
      <c r="B9" t="s">
        <v>536</v>
      </c>
    </row>
    <row r="10" spans="1:6" ht="21" customHeight="1">
      <c r="A10" s="58" t="s">
        <v>93</v>
      </c>
      <c r="B10" t="s">
        <v>537</v>
      </c>
    </row>
    <row r="11" spans="1:6" ht="21" customHeight="1">
      <c r="A11" s="58" t="s">
        <v>538</v>
      </c>
      <c r="B11" t="s">
        <v>539</v>
      </c>
    </row>
    <row r="12" spans="1:6" ht="21" customHeight="1">
      <c r="A12" s="58" t="s">
        <v>540</v>
      </c>
      <c r="B12" t="s">
        <v>541</v>
      </c>
    </row>
    <row r="13" spans="1:6" ht="21" customHeight="1">
      <c r="A13" s="58" t="s">
        <v>542</v>
      </c>
      <c r="B13" t="s">
        <v>543</v>
      </c>
    </row>
    <row r="14" spans="1:6" ht="21" customHeight="1">
      <c r="A14" s="58" t="s">
        <v>144</v>
      </c>
      <c r="B14" t="s">
        <v>544</v>
      </c>
    </row>
    <row r="15" spans="1:6" ht="21" customHeight="1">
      <c r="A15" s="58"/>
    </row>
    <row r="16" spans="1:6" ht="21" customHeight="1">
      <c r="A16" s="58" t="s">
        <v>545</v>
      </c>
      <c r="B16" t="s">
        <v>546</v>
      </c>
    </row>
    <row r="17" spans="1:2" ht="21" customHeight="1">
      <c r="A17" s="58" t="s">
        <v>547</v>
      </c>
      <c r="B17" t="s">
        <v>79</v>
      </c>
    </row>
    <row r="18" spans="1:2" ht="21" customHeight="1">
      <c r="A18" s="58" t="s">
        <v>227</v>
      </c>
      <c r="B18" t="s">
        <v>548</v>
      </c>
    </row>
    <row r="19" spans="1:2" ht="21" customHeight="1">
      <c r="A19" s="58" t="s">
        <v>549</v>
      </c>
      <c r="B19" t="s">
        <v>550</v>
      </c>
    </row>
  </sheetData>
  <mergeCells count="1">
    <mergeCell ref="A1:F1"/>
  </mergeCells>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F481"/>
  <sheetViews>
    <sheetView topLeftCell="A326" zoomScale="120" zoomScaleNormal="120" workbookViewId="0">
      <selection activeCell="B338" sqref="B338"/>
    </sheetView>
  </sheetViews>
  <sheetFormatPr baseColWidth="10" defaultColWidth="8.83203125" defaultRowHeight="15"/>
  <cols>
    <col min="2" max="2" width="21.83203125" customWidth="1"/>
    <col min="3" max="6" width="34.83203125" customWidth="1"/>
  </cols>
  <sheetData>
    <row r="2" spans="1:2" ht="21" customHeight="1">
      <c r="A2" t="s">
        <v>551</v>
      </c>
      <c r="B2" t="s">
        <v>552</v>
      </c>
    </row>
    <row r="3" spans="1:2" ht="21" customHeight="1">
      <c r="A3" t="s">
        <v>553</v>
      </c>
      <c r="B3" t="s">
        <v>554</v>
      </c>
    </row>
    <row r="4" spans="1:2" ht="21" customHeight="1">
      <c r="B4" t="s">
        <v>555</v>
      </c>
    </row>
    <row r="6" spans="1:2" ht="21" customHeight="1">
      <c r="B6" s="59" t="s">
        <v>556</v>
      </c>
    </row>
    <row r="8" spans="1:2" ht="21" customHeight="1">
      <c r="B8" s="60" t="s">
        <v>557</v>
      </c>
    </row>
    <row r="10" spans="1:2" ht="21" customHeight="1">
      <c r="B10" t="s">
        <v>558</v>
      </c>
    </row>
    <row r="11" spans="1:2" ht="21" customHeight="1">
      <c r="B11" t="s">
        <v>559</v>
      </c>
    </row>
    <row r="12" spans="1:2" ht="21" customHeight="1">
      <c r="B12" t="s">
        <v>560</v>
      </c>
    </row>
    <row r="14" spans="1:2" ht="21" customHeight="1">
      <c r="B14" s="60" t="s">
        <v>561</v>
      </c>
    </row>
    <row r="16" spans="1:2" ht="21" customHeight="1">
      <c r="B16" t="s">
        <v>562</v>
      </c>
    </row>
    <row r="17" spans="2:2" ht="21" customHeight="1">
      <c r="B17" t="s">
        <v>563</v>
      </c>
    </row>
    <row r="18" spans="2:2" ht="21" customHeight="1">
      <c r="B18" t="s">
        <v>564</v>
      </c>
    </row>
    <row r="19" spans="2:2" ht="21" customHeight="1">
      <c r="B19" t="s">
        <v>565</v>
      </c>
    </row>
    <row r="20" spans="2:2" ht="21" customHeight="1">
      <c r="B20" t="s">
        <v>566</v>
      </c>
    </row>
    <row r="21" spans="2:2" ht="21" customHeight="1">
      <c r="B21" t="s">
        <v>567</v>
      </c>
    </row>
    <row r="22" spans="2:2" ht="21" customHeight="1">
      <c r="B22" t="s">
        <v>568</v>
      </c>
    </row>
    <row r="23" spans="2:2" ht="21" customHeight="1">
      <c r="B23" t="s">
        <v>569</v>
      </c>
    </row>
    <row r="24" spans="2:2" ht="21" customHeight="1">
      <c r="B24" t="s">
        <v>570</v>
      </c>
    </row>
    <row r="25" spans="2:2" ht="21" customHeight="1">
      <c r="B25" t="s">
        <v>571</v>
      </c>
    </row>
    <row r="26" spans="2:2" ht="21" customHeight="1">
      <c r="B26" t="s">
        <v>572</v>
      </c>
    </row>
    <row r="28" spans="2:2" ht="21" customHeight="1">
      <c r="B28" s="60" t="s">
        <v>573</v>
      </c>
    </row>
    <row r="30" spans="2:2" ht="21" customHeight="1">
      <c r="B30" t="s">
        <v>574</v>
      </c>
    </row>
    <row r="31" spans="2:2" ht="21" customHeight="1">
      <c r="B31" t="s">
        <v>575</v>
      </c>
    </row>
    <row r="32" spans="2:2" ht="21" customHeight="1">
      <c r="B32" t="s">
        <v>576</v>
      </c>
    </row>
    <row r="33" spans="2:3" ht="21" customHeight="1">
      <c r="B33" t="s">
        <v>577</v>
      </c>
    </row>
    <row r="34" spans="2:3" ht="21" customHeight="1">
      <c r="B34" t="s">
        <v>578</v>
      </c>
    </row>
    <row r="35" spans="2:3" ht="21" customHeight="1">
      <c r="B35" t="s">
        <v>579</v>
      </c>
    </row>
    <row r="36" spans="2:3" ht="21" customHeight="1">
      <c r="B36" t="s">
        <v>580</v>
      </c>
    </row>
    <row r="37" spans="2:3" ht="21" customHeight="1">
      <c r="B37" t="s">
        <v>581</v>
      </c>
    </row>
    <row r="38" spans="2:3" ht="21" customHeight="1">
      <c r="B38" t="s">
        <v>582</v>
      </c>
    </row>
    <row r="40" spans="2:3" ht="21" customHeight="1">
      <c r="B40" s="59" t="s">
        <v>583</v>
      </c>
    </row>
    <row r="42" spans="2:3" ht="21" customHeight="1">
      <c r="B42" t="s">
        <v>584</v>
      </c>
    </row>
    <row r="44" spans="2:3" ht="21" customHeight="1">
      <c r="B44" s="61" t="s">
        <v>585</v>
      </c>
      <c r="C44" s="61" t="s">
        <v>586</v>
      </c>
    </row>
    <row r="45" spans="2:3" ht="21" customHeight="1">
      <c r="B45" t="s">
        <v>587</v>
      </c>
      <c r="C45" t="s">
        <v>588</v>
      </c>
    </row>
    <row r="46" spans="2:3" ht="21" customHeight="1">
      <c r="B46" t="s">
        <v>589</v>
      </c>
      <c r="C46" t="s">
        <v>590</v>
      </c>
    </row>
    <row r="47" spans="2:3" ht="21" customHeight="1">
      <c r="B47" t="s">
        <v>591</v>
      </c>
      <c r="C47" t="s">
        <v>592</v>
      </c>
    </row>
    <row r="48" spans="2:3" ht="21" customHeight="1">
      <c r="B48" t="s">
        <v>593</v>
      </c>
      <c r="C48" t="s">
        <v>594</v>
      </c>
    </row>
    <row r="49" spans="2:3" ht="21" customHeight="1">
      <c r="B49" t="s">
        <v>595</v>
      </c>
      <c r="C49" t="s">
        <v>596</v>
      </c>
    </row>
    <row r="51" spans="2:3" ht="21" customHeight="1">
      <c r="B51" s="59" t="s">
        <v>597</v>
      </c>
    </row>
    <row r="53" spans="2:3" ht="21" customHeight="1">
      <c r="B53" t="s">
        <v>598</v>
      </c>
    </row>
    <row r="54" spans="2:3" ht="21" customHeight="1">
      <c r="B54" t="s">
        <v>599</v>
      </c>
    </row>
    <row r="55" spans="2:3" ht="21" customHeight="1">
      <c r="B55" t="s">
        <v>600</v>
      </c>
    </row>
    <row r="57" spans="2:3" ht="21" customHeight="1">
      <c r="B57" s="59" t="s">
        <v>601</v>
      </c>
    </row>
    <row r="59" spans="2:3" ht="21" customHeight="1">
      <c r="B59" t="s">
        <v>602</v>
      </c>
    </row>
    <row r="61" spans="2:3" ht="21" customHeight="1">
      <c r="B61" t="s">
        <v>603</v>
      </c>
    </row>
    <row r="62" spans="2:3" ht="21" customHeight="1">
      <c r="B62" t="s">
        <v>604</v>
      </c>
    </row>
    <row r="63" spans="2:3" ht="21" customHeight="1">
      <c r="B63" t="s">
        <v>605</v>
      </c>
    </row>
    <row r="65" spans="1:6" ht="21" customHeight="1">
      <c r="B65" t="s">
        <v>606</v>
      </c>
    </row>
    <row r="67" spans="1:6" ht="21" customHeight="1">
      <c r="B67" s="62" t="s">
        <v>607</v>
      </c>
      <c r="C67" s="62"/>
      <c r="D67" s="62"/>
      <c r="E67" s="62"/>
      <c r="F67" s="62"/>
    </row>
    <row r="68" spans="1:6" ht="54.75" customHeight="1">
      <c r="B68" s="63" t="s">
        <v>62</v>
      </c>
      <c r="C68" s="63" t="s">
        <v>608</v>
      </c>
      <c r="D68" s="63" t="s">
        <v>609</v>
      </c>
      <c r="E68" s="63" t="s">
        <v>610</v>
      </c>
      <c r="F68" s="63" t="s">
        <v>611</v>
      </c>
    </row>
    <row r="69" spans="1:6" ht="54.75" customHeight="1">
      <c r="B69" s="8" t="s">
        <v>612</v>
      </c>
      <c r="C69" s="8" t="s">
        <v>613</v>
      </c>
      <c r="D69" s="8" t="s">
        <v>614</v>
      </c>
      <c r="E69" s="8" t="s">
        <v>615</v>
      </c>
      <c r="F69" s="8" t="s">
        <v>616</v>
      </c>
    </row>
    <row r="70" spans="1:6" ht="54.75" customHeight="1">
      <c r="B70" s="8" t="s">
        <v>617</v>
      </c>
      <c r="C70" s="8" t="s">
        <v>618</v>
      </c>
      <c r="D70" s="8" t="s">
        <v>619</v>
      </c>
      <c r="E70" s="8" t="s">
        <v>620</v>
      </c>
      <c r="F70" s="8" t="s">
        <v>621</v>
      </c>
    </row>
    <row r="71" spans="1:6" ht="54.75" customHeight="1">
      <c r="B71" s="8" t="s">
        <v>622</v>
      </c>
      <c r="C71" s="8" t="s">
        <v>623</v>
      </c>
      <c r="D71" s="8" t="s">
        <v>624</v>
      </c>
      <c r="E71" s="8" t="s">
        <v>625</v>
      </c>
      <c r="F71" s="8" t="s">
        <v>626</v>
      </c>
    </row>
    <row r="72" spans="1:6" ht="54.75" customHeight="1">
      <c r="B72" s="64" t="s">
        <v>627</v>
      </c>
      <c r="C72" s="64" t="s">
        <v>628</v>
      </c>
      <c r="D72" s="64" t="s">
        <v>629</v>
      </c>
      <c r="E72" s="64" t="s">
        <v>630</v>
      </c>
      <c r="F72" s="64" t="s">
        <v>631</v>
      </c>
    </row>
    <row r="73" spans="1:6" ht="54.75" customHeight="1">
      <c r="B73" s="64" t="s">
        <v>632</v>
      </c>
      <c r="C73" s="64" t="s">
        <v>633</v>
      </c>
      <c r="D73" s="64"/>
      <c r="E73" s="64"/>
      <c r="F73" s="64" t="s">
        <v>634</v>
      </c>
    </row>
    <row r="77" spans="1:6">
      <c r="A77" s="65" t="s">
        <v>551</v>
      </c>
      <c r="B77" s="65" t="s">
        <v>635</v>
      </c>
    </row>
    <row r="78" spans="1:6">
      <c r="A78" s="65" t="s">
        <v>553</v>
      </c>
      <c r="B78" s="65" t="s">
        <v>636</v>
      </c>
    </row>
    <row r="80" spans="1:6">
      <c r="B80" s="61" t="s">
        <v>637</v>
      </c>
    </row>
    <row r="82" spans="2:3">
      <c r="B82" s="61" t="s">
        <v>638</v>
      </c>
      <c r="C82" s="61" t="s">
        <v>86</v>
      </c>
    </row>
    <row r="83" spans="2:3">
      <c r="B83" s="65" t="s">
        <v>639</v>
      </c>
      <c r="C83" s="65" t="s">
        <v>97</v>
      </c>
    </row>
    <row r="84" spans="2:3">
      <c r="B84" s="65" t="s">
        <v>640</v>
      </c>
      <c r="C84" s="65" t="s">
        <v>104</v>
      </c>
    </row>
    <row r="85" spans="2:3">
      <c r="B85" s="65" t="s">
        <v>641</v>
      </c>
      <c r="C85" s="65" t="s">
        <v>111</v>
      </c>
    </row>
    <row r="86" spans="2:3">
      <c r="B86" s="65" t="s">
        <v>642</v>
      </c>
      <c r="C86" s="65" t="s">
        <v>118</v>
      </c>
    </row>
    <row r="87" spans="2:3">
      <c r="B87" s="65" t="s">
        <v>643</v>
      </c>
      <c r="C87" s="65" t="s">
        <v>125</v>
      </c>
    </row>
    <row r="89" spans="2:3">
      <c r="B89" s="61" t="s">
        <v>644</v>
      </c>
    </row>
    <row r="91" spans="2:3">
      <c r="B91" s="65" t="s">
        <v>645</v>
      </c>
    </row>
    <row r="93" spans="2:3">
      <c r="B93" s="61" t="s">
        <v>646</v>
      </c>
    </row>
    <row r="94" spans="2:3">
      <c r="B94" s="61" t="s">
        <v>647</v>
      </c>
    </row>
    <row r="95" spans="2:3">
      <c r="B95" s="61" t="s">
        <v>648</v>
      </c>
    </row>
    <row r="96" spans="2:3">
      <c r="B96" s="61" t="s">
        <v>649</v>
      </c>
    </row>
    <row r="97" spans="2:2">
      <c r="B97" s="61" t="s">
        <v>650</v>
      </c>
    </row>
    <row r="99" spans="2:2">
      <c r="B99" s="61" t="s">
        <v>651</v>
      </c>
    </row>
    <row r="101" spans="2:2">
      <c r="B101" s="65" t="s">
        <v>652</v>
      </c>
    </row>
    <row r="103" spans="2:2">
      <c r="B103" s="61" t="s">
        <v>653</v>
      </c>
    </row>
    <row r="105" spans="2:2">
      <c r="B105" s="65" t="s">
        <v>654</v>
      </c>
    </row>
    <row r="106" spans="2:2">
      <c r="B106" s="65" t="s">
        <v>655</v>
      </c>
    </row>
    <row r="108" spans="2:2">
      <c r="B108" s="61" t="s">
        <v>656</v>
      </c>
    </row>
    <row r="110" spans="2:2">
      <c r="B110" s="65" t="s">
        <v>657</v>
      </c>
    </row>
    <row r="114" spans="2:6">
      <c r="B114" s="61" t="s">
        <v>658</v>
      </c>
    </row>
    <row r="116" spans="2:6">
      <c r="B116" s="61" t="s">
        <v>1</v>
      </c>
      <c r="C116" s="61" t="s">
        <v>659</v>
      </c>
      <c r="D116" s="61" t="s">
        <v>660</v>
      </c>
      <c r="E116" s="61" t="s">
        <v>661</v>
      </c>
      <c r="F116" s="61" t="s">
        <v>662</v>
      </c>
    </row>
    <row r="117" spans="2:6">
      <c r="B117" s="65" t="s">
        <v>663</v>
      </c>
      <c r="C117" s="66" t="s">
        <v>97</v>
      </c>
      <c r="D117" s="66" t="s">
        <v>104</v>
      </c>
      <c r="E117" s="66" t="s">
        <v>97</v>
      </c>
      <c r="F117" s="66" t="s">
        <v>97</v>
      </c>
    </row>
    <row r="118" spans="2:6">
      <c r="B118" s="65" t="s">
        <v>664</v>
      </c>
      <c r="C118" s="67">
        <v>0</v>
      </c>
      <c r="D118" s="67">
        <v>0</v>
      </c>
      <c r="E118" s="67">
        <v>1</v>
      </c>
      <c r="F118" s="67">
        <v>0</v>
      </c>
    </row>
    <row r="119" spans="2:6">
      <c r="B119" s="65" t="s">
        <v>665</v>
      </c>
      <c r="C119" s="67">
        <v>0</v>
      </c>
      <c r="D119" s="67">
        <v>1</v>
      </c>
      <c r="E119" s="67">
        <v>0</v>
      </c>
      <c r="F119" s="67">
        <v>1</v>
      </c>
    </row>
    <row r="120" spans="2:6">
      <c r="B120" s="65" t="s">
        <v>666</v>
      </c>
      <c r="C120" s="67">
        <v>0</v>
      </c>
      <c r="D120" s="67">
        <v>0</v>
      </c>
      <c r="E120" s="67">
        <v>0</v>
      </c>
      <c r="F120" s="67">
        <v>1</v>
      </c>
    </row>
    <row r="121" spans="2:6">
      <c r="B121" s="65" t="s">
        <v>667</v>
      </c>
      <c r="C121" s="67">
        <v>0</v>
      </c>
      <c r="D121" s="67">
        <v>1</v>
      </c>
      <c r="E121" s="67">
        <v>0</v>
      </c>
      <c r="F121" s="67">
        <v>1</v>
      </c>
    </row>
    <row r="122" spans="2:6">
      <c r="B122" s="65" t="s">
        <v>668</v>
      </c>
      <c r="C122" s="67">
        <v>0</v>
      </c>
      <c r="D122" s="67">
        <v>0</v>
      </c>
      <c r="E122" s="67">
        <v>0</v>
      </c>
      <c r="F122" s="67">
        <v>0</v>
      </c>
    </row>
    <row r="123" spans="2:6">
      <c r="B123" s="65" t="s">
        <v>669</v>
      </c>
      <c r="C123" s="66" t="s">
        <v>670</v>
      </c>
      <c r="D123" s="66" t="s">
        <v>671</v>
      </c>
      <c r="E123" s="66" t="s">
        <v>672</v>
      </c>
      <c r="F123" s="66" t="s">
        <v>426</v>
      </c>
    </row>
    <row r="125" spans="2:6">
      <c r="B125" s="65" t="s">
        <v>673</v>
      </c>
    </row>
    <row r="174" spans="1:2">
      <c r="A174" s="90" t="s">
        <v>551</v>
      </c>
      <c r="B174" s="90" t="s">
        <v>674</v>
      </c>
    </row>
    <row r="175" spans="1:2">
      <c r="A175" s="90" t="s">
        <v>553</v>
      </c>
      <c r="B175" s="90" t="s">
        <v>675</v>
      </c>
    </row>
    <row r="177" spans="2:2" ht="24" customHeight="1">
      <c r="B177" s="99" t="s">
        <v>676</v>
      </c>
    </row>
    <row r="179" spans="2:2">
      <c r="B179" s="90" t="s">
        <v>677</v>
      </c>
    </row>
    <row r="181" spans="2:2">
      <c r="B181" s="93" t="s">
        <v>678</v>
      </c>
    </row>
    <row r="182" spans="2:2">
      <c r="B182" s="93" t="s">
        <v>679</v>
      </c>
    </row>
    <row r="183" spans="2:2">
      <c r="B183" s="93" t="s">
        <v>680</v>
      </c>
    </row>
    <row r="184" spans="2:2">
      <c r="B184" s="93" t="s">
        <v>681</v>
      </c>
    </row>
    <row r="186" spans="2:2">
      <c r="B186" s="90" t="s">
        <v>682</v>
      </c>
    </row>
    <row r="188" spans="2:2" ht="24" customHeight="1">
      <c r="B188" s="99" t="s">
        <v>683</v>
      </c>
    </row>
    <row r="190" spans="2:2">
      <c r="B190" s="90" t="s">
        <v>684</v>
      </c>
    </row>
    <row r="191" spans="2:2">
      <c r="B191" s="100" t="s">
        <v>685</v>
      </c>
    </row>
    <row r="192" spans="2:2">
      <c r="B192" s="90" t="s">
        <v>686</v>
      </c>
    </row>
    <row r="193" spans="2:2">
      <c r="B193" s="90" t="s">
        <v>687</v>
      </c>
    </row>
    <row r="195" spans="2:2" ht="24" customHeight="1">
      <c r="B195" s="99" t="s">
        <v>688</v>
      </c>
    </row>
    <row r="197" spans="2:2">
      <c r="B197" s="90" t="s">
        <v>689</v>
      </c>
    </row>
    <row r="198" spans="2:2">
      <c r="B198" s="93" t="s">
        <v>690</v>
      </c>
    </row>
    <row r="199" spans="2:2">
      <c r="B199" s="93" t="s">
        <v>691</v>
      </c>
    </row>
    <row r="200" spans="2:2">
      <c r="B200" s="93" t="s">
        <v>692</v>
      </c>
    </row>
    <row r="202" spans="2:2" ht="24" customHeight="1">
      <c r="B202" s="99" t="s">
        <v>693</v>
      </c>
    </row>
    <row r="204" spans="2:2">
      <c r="B204" s="90" t="s">
        <v>694</v>
      </c>
    </row>
    <row r="205" spans="2:2">
      <c r="B205" s="93" t="s">
        <v>695</v>
      </c>
    </row>
    <row r="206" spans="2:2">
      <c r="B206" s="93" t="s">
        <v>696</v>
      </c>
    </row>
    <row r="207" spans="2:2">
      <c r="B207" s="93" t="s">
        <v>697</v>
      </c>
    </row>
    <row r="209" spans="2:2" ht="24" customHeight="1">
      <c r="B209" s="99" t="s">
        <v>698</v>
      </c>
    </row>
    <row r="211" spans="2:2">
      <c r="B211" s="90" t="s">
        <v>699</v>
      </c>
    </row>
    <row r="212" spans="2:2">
      <c r="B212" s="100" t="s">
        <v>700</v>
      </c>
    </row>
    <row r="214" spans="2:2" ht="24" customHeight="1">
      <c r="B214" s="99" t="s">
        <v>701</v>
      </c>
    </row>
    <row r="216" spans="2:2">
      <c r="B216" s="93" t="s">
        <v>702</v>
      </c>
    </row>
    <row r="217" spans="2:2">
      <c r="B217" s="93" t="s">
        <v>703</v>
      </c>
    </row>
    <row r="218" spans="2:2">
      <c r="B218" s="93" t="s">
        <v>704</v>
      </c>
    </row>
    <row r="220" spans="2:2" ht="24" customHeight="1">
      <c r="B220" s="99" t="s">
        <v>705</v>
      </c>
    </row>
    <row r="222" spans="2:2">
      <c r="B222" s="90" t="s">
        <v>706</v>
      </c>
    </row>
    <row r="223" spans="2:2">
      <c r="B223" s="109" t="s">
        <v>707</v>
      </c>
    </row>
    <row r="224" spans="2:2">
      <c r="B224" s="90" t="s">
        <v>708</v>
      </c>
    </row>
    <row r="227" spans="1:2">
      <c r="A227" s="90" t="s">
        <v>551</v>
      </c>
      <c r="B227" s="90" t="s">
        <v>709</v>
      </c>
    </row>
    <row r="228" spans="1:2">
      <c r="A228" s="90" t="s">
        <v>553</v>
      </c>
      <c r="B228" s="90" t="s">
        <v>710</v>
      </c>
    </row>
    <row r="230" spans="1:2">
      <c r="B230" s="90" t="s">
        <v>711</v>
      </c>
    </row>
    <row r="231" spans="1:2">
      <c r="B231" s="93" t="s">
        <v>712</v>
      </c>
    </row>
    <row r="232" spans="1:2">
      <c r="B232" s="93" t="s">
        <v>713</v>
      </c>
    </row>
    <row r="233" spans="1:2">
      <c r="B233" s="90" t="s">
        <v>714</v>
      </c>
    </row>
    <row r="235" spans="1:2">
      <c r="B235" s="90" t="s">
        <v>715</v>
      </c>
    </row>
    <row r="238" spans="1:2">
      <c r="A238" s="90" t="s">
        <v>551</v>
      </c>
      <c r="B238" s="90" t="s">
        <v>716</v>
      </c>
    </row>
    <row r="239" spans="1:2">
      <c r="A239" s="90" t="s">
        <v>553</v>
      </c>
      <c r="B239" s="90" t="s">
        <v>717</v>
      </c>
    </row>
    <row r="241" spans="1:2">
      <c r="B241" s="93" t="s">
        <v>718</v>
      </c>
    </row>
    <row r="242" spans="1:2">
      <c r="B242" s="93" t="s">
        <v>719</v>
      </c>
    </row>
    <row r="244" spans="1:2" ht="16" customHeight="1">
      <c r="B244" s="90" t="s">
        <v>720</v>
      </c>
    </row>
    <row r="245" spans="1:2">
      <c r="B245" s="93" t="s">
        <v>721</v>
      </c>
    </row>
    <row r="246" spans="1:2">
      <c r="B246" s="93" t="s">
        <v>722</v>
      </c>
    </row>
    <row r="248" spans="1:2">
      <c r="B248" s="93" t="s">
        <v>723</v>
      </c>
    </row>
    <row r="249" spans="1:2">
      <c r="B249" s="93" t="s">
        <v>724</v>
      </c>
    </row>
    <row r="250" spans="1:2">
      <c r="B250" s="93" t="s">
        <v>725</v>
      </c>
    </row>
    <row r="251" spans="1:2">
      <c r="B251" s="93" t="s">
        <v>726</v>
      </c>
    </row>
    <row r="254" spans="1:2">
      <c r="A254" s="90" t="s">
        <v>551</v>
      </c>
      <c r="B254" s="90" t="s">
        <v>727</v>
      </c>
    </row>
    <row r="255" spans="1:2">
      <c r="A255" s="90" t="s">
        <v>553</v>
      </c>
      <c r="B255" s="90" t="s">
        <v>728</v>
      </c>
    </row>
    <row r="259" spans="2:2" ht="24" customHeight="1">
      <c r="B259" s="99" t="s">
        <v>729</v>
      </c>
    </row>
    <row r="261" spans="2:2">
      <c r="B261" s="90" t="s">
        <v>730</v>
      </c>
    </row>
    <row r="262" spans="2:2">
      <c r="B262" s="90" t="s">
        <v>731</v>
      </c>
    </row>
    <row r="263" spans="2:2">
      <c r="B263" s="90" t="s">
        <v>732</v>
      </c>
    </row>
    <row r="265" spans="2:2" ht="24" customHeight="1">
      <c r="B265" s="99" t="s">
        <v>733</v>
      </c>
    </row>
    <row r="267" spans="2:2">
      <c r="B267" s="93" t="s">
        <v>734</v>
      </c>
    </row>
    <row r="268" spans="2:2">
      <c r="B268" s="100" t="s">
        <v>735</v>
      </c>
    </row>
    <row r="269" spans="2:2">
      <c r="B269" s="90" t="s">
        <v>736</v>
      </c>
    </row>
    <row r="271" spans="2:2">
      <c r="B271" s="93" t="s">
        <v>737</v>
      </c>
    </row>
    <row r="273" spans="2:4">
      <c r="B273" s="90" t="s">
        <v>738</v>
      </c>
    </row>
    <row r="275" spans="2:4">
      <c r="B275" s="93" t="s">
        <v>739</v>
      </c>
      <c r="C275" s="93" t="s">
        <v>740</v>
      </c>
      <c r="D275" s="93" t="s">
        <v>741</v>
      </c>
    </row>
    <row r="276" spans="2:4">
      <c r="B276" s="90" t="s">
        <v>742</v>
      </c>
      <c r="C276" s="90" t="s">
        <v>743</v>
      </c>
      <c r="D276" s="90" t="s">
        <v>744</v>
      </c>
    </row>
    <row r="277" spans="2:4">
      <c r="B277" s="90" t="s">
        <v>745</v>
      </c>
      <c r="C277" s="90" t="s">
        <v>746</v>
      </c>
      <c r="D277" s="90" t="s">
        <v>747</v>
      </c>
    </row>
    <row r="278" spans="2:4">
      <c r="B278" s="90" t="s">
        <v>748</v>
      </c>
      <c r="C278" s="90" t="s">
        <v>749</v>
      </c>
      <c r="D278" s="90" t="s">
        <v>750</v>
      </c>
    </row>
    <row r="279" spans="2:4">
      <c r="B279" s="90" t="s">
        <v>751</v>
      </c>
      <c r="C279" s="90" t="s">
        <v>752</v>
      </c>
      <c r="D279" s="90" t="s">
        <v>753</v>
      </c>
    </row>
    <row r="280" spans="2:4">
      <c r="B280" s="90" t="s">
        <v>754</v>
      </c>
      <c r="C280" s="90" t="s">
        <v>755</v>
      </c>
      <c r="D280" s="90" t="s">
        <v>756</v>
      </c>
    </row>
    <row r="283" spans="2:4" ht="24" customHeight="1">
      <c r="B283" s="99" t="s">
        <v>757</v>
      </c>
    </row>
    <row r="285" spans="2:4">
      <c r="B285" s="90" t="s">
        <v>758</v>
      </c>
    </row>
    <row r="287" spans="2:4">
      <c r="B287" s="93" t="s">
        <v>759</v>
      </c>
    </row>
    <row r="288" spans="2:4" ht="16" customHeight="1">
      <c r="B288" s="110" t="s">
        <v>760</v>
      </c>
    </row>
    <row r="289" spans="2:2" ht="16" customHeight="1">
      <c r="B289" s="90" t="s">
        <v>761</v>
      </c>
    </row>
    <row r="290" spans="2:2">
      <c r="B290" s="90" t="s">
        <v>762</v>
      </c>
    </row>
    <row r="291" spans="2:2">
      <c r="B291" s="90" t="s">
        <v>763</v>
      </c>
    </row>
    <row r="292" spans="2:2">
      <c r="B292" s="100" t="s">
        <v>764</v>
      </c>
    </row>
    <row r="293" spans="2:2">
      <c r="B293" s="90" t="s">
        <v>765</v>
      </c>
    </row>
    <row r="296" spans="2:2" ht="24" customHeight="1">
      <c r="B296" s="99" t="s">
        <v>766</v>
      </c>
    </row>
    <row r="298" spans="2:2">
      <c r="B298" s="90" t="s">
        <v>767</v>
      </c>
    </row>
    <row r="300" spans="2:2" ht="16" customHeight="1">
      <c r="B300" s="93" t="s">
        <v>768</v>
      </c>
    </row>
    <row r="301" spans="2:2" ht="16" customHeight="1">
      <c r="B301" s="93" t="s">
        <v>769</v>
      </c>
    </row>
    <row r="302" spans="2:2">
      <c r="B302" s="93" t="s">
        <v>770</v>
      </c>
    </row>
    <row r="303" spans="2:2">
      <c r="B303" s="90" t="s">
        <v>771</v>
      </c>
    </row>
    <row r="305" spans="1:2">
      <c r="B305" s="90" t="s">
        <v>772</v>
      </c>
    </row>
    <row r="309" spans="1:2">
      <c r="A309" s="90" t="s">
        <v>551</v>
      </c>
      <c r="B309" s="90" t="s">
        <v>773</v>
      </c>
    </row>
    <row r="310" spans="1:2">
      <c r="A310" s="90" t="s">
        <v>553</v>
      </c>
      <c r="B310" s="90" t="s">
        <v>774</v>
      </c>
    </row>
    <row r="313" spans="1:2" ht="24" customHeight="1">
      <c r="B313" s="99" t="s">
        <v>775</v>
      </c>
    </row>
    <row r="315" spans="1:2">
      <c r="B315" s="90" t="s">
        <v>776</v>
      </c>
    </row>
    <row r="316" spans="1:2">
      <c r="B316" s="90" t="s">
        <v>777</v>
      </c>
    </row>
    <row r="317" spans="1:2">
      <c r="B317" s="90" t="s">
        <v>778</v>
      </c>
    </row>
    <row r="318" spans="1:2">
      <c r="B318" s="90" t="s">
        <v>779</v>
      </c>
    </row>
    <row r="319" spans="1:2">
      <c r="B319" s="90" t="s">
        <v>780</v>
      </c>
    </row>
    <row r="321" spans="1:2">
      <c r="B321" s="90" t="s">
        <v>781</v>
      </c>
    </row>
    <row r="322" spans="1:2">
      <c r="B322" s="100" t="s">
        <v>782</v>
      </c>
    </row>
    <row r="325" spans="1:2">
      <c r="B325" s="90" t="s">
        <v>783</v>
      </c>
    </row>
    <row r="326" spans="1:2">
      <c r="B326" s="93" t="s">
        <v>784</v>
      </c>
    </row>
    <row r="327" spans="1:2">
      <c r="B327" s="93" t="s">
        <v>785</v>
      </c>
    </row>
    <row r="328" spans="1:2">
      <c r="B328" s="93" t="s">
        <v>786</v>
      </c>
    </row>
    <row r="329" spans="1:2">
      <c r="B329" s="93" t="s">
        <v>787</v>
      </c>
    </row>
    <row r="330" spans="1:2">
      <c r="B330" s="93" t="s">
        <v>788</v>
      </c>
    </row>
    <row r="332" spans="1:2">
      <c r="B332" s="90" t="s">
        <v>789</v>
      </c>
    </row>
    <row r="335" spans="1:2">
      <c r="A335" s="90" t="s">
        <v>551</v>
      </c>
      <c r="B335" s="87" t="s">
        <v>790</v>
      </c>
    </row>
    <row r="336" spans="1:2">
      <c r="A336" s="90" t="s">
        <v>553</v>
      </c>
      <c r="B336" s="90" t="s">
        <v>791</v>
      </c>
    </row>
    <row r="338" spans="2:2">
      <c r="B338" s="90" t="s">
        <v>792</v>
      </c>
    </row>
    <row r="341" spans="2:2" ht="19" customHeight="1">
      <c r="B341" s="120" t="s">
        <v>793</v>
      </c>
    </row>
    <row r="343" spans="2:2">
      <c r="B343" s="90" t="s">
        <v>794</v>
      </c>
    </row>
    <row r="344" spans="2:2">
      <c r="B344" s="90" t="s">
        <v>795</v>
      </c>
    </row>
    <row r="345" spans="2:2">
      <c r="B345" s="90" t="s">
        <v>796</v>
      </c>
    </row>
    <row r="346" spans="2:2">
      <c r="B346" s="90" t="s">
        <v>797</v>
      </c>
    </row>
    <row r="347" spans="2:2">
      <c r="B347" s="90" t="s">
        <v>798</v>
      </c>
    </row>
    <row r="348" spans="2:2">
      <c r="B348" s="90" t="s">
        <v>799</v>
      </c>
    </row>
    <row r="350" spans="2:2">
      <c r="B350" s="90" t="s">
        <v>800</v>
      </c>
    </row>
    <row r="352" spans="2:2">
      <c r="B352" s="93" t="s">
        <v>801</v>
      </c>
    </row>
    <row r="353" spans="2:2">
      <c r="B353" s="90" t="s">
        <v>802</v>
      </c>
    </row>
    <row r="354" spans="2:2">
      <c r="B354" s="90" t="s">
        <v>803</v>
      </c>
    </row>
    <row r="355" spans="2:2">
      <c r="B355" s="90" t="s">
        <v>802</v>
      </c>
    </row>
    <row r="356" spans="2:2">
      <c r="B356" s="90" t="s">
        <v>804</v>
      </c>
    </row>
    <row r="357" spans="2:2">
      <c r="B357" s="90" t="s">
        <v>802</v>
      </c>
    </row>
    <row r="358" spans="2:2">
      <c r="B358" s="90" t="s">
        <v>805</v>
      </c>
    </row>
    <row r="359" spans="2:2">
      <c r="B359" s="90" t="s">
        <v>802</v>
      </c>
    </row>
    <row r="360" spans="2:2">
      <c r="B360" s="90" t="s">
        <v>806</v>
      </c>
    </row>
    <row r="361" spans="2:2">
      <c r="B361" s="90" t="s">
        <v>802</v>
      </c>
    </row>
    <row r="362" spans="2:2">
      <c r="B362" s="90" t="s">
        <v>807</v>
      </c>
    </row>
    <row r="365" spans="2:2" ht="19" customHeight="1">
      <c r="B365" s="120" t="s">
        <v>808</v>
      </c>
    </row>
    <row r="367" spans="2:2">
      <c r="B367" s="90" t="s">
        <v>809</v>
      </c>
    </row>
    <row r="368" spans="2:2">
      <c r="B368" s="90" t="s">
        <v>800</v>
      </c>
    </row>
    <row r="369" spans="2:2">
      <c r="B369" s="90" t="s">
        <v>810</v>
      </c>
    </row>
    <row r="370" spans="2:2">
      <c r="B370" s="90" t="s">
        <v>802</v>
      </c>
    </row>
    <row r="371" spans="2:2">
      <c r="B371" s="90" t="s">
        <v>811</v>
      </c>
    </row>
    <row r="372" spans="2:2">
      <c r="B372" s="90" t="s">
        <v>812</v>
      </c>
    </row>
    <row r="373" spans="2:2">
      <c r="B373" s="90" t="s">
        <v>813</v>
      </c>
    </row>
    <row r="374" spans="2:2">
      <c r="B374" s="90" t="s">
        <v>814</v>
      </c>
    </row>
    <row r="375" spans="2:2">
      <c r="B375" s="90" t="s">
        <v>815</v>
      </c>
    </row>
    <row r="376" spans="2:2">
      <c r="B376" s="90" t="s">
        <v>816</v>
      </c>
    </row>
    <row r="378" spans="2:2">
      <c r="B378" s="90" t="s">
        <v>802</v>
      </c>
    </row>
    <row r="379" spans="2:2">
      <c r="B379" s="90" t="s">
        <v>817</v>
      </c>
    </row>
    <row r="380" spans="2:2">
      <c r="B380" s="90" t="s">
        <v>818</v>
      </c>
    </row>
    <row r="381" spans="2:2">
      <c r="B381" s="90" t="s">
        <v>819</v>
      </c>
    </row>
    <row r="382" spans="2:2">
      <c r="B382" s="90" t="s">
        <v>820</v>
      </c>
    </row>
    <row r="383" spans="2:2">
      <c r="B383" s="90" t="s">
        <v>821</v>
      </c>
    </row>
    <row r="384" spans="2:2">
      <c r="B384" s="90" t="s">
        <v>822</v>
      </c>
    </row>
    <row r="386" spans="2:2">
      <c r="B386" s="90" t="s">
        <v>823</v>
      </c>
    </row>
    <row r="389" spans="2:2" ht="19" customHeight="1">
      <c r="B389" s="120" t="s">
        <v>824</v>
      </c>
    </row>
    <row r="391" spans="2:2">
      <c r="B391" s="90" t="s">
        <v>825</v>
      </c>
    </row>
    <row r="392" spans="2:2">
      <c r="B392" s="90" t="s">
        <v>826</v>
      </c>
    </row>
    <row r="393" spans="2:2">
      <c r="B393" s="90" t="s">
        <v>827</v>
      </c>
    </row>
    <row r="394" spans="2:2">
      <c r="B394" s="90" t="s">
        <v>828</v>
      </c>
    </row>
    <row r="395" spans="2:2" ht="16" customHeight="1">
      <c r="B395" s="110" t="s">
        <v>829</v>
      </c>
    </row>
    <row r="396" spans="2:2" ht="16" customHeight="1">
      <c r="B396" s="110" t="s">
        <v>830</v>
      </c>
    </row>
    <row r="397" spans="2:2" ht="16" customHeight="1">
      <c r="B397" s="110" t="s">
        <v>831</v>
      </c>
    </row>
    <row r="398" spans="2:2" ht="16" customHeight="1">
      <c r="B398" s="110" t="s">
        <v>832</v>
      </c>
    </row>
    <row r="399" spans="2:2" ht="16" customHeight="1">
      <c r="B399" s="110" t="s">
        <v>833</v>
      </c>
    </row>
    <row r="400" spans="2:2" ht="16" customHeight="1">
      <c r="B400" s="110" t="s">
        <v>834</v>
      </c>
    </row>
    <row r="401" spans="2:2" ht="16" customHeight="1">
      <c r="B401" s="110" t="s">
        <v>835</v>
      </c>
    </row>
    <row r="402" spans="2:2">
      <c r="B402" s="90" t="s">
        <v>836</v>
      </c>
    </row>
    <row r="405" spans="2:2" ht="19" customHeight="1">
      <c r="B405" s="120" t="s">
        <v>837</v>
      </c>
    </row>
    <row r="406" spans="2:2" ht="19" customHeight="1">
      <c r="B406" s="120"/>
    </row>
    <row r="407" spans="2:2">
      <c r="B407" s="90" t="s">
        <v>838</v>
      </c>
    </row>
    <row r="408" spans="2:2">
      <c r="B408" s="90" t="s">
        <v>839</v>
      </c>
    </row>
    <row r="409" spans="2:2">
      <c r="B409" s="90" t="s">
        <v>840</v>
      </c>
    </row>
    <row r="410" spans="2:2">
      <c r="B410" s="90" t="s">
        <v>841</v>
      </c>
    </row>
    <row r="411" spans="2:2">
      <c r="B411" s="90" t="s">
        <v>842</v>
      </c>
    </row>
    <row r="412" spans="2:2">
      <c r="B412" s="90" t="s">
        <v>843</v>
      </c>
    </row>
    <row r="413" spans="2:2">
      <c r="B413" s="90" t="s">
        <v>844</v>
      </c>
    </row>
    <row r="414" spans="2:2">
      <c r="B414" s="90" t="s">
        <v>845</v>
      </c>
    </row>
    <row r="415" spans="2:2">
      <c r="B415" s="90" t="s">
        <v>846</v>
      </c>
    </row>
    <row r="418" spans="2:2" ht="19" customHeight="1">
      <c r="B418" s="120" t="s">
        <v>847</v>
      </c>
    </row>
    <row r="419" spans="2:2" ht="19" customHeight="1">
      <c r="B419" s="120"/>
    </row>
    <row r="420" spans="2:2">
      <c r="B420" s="90" t="s">
        <v>848</v>
      </c>
    </row>
    <row r="421" spans="2:2">
      <c r="B421" s="93" t="s">
        <v>849</v>
      </c>
    </row>
    <row r="422" spans="2:2">
      <c r="B422" s="90" t="s">
        <v>850</v>
      </c>
    </row>
    <row r="423" spans="2:2">
      <c r="B423" s="90" t="s">
        <v>851</v>
      </c>
    </row>
    <row r="424" spans="2:2">
      <c r="B424" s="90" t="s">
        <v>852</v>
      </c>
    </row>
    <row r="425" spans="2:2">
      <c r="B425" s="90" t="s">
        <v>853</v>
      </c>
    </row>
    <row r="426" spans="2:2">
      <c r="B426" s="90" t="s">
        <v>854</v>
      </c>
    </row>
    <row r="427" spans="2:2">
      <c r="B427" s="93" t="s">
        <v>855</v>
      </c>
    </row>
    <row r="428" spans="2:2">
      <c r="B428" s="90" t="s">
        <v>856</v>
      </c>
    </row>
    <row r="429" spans="2:2">
      <c r="B429" s="90" t="s">
        <v>857</v>
      </c>
    </row>
    <row r="430" spans="2:2">
      <c r="B430" s="90" t="s">
        <v>858</v>
      </c>
    </row>
    <row r="431" spans="2:2">
      <c r="B431" s="90" t="s">
        <v>859</v>
      </c>
    </row>
    <row r="432" spans="2:2">
      <c r="B432" s="90" t="s">
        <v>860</v>
      </c>
    </row>
    <row r="435" spans="2:2" ht="19" customHeight="1">
      <c r="B435" s="120" t="s">
        <v>861</v>
      </c>
    </row>
    <row r="437" spans="2:2">
      <c r="B437" s="90" t="s">
        <v>862</v>
      </c>
    </row>
    <row r="438" spans="2:2">
      <c r="B438" s="90" t="s">
        <v>863</v>
      </c>
    </row>
    <row r="439" spans="2:2">
      <c r="B439" s="90" t="s">
        <v>864</v>
      </c>
    </row>
    <row r="440" spans="2:2">
      <c r="B440" s="90" t="s">
        <v>865</v>
      </c>
    </row>
    <row r="441" spans="2:2">
      <c r="B441" s="90" t="s">
        <v>866</v>
      </c>
    </row>
    <row r="442" spans="2:2">
      <c r="B442" s="90" t="s">
        <v>867</v>
      </c>
    </row>
    <row r="443" spans="2:2">
      <c r="B443" s="90" t="s">
        <v>868</v>
      </c>
    </row>
    <row r="444" spans="2:2">
      <c r="B444" s="90" t="s">
        <v>869</v>
      </c>
    </row>
    <row r="445" spans="2:2">
      <c r="B445" s="90" t="s">
        <v>870</v>
      </c>
    </row>
    <row r="448" spans="2:2" ht="19" customHeight="1">
      <c r="B448" s="120" t="s">
        <v>871</v>
      </c>
    </row>
    <row r="450" spans="2:2">
      <c r="B450" s="90" t="s">
        <v>872</v>
      </c>
    </row>
    <row r="452" spans="2:2" ht="16" customHeight="1">
      <c r="B452" s="110" t="s">
        <v>873</v>
      </c>
    </row>
    <row r="453" spans="2:2" ht="16" customHeight="1">
      <c r="B453" s="110" t="s">
        <v>874</v>
      </c>
    </row>
    <row r="454" spans="2:2" ht="16" customHeight="1">
      <c r="B454" s="110" t="s">
        <v>875</v>
      </c>
    </row>
    <row r="455" spans="2:2" ht="16" customHeight="1">
      <c r="B455" s="110" t="s">
        <v>876</v>
      </c>
    </row>
    <row r="456" spans="2:2" ht="16" customHeight="1">
      <c r="B456" s="110" t="s">
        <v>877</v>
      </c>
    </row>
    <row r="457" spans="2:2" ht="16" customHeight="1">
      <c r="B457" s="110" t="s">
        <v>874</v>
      </c>
    </row>
    <row r="458" spans="2:2" ht="16" customHeight="1">
      <c r="B458" s="110" t="s">
        <v>875</v>
      </c>
    </row>
    <row r="459" spans="2:2" ht="16" customHeight="1">
      <c r="B459" s="110" t="s">
        <v>878</v>
      </c>
    </row>
    <row r="460" spans="2:2" ht="16" customHeight="1">
      <c r="B460" s="110" t="s">
        <v>874</v>
      </c>
    </row>
    <row r="461" spans="2:2" ht="16" customHeight="1">
      <c r="B461" s="110" t="s">
        <v>879</v>
      </c>
    </row>
    <row r="462" spans="2:2" ht="16" customHeight="1">
      <c r="B462" s="110" t="s">
        <v>880</v>
      </c>
    </row>
    <row r="463" spans="2:2" ht="16" customHeight="1">
      <c r="B463" s="110" t="s">
        <v>881</v>
      </c>
    </row>
    <row r="464" spans="2:2" ht="16" customHeight="1">
      <c r="B464" s="110" t="s">
        <v>882</v>
      </c>
    </row>
    <row r="465" spans="2:2" ht="16" customHeight="1">
      <c r="B465" s="110" t="s">
        <v>883</v>
      </c>
    </row>
    <row r="466" spans="2:2" ht="16" customHeight="1">
      <c r="B466" s="110" t="s">
        <v>884</v>
      </c>
    </row>
    <row r="468" spans="2:2">
      <c r="B468" s="90" t="s">
        <v>885</v>
      </c>
    </row>
    <row r="471" spans="2:2" ht="19" customHeight="1">
      <c r="B471" s="120" t="s">
        <v>886</v>
      </c>
    </row>
    <row r="473" spans="2:2">
      <c r="B473" s="90" t="s">
        <v>887</v>
      </c>
    </row>
    <row r="474" spans="2:2">
      <c r="B474" s="90" t="s">
        <v>888</v>
      </c>
    </row>
    <row r="475" spans="2:2">
      <c r="B475" s="93" t="s">
        <v>889</v>
      </c>
    </row>
    <row r="476" spans="2:2">
      <c r="B476" s="93" t="s">
        <v>890</v>
      </c>
    </row>
    <row r="477" spans="2:2">
      <c r="B477" s="93" t="s">
        <v>891</v>
      </c>
    </row>
    <row r="478" spans="2:2">
      <c r="B478" s="93" t="s">
        <v>892</v>
      </c>
    </row>
    <row r="479" spans="2:2">
      <c r="B479" s="93" t="s">
        <v>893</v>
      </c>
    </row>
    <row r="481" spans="2:2">
      <c r="B481" s="90" t="s">
        <v>894</v>
      </c>
    </row>
  </sheetData>
  <pageMargins left="0.7" right="0.7" top="0.75" bottom="0.75" header="0.511811023622047" footer="0.511811023622047"/>
  <pageSetup paperSize="9" orientation="portrait" horizontalDpi="300" verticalDpi="30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G114"/>
  <sheetViews>
    <sheetView topLeftCell="A105" zoomScale="120" zoomScaleNormal="120" workbookViewId="0">
      <selection activeCell="B106" sqref="B106"/>
    </sheetView>
  </sheetViews>
  <sheetFormatPr baseColWidth="10" defaultColWidth="8.83203125" defaultRowHeight="15"/>
  <cols>
    <col min="2" max="2" width="21.83203125" customWidth="1"/>
    <col min="3" max="6" width="34.83203125" customWidth="1"/>
  </cols>
  <sheetData>
    <row r="2" spans="1:2" ht="21" customHeight="1">
      <c r="A2" t="s">
        <v>551</v>
      </c>
      <c r="B2" t="s">
        <v>895</v>
      </c>
    </row>
    <row r="3" spans="1:2" ht="21" customHeight="1">
      <c r="A3" t="s">
        <v>553</v>
      </c>
      <c r="B3" t="s">
        <v>896</v>
      </c>
    </row>
    <row r="5" spans="1:2" ht="21" customHeight="1">
      <c r="B5" s="60" t="s">
        <v>897</v>
      </c>
    </row>
    <row r="7" spans="1:2" ht="21" customHeight="1">
      <c r="B7" t="s">
        <v>898</v>
      </c>
    </row>
    <row r="8" spans="1:2" ht="21" customHeight="1">
      <c r="B8" t="s">
        <v>899</v>
      </c>
    </row>
    <row r="10" spans="1:2" ht="21" customHeight="1">
      <c r="B10" s="61" t="s">
        <v>900</v>
      </c>
    </row>
    <row r="12" spans="1:2" ht="21" customHeight="1">
      <c r="B12" t="s">
        <v>901</v>
      </c>
    </row>
    <row r="13" spans="1:2" ht="21" customHeight="1">
      <c r="B13" s="68" t="s">
        <v>902</v>
      </c>
    </row>
    <row r="14" spans="1:2" ht="21" customHeight="1">
      <c r="B14" t="s">
        <v>903</v>
      </c>
    </row>
    <row r="16" spans="1:2" ht="21" customHeight="1">
      <c r="B16" t="s">
        <v>904</v>
      </c>
    </row>
    <row r="18" spans="2:3" ht="21" customHeight="1">
      <c r="B18" s="61" t="s">
        <v>905</v>
      </c>
      <c r="C18" s="61" t="s">
        <v>906</v>
      </c>
    </row>
    <row r="19" spans="2:3" ht="21" customHeight="1">
      <c r="B19" t="s">
        <v>907</v>
      </c>
      <c r="C19" t="s">
        <v>104</v>
      </c>
    </row>
    <row r="20" spans="2:3" ht="21" customHeight="1">
      <c r="B20" t="s">
        <v>908</v>
      </c>
      <c r="C20" t="s">
        <v>909</v>
      </c>
    </row>
    <row r="21" spans="2:3" ht="21" customHeight="1">
      <c r="B21" t="s">
        <v>910</v>
      </c>
      <c r="C21" t="s">
        <v>111</v>
      </c>
    </row>
    <row r="22" spans="2:3" ht="21" customHeight="1">
      <c r="B22" t="s">
        <v>911</v>
      </c>
      <c r="C22" t="s">
        <v>111</v>
      </c>
    </row>
    <row r="23" spans="2:3" ht="21" customHeight="1">
      <c r="B23" t="s">
        <v>912</v>
      </c>
      <c r="C23" t="s">
        <v>118</v>
      </c>
    </row>
    <row r="24" spans="2:3" ht="21" customHeight="1">
      <c r="B24" t="s">
        <v>913</v>
      </c>
      <c r="C24" t="s">
        <v>125</v>
      </c>
    </row>
    <row r="26" spans="2:3" ht="21" customHeight="1">
      <c r="B26" t="s">
        <v>914</v>
      </c>
    </row>
    <row r="29" spans="2:3" ht="21" customHeight="1">
      <c r="B29" s="60" t="s">
        <v>915</v>
      </c>
    </row>
    <row r="31" spans="2:3" ht="21" customHeight="1">
      <c r="B31" t="s">
        <v>916</v>
      </c>
    </row>
    <row r="33" spans="2:2" s="69" customFormat="1" ht="21" customHeight="1">
      <c r="B33" s="70" t="s">
        <v>123</v>
      </c>
    </row>
    <row r="35" spans="2:2" ht="21" customHeight="1">
      <c r="B35" t="s">
        <v>917</v>
      </c>
    </row>
    <row r="36" spans="2:2" ht="21" customHeight="1">
      <c r="B36" t="s">
        <v>918</v>
      </c>
    </row>
    <row r="37" spans="2:2" ht="21" customHeight="1">
      <c r="B37" t="s">
        <v>919</v>
      </c>
    </row>
    <row r="38" spans="2:2" ht="21" customHeight="1">
      <c r="B38" t="s">
        <v>920</v>
      </c>
    </row>
    <row r="39" spans="2:2" ht="21" customHeight="1">
      <c r="B39" t="s">
        <v>921</v>
      </c>
    </row>
    <row r="40" spans="2:2" ht="21" customHeight="1">
      <c r="B40" t="s">
        <v>922</v>
      </c>
    </row>
    <row r="41" spans="2:2" ht="21" customHeight="1">
      <c r="B41" t="s">
        <v>923</v>
      </c>
    </row>
    <row r="42" spans="2:2" ht="21" customHeight="1">
      <c r="B42" t="s">
        <v>924</v>
      </c>
    </row>
    <row r="43" spans="2:2" ht="21" customHeight="1">
      <c r="B43" t="s">
        <v>925</v>
      </c>
    </row>
    <row r="44" spans="2:2" ht="21" customHeight="1">
      <c r="B44" t="s">
        <v>926</v>
      </c>
    </row>
    <row r="46" spans="2:2" ht="21" customHeight="1">
      <c r="B46" t="s">
        <v>927</v>
      </c>
    </row>
    <row r="47" spans="2:2" ht="21" customHeight="1">
      <c r="B47" t="s">
        <v>928</v>
      </c>
    </row>
    <row r="49" spans="2:7" ht="21" customHeight="1">
      <c r="B49" t="s">
        <v>929</v>
      </c>
    </row>
    <row r="51" spans="2:7" s="69" customFormat="1" ht="21" customHeight="1">
      <c r="B51" s="60" t="s">
        <v>281</v>
      </c>
      <c r="C51" s="60" t="s">
        <v>282</v>
      </c>
    </row>
    <row r="52" spans="2:7" ht="21" customHeight="1">
      <c r="B52" s="71" t="s">
        <v>159</v>
      </c>
      <c r="C52" s="71" t="s">
        <v>287</v>
      </c>
      <c r="F52" s="69"/>
      <c r="G52" s="69"/>
    </row>
    <row r="53" spans="2:7" ht="21" customHeight="1">
      <c r="B53" s="72" t="s">
        <v>170</v>
      </c>
      <c r="C53" s="72" t="s">
        <v>292</v>
      </c>
      <c r="F53" s="69"/>
      <c r="G53" s="69"/>
    </row>
    <row r="54" spans="2:7" ht="21" customHeight="1">
      <c r="B54" s="73" t="s">
        <v>180</v>
      </c>
      <c r="C54" s="73" t="s">
        <v>296</v>
      </c>
      <c r="F54" s="69"/>
      <c r="G54" s="69"/>
    </row>
    <row r="55" spans="2:7" ht="21" customHeight="1">
      <c r="B55" s="74" t="s">
        <v>299</v>
      </c>
      <c r="C55" s="74" t="s">
        <v>300</v>
      </c>
      <c r="F55" s="69"/>
      <c r="G55" s="69"/>
    </row>
    <row r="56" spans="2:7" ht="21" customHeight="1">
      <c r="B56" s="75" t="s">
        <v>212</v>
      </c>
      <c r="C56" s="75" t="s">
        <v>306</v>
      </c>
      <c r="F56" s="69"/>
      <c r="G56" s="69"/>
    </row>
    <row r="57" spans="2:7" ht="16.5" customHeight="1">
      <c r="F57" s="69"/>
      <c r="G57" s="69"/>
    </row>
    <row r="58" spans="2:7" ht="21" customHeight="1">
      <c r="B58" t="s">
        <v>930</v>
      </c>
    </row>
    <row r="61" spans="2:7" ht="21" customHeight="1">
      <c r="B61" s="60" t="s">
        <v>931</v>
      </c>
    </row>
    <row r="63" spans="2:7" ht="21" customHeight="1">
      <c r="B63" t="s">
        <v>932</v>
      </c>
    </row>
    <row r="64" spans="2:7" ht="21" customHeight="1">
      <c r="B64" t="s">
        <v>933</v>
      </c>
    </row>
    <row r="65" spans="2:3" ht="21" customHeight="1">
      <c r="B65" t="s">
        <v>934</v>
      </c>
    </row>
    <row r="66" spans="2:3" ht="21" customHeight="1">
      <c r="B66" t="s">
        <v>935</v>
      </c>
    </row>
    <row r="67" spans="2:3" ht="21" customHeight="1">
      <c r="B67" t="s">
        <v>936</v>
      </c>
    </row>
    <row r="68" spans="2:3" ht="21" customHeight="1">
      <c r="B68" t="s">
        <v>937</v>
      </c>
    </row>
    <row r="69" spans="2:3" ht="21" customHeight="1">
      <c r="B69" t="s">
        <v>938</v>
      </c>
    </row>
    <row r="70" spans="2:3" ht="21" customHeight="1">
      <c r="B70" t="s">
        <v>939</v>
      </c>
    </row>
    <row r="72" spans="2:3" ht="21" customHeight="1">
      <c r="B72" t="s">
        <v>940</v>
      </c>
    </row>
    <row r="73" spans="2:3" ht="21" customHeight="1">
      <c r="B73" s="68" t="s">
        <v>941</v>
      </c>
    </row>
    <row r="74" spans="2:3" ht="21" customHeight="1">
      <c r="B74" s="68" t="s">
        <v>942</v>
      </c>
    </row>
    <row r="75" spans="2:3" ht="21" customHeight="1">
      <c r="B75" s="68" t="s">
        <v>943</v>
      </c>
    </row>
    <row r="76" spans="2:3" ht="21" customHeight="1">
      <c r="B76" s="68" t="s">
        <v>944</v>
      </c>
    </row>
    <row r="78" spans="2:3" ht="21" customHeight="1">
      <c r="B78" t="s">
        <v>945</v>
      </c>
    </row>
    <row r="80" spans="2:3" ht="21" customHeight="1">
      <c r="B80" s="61" t="s">
        <v>946</v>
      </c>
      <c r="C80" s="61" t="s">
        <v>145</v>
      </c>
    </row>
    <row r="81" spans="2:3" ht="21" customHeight="1">
      <c r="B81" t="s">
        <v>947</v>
      </c>
      <c r="C81" t="s">
        <v>948</v>
      </c>
    </row>
    <row r="82" spans="2:3" ht="21" customHeight="1">
      <c r="B82" t="s">
        <v>949</v>
      </c>
      <c r="C82" t="s">
        <v>950</v>
      </c>
    </row>
    <row r="83" spans="2:3" ht="21" customHeight="1">
      <c r="B83" t="s">
        <v>951</v>
      </c>
      <c r="C83" t="s">
        <v>952</v>
      </c>
    </row>
    <row r="84" spans="2:3" ht="21" customHeight="1">
      <c r="B84" t="s">
        <v>953</v>
      </c>
      <c r="C84" t="s">
        <v>954</v>
      </c>
    </row>
    <row r="86" spans="2:3" ht="21" customHeight="1">
      <c r="B86" t="s">
        <v>955</v>
      </c>
    </row>
    <row r="87" spans="2:3" ht="21" customHeight="1">
      <c r="B87" s="68" t="s">
        <v>956</v>
      </c>
    </row>
    <row r="89" spans="2:3" ht="21" customHeight="1">
      <c r="B89" t="s">
        <v>957</v>
      </c>
    </row>
    <row r="90" spans="2:3" ht="21" customHeight="1">
      <c r="B90" t="s">
        <v>958</v>
      </c>
    </row>
    <row r="92" spans="2:3" ht="21" customHeight="1">
      <c r="B92" t="s">
        <v>959</v>
      </c>
    </row>
    <row r="94" spans="2:3" ht="21" customHeight="1">
      <c r="B94" s="68" t="s">
        <v>960</v>
      </c>
    </row>
    <row r="95" spans="2:3" ht="21" customHeight="1">
      <c r="B95" s="68" t="s">
        <v>961</v>
      </c>
    </row>
    <row r="96" spans="2:3" ht="21" customHeight="1">
      <c r="B96" s="68" t="s">
        <v>962</v>
      </c>
    </row>
    <row r="97" spans="2:6" ht="21" customHeight="1">
      <c r="B97" s="68" t="s">
        <v>963</v>
      </c>
    </row>
    <row r="99" spans="2:6" ht="21" customHeight="1">
      <c r="B99" t="s">
        <v>964</v>
      </c>
    </row>
    <row r="101" spans="2:6" ht="21" customHeight="1">
      <c r="B101" s="68" t="s">
        <v>965</v>
      </c>
    </row>
    <row r="102" spans="2:6" ht="21" customHeight="1">
      <c r="B102" s="68" t="s">
        <v>966</v>
      </c>
    </row>
    <row r="103" spans="2:6" ht="21" customHeight="1">
      <c r="B103" s="68" t="s">
        <v>967</v>
      </c>
    </row>
    <row r="105" spans="2:6" ht="21" customHeight="1">
      <c r="B105" s="62" t="s">
        <v>968</v>
      </c>
      <c r="C105" s="62"/>
      <c r="D105" s="62"/>
      <c r="E105" s="62"/>
      <c r="F105" s="62"/>
    </row>
    <row r="106" spans="2:6" ht="54.75" customHeight="1">
      <c r="B106" s="63" t="s">
        <v>969</v>
      </c>
      <c r="C106" s="63" t="s">
        <v>970</v>
      </c>
      <c r="D106" s="63" t="s">
        <v>971</v>
      </c>
      <c r="E106" s="63" t="s">
        <v>466</v>
      </c>
      <c r="F106" s="63" t="s">
        <v>972</v>
      </c>
    </row>
    <row r="107" spans="2:6" ht="54.75" customHeight="1">
      <c r="B107" s="8" t="s">
        <v>973</v>
      </c>
      <c r="C107" s="8" t="s">
        <v>974</v>
      </c>
      <c r="D107" s="8" t="s">
        <v>975</v>
      </c>
      <c r="E107" s="8" t="s">
        <v>976</v>
      </c>
      <c r="F107" s="8" t="s">
        <v>977</v>
      </c>
    </row>
    <row r="108" spans="2:6" ht="54.75" customHeight="1">
      <c r="B108" s="8" t="s">
        <v>978</v>
      </c>
      <c r="C108" s="8" t="s">
        <v>979</v>
      </c>
      <c r="D108" s="8" t="s">
        <v>980</v>
      </c>
      <c r="E108" s="8" t="s">
        <v>981</v>
      </c>
      <c r="F108" s="8" t="s">
        <v>982</v>
      </c>
    </row>
    <row r="109" spans="2:6" ht="54.75" customHeight="1">
      <c r="B109" s="8" t="s">
        <v>983</v>
      </c>
      <c r="C109" s="8" t="s">
        <v>984</v>
      </c>
      <c r="D109" s="8" t="s">
        <v>985</v>
      </c>
      <c r="E109" s="8" t="s">
        <v>986</v>
      </c>
      <c r="F109" s="8" t="s">
        <v>987</v>
      </c>
    </row>
    <row r="110" spans="2:6" ht="54.75" customHeight="1">
      <c r="B110" s="8" t="s">
        <v>988</v>
      </c>
      <c r="C110" s="8" t="s">
        <v>989</v>
      </c>
      <c r="D110" s="8" t="s">
        <v>990</v>
      </c>
      <c r="E110" s="8" t="s">
        <v>991</v>
      </c>
      <c r="F110" s="8" t="s">
        <v>992</v>
      </c>
    </row>
    <row r="111" spans="2:6" ht="54.75" customHeight="1">
      <c r="B111" s="8" t="s">
        <v>993</v>
      </c>
      <c r="C111" s="8" t="s">
        <v>994</v>
      </c>
      <c r="D111" s="8" t="s">
        <v>995</v>
      </c>
      <c r="E111" s="8" t="s">
        <v>996</v>
      </c>
      <c r="F111" s="8" t="s">
        <v>997</v>
      </c>
    </row>
    <row r="112" spans="2:6" ht="54.75" customHeight="1">
      <c r="B112" s="8" t="s">
        <v>998</v>
      </c>
      <c r="C112" s="8" t="s">
        <v>999</v>
      </c>
      <c r="D112" s="8" t="s">
        <v>1000</v>
      </c>
      <c r="E112" s="8" t="s">
        <v>1001</v>
      </c>
      <c r="F112" s="8" t="s">
        <v>1002</v>
      </c>
    </row>
    <row r="113" spans="2:6" ht="54.75" customHeight="1">
      <c r="B113" s="8" t="s">
        <v>1003</v>
      </c>
      <c r="C113" s="8" t="s">
        <v>1004</v>
      </c>
      <c r="D113" s="8" t="s">
        <v>1005</v>
      </c>
      <c r="E113" s="8" t="s">
        <v>1006</v>
      </c>
      <c r="F113" s="8" t="s">
        <v>1007</v>
      </c>
    </row>
    <row r="114" spans="2:6" ht="54.75" customHeight="1">
      <c r="B114" s="64" t="s">
        <v>1008</v>
      </c>
      <c r="C114" s="64" t="s">
        <v>1009</v>
      </c>
      <c r="D114" s="64" t="s">
        <v>1010</v>
      </c>
      <c r="E114" s="64" t="s">
        <v>1011</v>
      </c>
      <c r="F114" s="64" t="s">
        <v>1012</v>
      </c>
    </row>
  </sheetData>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80"/>
  <sheetViews>
    <sheetView zoomScale="120" zoomScaleNormal="120" workbookViewId="0">
      <selection activeCell="A2" sqref="A2"/>
    </sheetView>
  </sheetViews>
  <sheetFormatPr baseColWidth="10" defaultColWidth="8.83203125" defaultRowHeight="15"/>
  <cols>
    <col min="1" max="2" width="21.83203125" customWidth="1"/>
    <col min="3" max="5" width="34.83203125" customWidth="1"/>
    <col min="6" max="6" width="21.83203125" customWidth="1"/>
  </cols>
  <sheetData>
    <row r="1" spans="1:6" ht="33.75" customHeight="1">
      <c r="A1" s="132" t="s">
        <v>1013</v>
      </c>
      <c r="B1" s="127"/>
      <c r="C1" s="127"/>
      <c r="D1" s="127"/>
      <c r="E1" s="127"/>
      <c r="F1" s="127"/>
    </row>
    <row r="2" spans="1:6" ht="21" customHeight="1">
      <c r="A2" s="76" t="s">
        <v>1014</v>
      </c>
      <c r="B2" s="86" t="s">
        <v>1015</v>
      </c>
      <c r="C2" s="77"/>
      <c r="D2" s="77"/>
      <c r="E2" s="77"/>
      <c r="F2" s="77"/>
    </row>
    <row r="3" spans="1:6" ht="21" customHeight="1">
      <c r="A3" s="76" t="s">
        <v>1016</v>
      </c>
      <c r="B3" s="86" t="s">
        <v>1017</v>
      </c>
      <c r="C3" s="77"/>
      <c r="D3" s="77"/>
      <c r="E3" s="77"/>
      <c r="F3" s="77"/>
    </row>
    <row r="4" spans="1:6" ht="21" customHeight="1">
      <c r="A4" s="77"/>
      <c r="B4" s="77"/>
      <c r="C4" s="77"/>
      <c r="D4" s="77"/>
      <c r="E4" s="77"/>
      <c r="F4" s="77"/>
    </row>
    <row r="5" spans="1:6" ht="33.75" customHeight="1">
      <c r="A5" s="78" t="s">
        <v>1018</v>
      </c>
      <c r="B5" s="78" t="s">
        <v>395</v>
      </c>
      <c r="C5" s="78" t="s">
        <v>396</v>
      </c>
      <c r="D5" s="78" t="s">
        <v>1019</v>
      </c>
      <c r="E5" s="78" t="s">
        <v>1020</v>
      </c>
      <c r="F5" s="78" t="s">
        <v>1021</v>
      </c>
    </row>
    <row r="6" spans="1:6" ht="54.75" customHeight="1">
      <c r="A6" s="77" t="s">
        <v>1022</v>
      </c>
      <c r="B6" s="77" t="s">
        <v>1023</v>
      </c>
      <c r="C6" s="77" t="s">
        <v>1024</v>
      </c>
      <c r="D6" s="77" t="s">
        <v>1025</v>
      </c>
      <c r="E6" s="77" t="s">
        <v>1026</v>
      </c>
      <c r="F6" s="77" t="s">
        <v>496</v>
      </c>
    </row>
    <row r="7" spans="1:6" ht="54.75" customHeight="1">
      <c r="A7" s="77" t="s">
        <v>1027</v>
      </c>
      <c r="B7" s="77" t="s">
        <v>1028</v>
      </c>
      <c r="C7" s="77" t="s">
        <v>1029</v>
      </c>
      <c r="D7" s="77" t="s">
        <v>1030</v>
      </c>
      <c r="E7" s="77" t="s">
        <v>1031</v>
      </c>
      <c r="F7" s="77" t="s">
        <v>496</v>
      </c>
    </row>
    <row r="8" spans="1:6" ht="54.75" customHeight="1">
      <c r="A8" s="77" t="s">
        <v>132</v>
      </c>
      <c r="B8" s="77" t="s">
        <v>1032</v>
      </c>
      <c r="C8" s="77" t="s">
        <v>1033</v>
      </c>
      <c r="D8" s="77" t="s">
        <v>1034</v>
      </c>
      <c r="E8" s="77" t="s">
        <v>1035</v>
      </c>
      <c r="F8" s="77" t="s">
        <v>516</v>
      </c>
    </row>
    <row r="9" spans="1:6" ht="54.75" customHeight="1">
      <c r="A9" s="77" t="s">
        <v>1036</v>
      </c>
      <c r="B9" s="77" t="s">
        <v>1037</v>
      </c>
      <c r="C9" s="77" t="s">
        <v>1038</v>
      </c>
      <c r="D9" s="77" t="s">
        <v>1039</v>
      </c>
      <c r="E9" s="77" t="s">
        <v>1040</v>
      </c>
      <c r="F9" s="77" t="s">
        <v>516</v>
      </c>
    </row>
    <row r="10" spans="1:6" ht="54.75" customHeight="1">
      <c r="A10" s="77" t="s">
        <v>1041</v>
      </c>
      <c r="B10" s="77" t="s">
        <v>1037</v>
      </c>
      <c r="C10" s="77" t="s">
        <v>1042</v>
      </c>
      <c r="D10" s="77" t="s">
        <v>1043</v>
      </c>
      <c r="E10" s="77" t="s">
        <v>1044</v>
      </c>
      <c r="F10" s="77" t="s">
        <v>516</v>
      </c>
    </row>
    <row r="11" spans="1:6" ht="54.75" customHeight="1">
      <c r="A11" s="77" t="s">
        <v>1045</v>
      </c>
      <c r="B11" s="77" t="s">
        <v>1037</v>
      </c>
      <c r="C11" s="77" t="s">
        <v>1046</v>
      </c>
      <c r="D11" s="77" t="s">
        <v>1047</v>
      </c>
      <c r="E11" s="77" t="s">
        <v>1048</v>
      </c>
      <c r="F11" s="77" t="s">
        <v>496</v>
      </c>
    </row>
    <row r="12" spans="1:6" ht="54.75" customHeight="1">
      <c r="A12" s="77" t="s">
        <v>1049</v>
      </c>
      <c r="B12" s="77" t="s">
        <v>1037</v>
      </c>
      <c r="C12" s="77" t="s">
        <v>1050</v>
      </c>
      <c r="D12" s="77" t="s">
        <v>1051</v>
      </c>
      <c r="E12" s="77" t="s">
        <v>1052</v>
      </c>
      <c r="F12" s="77" t="s">
        <v>516</v>
      </c>
    </row>
    <row r="13" spans="1:6" ht="54.75" customHeight="1">
      <c r="A13" s="77" t="s">
        <v>1053</v>
      </c>
      <c r="B13" s="77" t="s">
        <v>1054</v>
      </c>
      <c r="C13" s="77" t="s">
        <v>1055</v>
      </c>
      <c r="D13" s="77" t="s">
        <v>1056</v>
      </c>
      <c r="E13" s="77" t="s">
        <v>1057</v>
      </c>
      <c r="F13" s="77" t="s">
        <v>477</v>
      </c>
    </row>
    <row r="14" spans="1:6" ht="54.75" customHeight="1">
      <c r="A14" s="77" t="s">
        <v>1058</v>
      </c>
      <c r="B14" s="77" t="s">
        <v>1054</v>
      </c>
      <c r="C14" s="77" t="s">
        <v>1059</v>
      </c>
      <c r="D14" s="77" t="s">
        <v>1060</v>
      </c>
      <c r="E14" s="77" t="s">
        <v>1061</v>
      </c>
      <c r="F14" s="77" t="s">
        <v>477</v>
      </c>
    </row>
    <row r="15" spans="1:6" ht="54.75" customHeight="1">
      <c r="A15" s="77" t="s">
        <v>1062</v>
      </c>
      <c r="B15" s="77" t="s">
        <v>1054</v>
      </c>
      <c r="C15" s="77" t="s">
        <v>1063</v>
      </c>
      <c r="D15" s="77" t="s">
        <v>1064</v>
      </c>
      <c r="E15" s="77" t="s">
        <v>1065</v>
      </c>
      <c r="F15" s="77" t="s">
        <v>496</v>
      </c>
    </row>
    <row r="16" spans="1:6" ht="21" customHeight="1">
      <c r="A16" s="77"/>
      <c r="B16" s="77"/>
      <c r="C16" s="77"/>
      <c r="D16" s="77"/>
      <c r="E16" s="77"/>
      <c r="F16" s="77"/>
    </row>
    <row r="17" spans="1:6" ht="21" customHeight="1">
      <c r="A17" s="79" t="s">
        <v>1066</v>
      </c>
      <c r="B17" s="80" t="s">
        <v>2</v>
      </c>
      <c r="C17" s="80"/>
      <c r="D17" s="80"/>
      <c r="E17" s="80"/>
      <c r="F17" s="79"/>
    </row>
    <row r="18" spans="1:6" ht="21" customHeight="1">
      <c r="A18" s="77" t="s">
        <v>1067</v>
      </c>
      <c r="B18" s="77" t="s">
        <v>104</v>
      </c>
      <c r="C18" s="77"/>
      <c r="D18" s="77"/>
      <c r="E18" s="77"/>
      <c r="F18" s="77"/>
    </row>
    <row r="19" spans="1:6" ht="21" customHeight="1">
      <c r="A19" s="77" t="s">
        <v>1068</v>
      </c>
      <c r="B19" s="77" t="s">
        <v>180</v>
      </c>
      <c r="C19" s="77"/>
      <c r="D19" s="77"/>
      <c r="E19" s="77"/>
      <c r="F19" s="77"/>
    </row>
    <row r="20" spans="1:6" ht="21" customHeight="1">
      <c r="A20" s="77" t="s">
        <v>1069</v>
      </c>
      <c r="B20" s="77">
        <v>0</v>
      </c>
      <c r="C20" s="77"/>
      <c r="D20" s="77"/>
      <c r="E20" s="77"/>
      <c r="F20" s="77"/>
    </row>
    <row r="21" spans="1:6" ht="21" customHeight="1">
      <c r="A21" s="77" t="s">
        <v>1070</v>
      </c>
      <c r="B21" s="77">
        <v>1</v>
      </c>
      <c r="C21" s="77"/>
      <c r="D21" s="77"/>
      <c r="E21" s="77"/>
      <c r="F21" s="77"/>
    </row>
    <row r="22" spans="1:6" ht="21" customHeight="1">
      <c r="A22" s="77" t="s">
        <v>1071</v>
      </c>
      <c r="B22" s="77">
        <v>1</v>
      </c>
      <c r="C22" s="77"/>
      <c r="D22" s="77"/>
      <c r="E22" s="77"/>
      <c r="F22" s="77"/>
    </row>
    <row r="23" spans="1:6" ht="21" customHeight="1">
      <c r="A23" s="77" t="s">
        <v>1072</v>
      </c>
      <c r="B23" s="77">
        <v>1</v>
      </c>
      <c r="C23" s="77"/>
      <c r="D23" s="77"/>
      <c r="E23" s="77"/>
      <c r="F23" s="77"/>
    </row>
    <row r="24" spans="1:6" ht="21" customHeight="1">
      <c r="A24" s="77" t="s">
        <v>1073</v>
      </c>
      <c r="B24" s="77">
        <v>0</v>
      </c>
      <c r="C24" s="77"/>
      <c r="D24" s="77"/>
      <c r="E24" s="77"/>
      <c r="F24" s="77"/>
    </row>
    <row r="25" spans="1:6" ht="21" customHeight="1">
      <c r="A25" s="77" t="s">
        <v>1074</v>
      </c>
      <c r="B25" s="77">
        <v>1</v>
      </c>
      <c r="C25" s="77"/>
      <c r="D25" s="77"/>
      <c r="E25" s="77"/>
      <c r="F25" s="77"/>
    </row>
    <row r="26" spans="1:6" ht="21" customHeight="1">
      <c r="A26" s="77" t="s">
        <v>1075</v>
      </c>
      <c r="B26" s="77">
        <v>1</v>
      </c>
      <c r="C26" s="77"/>
      <c r="D26" s="77"/>
      <c r="E26" s="77"/>
      <c r="F26" s="77"/>
    </row>
    <row r="27" spans="1:6" ht="21" customHeight="1">
      <c r="A27" s="77"/>
      <c r="B27" s="81"/>
      <c r="C27" s="81"/>
      <c r="D27" s="81"/>
      <c r="E27" s="81"/>
      <c r="F27" s="77"/>
    </row>
    <row r="28" spans="1:6" ht="21" customHeight="1">
      <c r="A28" s="79" t="s">
        <v>1076</v>
      </c>
      <c r="B28" s="80" t="s">
        <v>1077</v>
      </c>
      <c r="C28" s="80" t="s">
        <v>1078</v>
      </c>
      <c r="D28" s="80" t="s">
        <v>1079</v>
      </c>
      <c r="E28" s="80" t="s">
        <v>1080</v>
      </c>
      <c r="F28" s="79" t="s">
        <v>1081</v>
      </c>
    </row>
    <row r="29" spans="1:6" ht="21" customHeight="1">
      <c r="A29" s="77" t="s">
        <v>1082</v>
      </c>
      <c r="B29" s="81">
        <v>3500</v>
      </c>
      <c r="C29" s="81">
        <v>10000</v>
      </c>
      <c r="D29" s="81">
        <v>800</v>
      </c>
      <c r="E29" s="81">
        <v>2350</v>
      </c>
      <c r="F29" s="77" t="s">
        <v>1083</v>
      </c>
    </row>
    <row r="30" spans="1:6" ht="21" customHeight="1">
      <c r="A30" s="77"/>
      <c r="B30" s="77"/>
      <c r="C30" s="77"/>
      <c r="D30" s="77"/>
      <c r="E30" s="77"/>
      <c r="F30" s="77"/>
    </row>
    <row r="31" spans="1:6" ht="21" customHeight="1">
      <c r="A31" s="79" t="s">
        <v>1084</v>
      </c>
      <c r="B31" s="80" t="s">
        <v>1077</v>
      </c>
      <c r="C31" s="80" t="s">
        <v>1078</v>
      </c>
      <c r="D31" s="80" t="s">
        <v>1079</v>
      </c>
      <c r="E31" s="80" t="s">
        <v>1080</v>
      </c>
      <c r="F31" s="79" t="s">
        <v>1081</v>
      </c>
    </row>
    <row r="32" spans="1:6" ht="21" customHeight="1">
      <c r="A32" s="77" t="s">
        <v>159</v>
      </c>
      <c r="B32" s="81">
        <v>3000</v>
      </c>
      <c r="C32" s="81">
        <v>9750</v>
      </c>
      <c r="D32" s="81">
        <v>0</v>
      </c>
      <c r="E32" s="81">
        <v>0</v>
      </c>
      <c r="F32" s="77" t="s">
        <v>1085</v>
      </c>
    </row>
    <row r="33" spans="1:6" ht="21" customHeight="1">
      <c r="A33" s="77" t="s">
        <v>170</v>
      </c>
      <c r="B33" s="81">
        <v>3000</v>
      </c>
      <c r="C33" s="81">
        <v>9750</v>
      </c>
      <c r="D33" s="81">
        <v>250</v>
      </c>
      <c r="E33" s="81">
        <v>800</v>
      </c>
      <c r="F33" s="77" t="s">
        <v>1086</v>
      </c>
    </row>
    <row r="34" spans="1:6" ht="21" customHeight="1">
      <c r="A34" s="77" t="s">
        <v>180</v>
      </c>
      <c r="B34" s="81">
        <v>2000</v>
      </c>
      <c r="C34" s="81">
        <v>6500</v>
      </c>
      <c r="D34" s="81">
        <v>500</v>
      </c>
      <c r="E34" s="81">
        <v>1600</v>
      </c>
      <c r="F34" s="77" t="s">
        <v>1087</v>
      </c>
    </row>
    <row r="35" spans="1:6" ht="21" customHeight="1">
      <c r="A35" s="77" t="s">
        <v>191</v>
      </c>
      <c r="B35" s="81">
        <v>3000</v>
      </c>
      <c r="C35" s="81">
        <v>9750</v>
      </c>
      <c r="D35" s="81">
        <v>750</v>
      </c>
      <c r="E35" s="81">
        <v>2400</v>
      </c>
      <c r="F35" s="77" t="s">
        <v>1088</v>
      </c>
    </row>
    <row r="36" spans="1:6" ht="21" customHeight="1">
      <c r="A36" s="77" t="s">
        <v>202</v>
      </c>
      <c r="B36" s="81">
        <v>4000</v>
      </c>
      <c r="C36" s="81">
        <v>13000</v>
      </c>
      <c r="D36" s="81">
        <v>1000</v>
      </c>
      <c r="E36" s="81">
        <v>3200</v>
      </c>
      <c r="F36" s="77" t="s">
        <v>1089</v>
      </c>
    </row>
    <row r="37" spans="1:6" ht="21" customHeight="1">
      <c r="A37" s="77" t="s">
        <v>212</v>
      </c>
      <c r="B37" s="81">
        <v>6000</v>
      </c>
      <c r="C37" s="81">
        <v>19500</v>
      </c>
      <c r="D37" s="81">
        <v>1500</v>
      </c>
      <c r="E37" s="81">
        <v>4800</v>
      </c>
      <c r="F37" s="77" t="s">
        <v>1090</v>
      </c>
    </row>
    <row r="38" spans="1:6" ht="21" customHeight="1">
      <c r="A38" s="77"/>
      <c r="B38" s="81"/>
      <c r="C38" s="81"/>
      <c r="D38" s="81"/>
      <c r="E38" s="81"/>
      <c r="F38" s="77"/>
    </row>
    <row r="39" spans="1:6" ht="21" customHeight="1">
      <c r="A39" s="79" t="s">
        <v>1091</v>
      </c>
      <c r="B39" s="79" t="s">
        <v>1077</v>
      </c>
      <c r="C39" s="79" t="s">
        <v>1078</v>
      </c>
      <c r="D39" s="79" t="s">
        <v>1079</v>
      </c>
      <c r="E39" s="79" t="s">
        <v>1080</v>
      </c>
      <c r="F39" s="79" t="s">
        <v>1081</v>
      </c>
    </row>
    <row r="40" spans="1:6" ht="21" customHeight="1">
      <c r="A40" s="77" t="s">
        <v>159</v>
      </c>
      <c r="B40" s="81">
        <v>0</v>
      </c>
      <c r="C40" s="81">
        <v>0</v>
      </c>
      <c r="D40" s="81">
        <v>0</v>
      </c>
      <c r="E40" s="81">
        <v>0</v>
      </c>
      <c r="F40" s="77" t="s">
        <v>1092</v>
      </c>
    </row>
    <row r="41" spans="1:6" ht="21" customHeight="1">
      <c r="A41" s="77" t="s">
        <v>170</v>
      </c>
      <c r="B41" s="81">
        <v>0</v>
      </c>
      <c r="C41" s="81">
        <v>0</v>
      </c>
      <c r="D41" s="81">
        <v>0</v>
      </c>
      <c r="E41" s="81">
        <v>0</v>
      </c>
      <c r="F41" s="77" t="s">
        <v>1092</v>
      </c>
    </row>
    <row r="42" spans="1:6" ht="21" customHeight="1">
      <c r="A42" s="77" t="s">
        <v>180</v>
      </c>
      <c r="B42" s="81">
        <v>0</v>
      </c>
      <c r="C42" s="81">
        <v>0</v>
      </c>
      <c r="D42" s="81">
        <v>0</v>
      </c>
      <c r="E42" s="81">
        <v>0</v>
      </c>
      <c r="F42" s="77" t="s">
        <v>1092</v>
      </c>
    </row>
    <row r="43" spans="1:6" ht="21" customHeight="1">
      <c r="A43" s="77" t="s">
        <v>191</v>
      </c>
      <c r="B43" s="81">
        <v>0</v>
      </c>
      <c r="C43" s="81">
        <v>0</v>
      </c>
      <c r="D43" s="81">
        <v>0</v>
      </c>
      <c r="E43" s="81">
        <v>0</v>
      </c>
      <c r="F43" s="77" t="s">
        <v>1092</v>
      </c>
    </row>
    <row r="44" spans="1:6" ht="21" customHeight="1">
      <c r="A44" s="77" t="s">
        <v>202</v>
      </c>
      <c r="B44" s="81">
        <v>0</v>
      </c>
      <c r="C44" s="81">
        <v>0</v>
      </c>
      <c r="D44" s="81">
        <v>0</v>
      </c>
      <c r="E44" s="81">
        <v>0</v>
      </c>
      <c r="F44" s="77" t="s">
        <v>1092</v>
      </c>
    </row>
    <row r="45" spans="1:6" ht="21" customHeight="1">
      <c r="A45" s="77" t="s">
        <v>212</v>
      </c>
      <c r="B45" s="81">
        <v>0</v>
      </c>
      <c r="C45" s="81">
        <v>0</v>
      </c>
      <c r="D45" s="81">
        <v>0</v>
      </c>
      <c r="E45" s="81">
        <v>0</v>
      </c>
      <c r="F45" s="77" t="s">
        <v>1092</v>
      </c>
    </row>
    <row r="46" spans="1:6" ht="21" customHeight="1">
      <c r="A46" s="77"/>
      <c r="B46" s="81"/>
      <c r="C46" s="81"/>
      <c r="D46" s="81"/>
      <c r="E46" s="81"/>
      <c r="F46" s="77"/>
    </row>
    <row r="47" spans="1:6" ht="21" customHeight="1">
      <c r="A47" s="82" t="s">
        <v>1093</v>
      </c>
      <c r="B47" s="82"/>
      <c r="C47" s="82"/>
      <c r="D47" s="82"/>
      <c r="E47" s="82"/>
      <c r="F47" s="82"/>
    </row>
    <row r="48" spans="1:6" ht="21" customHeight="1">
      <c r="A48" s="76" t="s">
        <v>1094</v>
      </c>
      <c r="B48" s="83" t="s">
        <v>1095</v>
      </c>
      <c r="C48" s="83"/>
      <c r="D48" s="83"/>
      <c r="E48" s="83"/>
      <c r="F48" s="76"/>
    </row>
    <row r="49" spans="1:6" ht="21" customHeight="1">
      <c r="A49" s="76" t="s">
        <v>1096</v>
      </c>
      <c r="B49" s="83" t="s">
        <v>1097</v>
      </c>
      <c r="C49" s="83"/>
      <c r="D49" s="83"/>
      <c r="E49" s="83"/>
      <c r="F49" s="76"/>
    </row>
    <row r="50" spans="1:6" ht="21" customHeight="1">
      <c r="A50" s="76" t="s">
        <v>1098</v>
      </c>
      <c r="B50" s="83" t="s">
        <v>1099</v>
      </c>
      <c r="C50" s="83"/>
      <c r="D50" s="83"/>
      <c r="E50" s="83"/>
      <c r="F50" s="76"/>
    </row>
    <row r="51" spans="1:6" ht="21" customHeight="1">
      <c r="A51" s="77"/>
      <c r="B51" s="77"/>
      <c r="C51" s="77"/>
      <c r="D51" s="77"/>
      <c r="E51" s="77"/>
      <c r="F51" s="77"/>
    </row>
    <row r="52" spans="1:6" ht="21" customHeight="1">
      <c r="A52" s="77"/>
      <c r="B52" s="77"/>
      <c r="C52" s="77"/>
      <c r="D52" s="77"/>
      <c r="E52" s="77"/>
      <c r="F52" s="77"/>
    </row>
    <row r="53" spans="1:6" ht="21" customHeight="1">
      <c r="A53" s="77"/>
      <c r="B53" s="77"/>
      <c r="C53" s="77"/>
      <c r="D53" s="77"/>
      <c r="E53" s="77"/>
      <c r="F53" s="77"/>
    </row>
    <row r="54" spans="1:6" ht="21" customHeight="1">
      <c r="A54" s="77"/>
      <c r="B54" s="77"/>
      <c r="C54" s="77"/>
      <c r="D54" s="77"/>
      <c r="E54" s="77"/>
      <c r="F54" s="77"/>
    </row>
    <row r="55" spans="1:6" ht="21" customHeight="1">
      <c r="A55" s="77"/>
      <c r="B55" s="77"/>
      <c r="C55" s="77"/>
      <c r="D55" s="77"/>
      <c r="E55" s="77"/>
      <c r="F55" s="77"/>
    </row>
    <row r="56" spans="1:6" ht="21" customHeight="1">
      <c r="A56" s="77"/>
      <c r="B56" s="77"/>
      <c r="C56" s="77"/>
      <c r="D56" s="77"/>
      <c r="E56" s="77"/>
      <c r="F56" s="77"/>
    </row>
    <row r="57" spans="1:6" ht="21" customHeight="1">
      <c r="A57" s="77"/>
      <c r="B57" s="77"/>
      <c r="C57" s="77"/>
      <c r="D57" s="77"/>
      <c r="E57" s="77"/>
      <c r="F57" s="77"/>
    </row>
    <row r="58" spans="1:6" ht="21" customHeight="1">
      <c r="A58" s="77"/>
      <c r="B58" s="77"/>
      <c r="C58" s="77"/>
      <c r="D58" s="77"/>
      <c r="E58" s="77"/>
      <c r="F58" s="77"/>
    </row>
    <row r="59" spans="1:6" ht="21" customHeight="1">
      <c r="A59" s="77"/>
      <c r="B59" s="77"/>
      <c r="C59" s="77"/>
      <c r="D59" s="77"/>
      <c r="E59" s="77"/>
      <c r="F59" s="77"/>
    </row>
    <row r="60" spans="1:6" ht="21" customHeight="1">
      <c r="A60" s="77"/>
      <c r="B60" s="77"/>
      <c r="C60" s="77"/>
      <c r="D60" s="77"/>
      <c r="E60" s="77"/>
      <c r="F60" s="77"/>
    </row>
    <row r="61" spans="1:6" ht="21" customHeight="1">
      <c r="A61" s="77"/>
      <c r="B61" s="77"/>
      <c r="C61" s="77"/>
      <c r="D61" s="77"/>
      <c r="E61" s="77"/>
      <c r="F61" s="77"/>
    </row>
    <row r="62" spans="1:6" ht="21" customHeight="1">
      <c r="A62" s="77"/>
      <c r="B62" s="77"/>
      <c r="C62" s="77"/>
      <c r="D62" s="77"/>
      <c r="E62" s="77"/>
      <c r="F62" s="77"/>
    </row>
    <row r="63" spans="1:6" ht="21" customHeight="1">
      <c r="A63" s="77"/>
      <c r="B63" s="77"/>
      <c r="C63" s="77"/>
      <c r="D63" s="77"/>
      <c r="E63" s="77"/>
      <c r="F63" s="77"/>
    </row>
    <row r="64" spans="1:6" ht="21" customHeight="1">
      <c r="A64" s="77"/>
      <c r="B64" s="77"/>
      <c r="C64" s="77"/>
      <c r="D64" s="77"/>
      <c r="E64" s="77"/>
      <c r="F64" s="77"/>
    </row>
    <row r="65" spans="1:6" ht="21" customHeight="1">
      <c r="A65" s="77"/>
      <c r="B65" s="77"/>
      <c r="C65" s="77"/>
      <c r="D65" s="77"/>
      <c r="E65" s="77"/>
      <c r="F65" s="77"/>
    </row>
    <row r="66" spans="1:6" ht="21" customHeight="1">
      <c r="A66" s="77"/>
      <c r="B66" s="77"/>
      <c r="C66" s="77"/>
      <c r="D66" s="77"/>
      <c r="E66" s="77"/>
      <c r="F66" s="77"/>
    </row>
    <row r="67" spans="1:6" ht="21" customHeight="1">
      <c r="A67" s="77"/>
      <c r="B67" s="77"/>
      <c r="C67" s="77"/>
      <c r="D67" s="77"/>
      <c r="E67" s="77"/>
      <c r="F67" s="77"/>
    </row>
    <row r="68" spans="1:6" ht="21" customHeight="1">
      <c r="A68" s="77"/>
      <c r="B68" s="77"/>
      <c r="C68" s="77"/>
      <c r="D68" s="77"/>
      <c r="E68" s="77"/>
      <c r="F68" s="77"/>
    </row>
    <row r="69" spans="1:6" ht="21" customHeight="1">
      <c r="A69" s="77"/>
      <c r="B69" s="77"/>
      <c r="C69" s="77"/>
      <c r="D69" s="77"/>
      <c r="E69" s="77"/>
      <c r="F69" s="77"/>
    </row>
    <row r="70" spans="1:6" ht="21" customHeight="1">
      <c r="A70" s="77"/>
      <c r="B70" s="77"/>
      <c r="C70" s="77"/>
      <c r="D70" s="77"/>
      <c r="E70" s="77"/>
      <c r="F70" s="77"/>
    </row>
    <row r="71" spans="1:6" ht="21" customHeight="1">
      <c r="A71" s="77"/>
      <c r="B71" s="77"/>
      <c r="C71" s="77"/>
      <c r="D71" s="77"/>
      <c r="E71" s="77"/>
      <c r="F71" s="77"/>
    </row>
    <row r="72" spans="1:6" ht="21" customHeight="1">
      <c r="A72" s="77"/>
      <c r="B72" s="77"/>
      <c r="C72" s="77"/>
      <c r="D72" s="77"/>
      <c r="E72" s="77"/>
      <c r="F72" s="77"/>
    </row>
    <row r="73" spans="1:6" ht="21" customHeight="1">
      <c r="A73" s="77"/>
      <c r="B73" s="77"/>
      <c r="C73" s="77"/>
      <c r="D73" s="77"/>
      <c r="E73" s="77"/>
      <c r="F73" s="77"/>
    </row>
    <row r="74" spans="1:6" ht="21" customHeight="1">
      <c r="A74" s="77"/>
      <c r="B74" s="77"/>
      <c r="C74" s="77"/>
      <c r="D74" s="77"/>
      <c r="E74" s="77"/>
      <c r="F74" s="77"/>
    </row>
    <row r="75" spans="1:6" ht="21" customHeight="1">
      <c r="A75" s="77"/>
      <c r="B75" s="77"/>
      <c r="C75" s="77"/>
      <c r="D75" s="77"/>
      <c r="E75" s="77"/>
      <c r="F75" s="77"/>
    </row>
    <row r="76" spans="1:6" ht="21" customHeight="1">
      <c r="A76" s="77"/>
      <c r="B76" s="77"/>
      <c r="C76" s="77"/>
      <c r="D76" s="77"/>
      <c r="E76" s="77"/>
      <c r="F76" s="77"/>
    </row>
    <row r="77" spans="1:6" ht="21" customHeight="1">
      <c r="A77" s="77"/>
      <c r="B77" s="77"/>
      <c r="C77" s="77"/>
      <c r="D77" s="77"/>
      <c r="E77" s="77"/>
      <c r="F77" s="77"/>
    </row>
    <row r="78" spans="1:6" ht="21" customHeight="1">
      <c r="A78" s="77"/>
      <c r="B78" s="77"/>
      <c r="C78" s="77"/>
      <c r="D78" s="77"/>
      <c r="E78" s="77"/>
      <c r="F78" s="77"/>
    </row>
    <row r="79" spans="1:6" ht="21" customHeight="1">
      <c r="A79" s="77"/>
      <c r="B79" s="77"/>
      <c r="C79" s="77"/>
      <c r="D79" s="77"/>
      <c r="E79" s="77"/>
      <c r="F79" s="77"/>
    </row>
    <row r="80" spans="1:6" ht="21" customHeight="1">
      <c r="A80" s="77"/>
      <c r="B80" s="77"/>
      <c r="C80" s="77"/>
      <c r="D80" s="77"/>
      <c r="E80" s="77"/>
      <c r="F80" s="77"/>
    </row>
  </sheetData>
  <mergeCells count="1">
    <mergeCell ref="A1:F1"/>
  </mergeCells>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12"/>
  <sheetViews>
    <sheetView zoomScale="120" zoomScaleNormal="120" workbookViewId="0">
      <selection activeCell="A3" sqref="A3"/>
    </sheetView>
  </sheetViews>
  <sheetFormatPr baseColWidth="10" defaultColWidth="8.83203125" defaultRowHeight="15"/>
  <cols>
    <col min="1" max="1" width="30" customWidth="1"/>
    <col min="2" max="3" width="28" customWidth="1"/>
    <col min="4" max="4" width="24" customWidth="1"/>
    <col min="5" max="6" width="28" customWidth="1"/>
  </cols>
  <sheetData>
    <row r="1" spans="1:6" ht="33.75" customHeight="1">
      <c r="A1" s="133" t="s">
        <v>1100</v>
      </c>
      <c r="B1" s="127"/>
      <c r="C1" s="127"/>
      <c r="D1" s="127"/>
      <c r="E1" s="127"/>
      <c r="F1" s="127"/>
    </row>
    <row r="2" spans="1:6" ht="21" customHeight="1">
      <c r="A2" s="87" t="s">
        <v>1101</v>
      </c>
      <c r="B2" s="84"/>
      <c r="C2" s="84"/>
      <c r="D2" s="84"/>
      <c r="E2" s="84"/>
      <c r="F2" s="84"/>
    </row>
    <row r="3" spans="1:6" ht="33.75" customHeight="1">
      <c r="A3" s="85" t="s">
        <v>281</v>
      </c>
      <c r="B3" s="85" t="s">
        <v>1102</v>
      </c>
      <c r="C3" s="85" t="s">
        <v>1103</v>
      </c>
      <c r="D3" s="85" t="s">
        <v>1104</v>
      </c>
      <c r="E3" s="85" t="s">
        <v>1105</v>
      </c>
      <c r="F3" s="85" t="s">
        <v>1106</v>
      </c>
    </row>
    <row r="4" spans="1:6" ht="21" customHeight="1">
      <c r="A4" s="84" t="s">
        <v>159</v>
      </c>
      <c r="B4" s="84" t="s">
        <v>1107</v>
      </c>
      <c r="C4" s="84" t="s">
        <v>1108</v>
      </c>
      <c r="D4" s="84" t="s">
        <v>1109</v>
      </c>
      <c r="E4" s="84" t="s">
        <v>1108</v>
      </c>
      <c r="F4" s="84" t="s">
        <v>1108</v>
      </c>
    </row>
    <row r="5" spans="1:6" ht="21" customHeight="1">
      <c r="A5" s="84" t="s">
        <v>170</v>
      </c>
      <c r="B5" s="84" t="s">
        <v>1107</v>
      </c>
      <c r="C5" s="84" t="s">
        <v>1110</v>
      </c>
      <c r="D5" s="84" t="s">
        <v>1111</v>
      </c>
      <c r="E5" s="84" t="s">
        <v>1108</v>
      </c>
      <c r="F5" s="84" t="s">
        <v>1108</v>
      </c>
    </row>
    <row r="6" spans="1:6" ht="21" customHeight="1">
      <c r="A6" s="84" t="s">
        <v>180</v>
      </c>
      <c r="B6" s="84" t="s">
        <v>1112</v>
      </c>
      <c r="C6" s="84" t="s">
        <v>1113</v>
      </c>
      <c r="D6" s="84" t="s">
        <v>1114</v>
      </c>
      <c r="E6" s="84" t="s">
        <v>1108</v>
      </c>
      <c r="F6" s="84" t="s">
        <v>1108</v>
      </c>
    </row>
    <row r="7" spans="1:6" ht="21" customHeight="1">
      <c r="A7" s="84" t="s">
        <v>191</v>
      </c>
      <c r="B7" s="84" t="s">
        <v>1107</v>
      </c>
      <c r="C7" s="84" t="s">
        <v>1115</v>
      </c>
      <c r="D7" s="84" t="s">
        <v>1116</v>
      </c>
      <c r="E7" s="84" t="s">
        <v>1108</v>
      </c>
      <c r="F7" s="84" t="s">
        <v>1108</v>
      </c>
    </row>
    <row r="8" spans="1:6" ht="21" customHeight="1">
      <c r="A8" s="84" t="s">
        <v>202</v>
      </c>
      <c r="B8" s="84" t="s">
        <v>1117</v>
      </c>
      <c r="C8" s="84" t="s">
        <v>1118</v>
      </c>
      <c r="D8" s="84" t="s">
        <v>1119</v>
      </c>
      <c r="E8" s="84" t="s">
        <v>1108</v>
      </c>
      <c r="F8" s="84" t="s">
        <v>1108</v>
      </c>
    </row>
    <row r="9" spans="1:6" ht="21" customHeight="1">
      <c r="A9" s="84" t="s">
        <v>212</v>
      </c>
      <c r="B9" s="84" t="s">
        <v>1120</v>
      </c>
      <c r="C9" s="84" t="s">
        <v>1121</v>
      </c>
      <c r="D9" s="84" t="s">
        <v>1122</v>
      </c>
      <c r="E9" s="84" t="s">
        <v>1108</v>
      </c>
      <c r="F9" s="84" t="s">
        <v>1108</v>
      </c>
    </row>
    <row r="10" spans="1:6" ht="21" customHeight="1">
      <c r="A10" s="84"/>
      <c r="B10" s="84"/>
      <c r="C10" s="84"/>
      <c r="D10" s="84"/>
      <c r="E10" s="84"/>
      <c r="F10" s="84"/>
    </row>
    <row r="11" spans="1:6" ht="21" customHeight="1">
      <c r="A11" t="s">
        <v>1123</v>
      </c>
      <c r="B11" t="s">
        <v>1124</v>
      </c>
      <c r="C11" s="84"/>
      <c r="D11" s="84"/>
      <c r="E11" s="84"/>
      <c r="F11" s="84"/>
    </row>
    <row r="12" spans="1:6" ht="21" customHeight="1">
      <c r="A12" t="s">
        <v>1123</v>
      </c>
      <c r="B12" t="s">
        <v>1125</v>
      </c>
      <c r="C12" s="84"/>
      <c r="D12" s="84"/>
      <c r="E12" s="84"/>
      <c r="F12" s="84"/>
    </row>
  </sheetData>
  <mergeCells count="1">
    <mergeCell ref="A1:F1"/>
  </mergeCells>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AA68"/>
  <sheetViews>
    <sheetView topLeftCell="A48" zoomScale="120" zoomScaleNormal="120" workbookViewId="0">
      <selection activeCell="B73" sqref="B73"/>
    </sheetView>
  </sheetViews>
  <sheetFormatPr baseColWidth="10" defaultColWidth="5.83203125" defaultRowHeight="15"/>
  <cols>
    <col min="2" max="3" width="5.83203125" style="94" customWidth="1"/>
  </cols>
  <sheetData>
    <row r="2" spans="2:27">
      <c r="B2" s="94" t="s">
        <v>1126</v>
      </c>
    </row>
    <row r="3" spans="2:27" s="94" customFormat="1">
      <c r="B3" s="94" t="s">
        <v>1127</v>
      </c>
      <c r="D3" s="94" t="s">
        <v>1128</v>
      </c>
      <c r="E3" s="94" t="s">
        <v>1129</v>
      </c>
      <c r="F3" s="94" t="s">
        <v>1130</v>
      </c>
      <c r="G3" s="94" t="s">
        <v>1131</v>
      </c>
      <c r="H3" s="94" t="s">
        <v>1132</v>
      </c>
      <c r="I3" s="94" t="s">
        <v>1133</v>
      </c>
      <c r="J3" s="94" t="s">
        <v>1134</v>
      </c>
      <c r="K3" s="94" t="s">
        <v>1132</v>
      </c>
      <c r="L3" s="95" t="s">
        <v>1132</v>
      </c>
      <c r="M3" s="94" t="s">
        <v>1135</v>
      </c>
      <c r="T3" s="95"/>
    </row>
    <row r="4" spans="2:27" s="94" customFormat="1">
      <c r="B4" s="94" t="s">
        <v>1136</v>
      </c>
      <c r="L4" s="95"/>
      <c r="T4" s="95"/>
    </row>
    <row r="5" spans="2:27" s="94" customFormat="1">
      <c r="B5" s="94" t="s">
        <v>1137</v>
      </c>
      <c r="L5" s="95"/>
      <c r="T5" s="95"/>
    </row>
    <row r="6" spans="2:27">
      <c r="B6" s="94" t="s">
        <v>1138</v>
      </c>
      <c r="D6">
        <v>2</v>
      </c>
      <c r="E6">
        <v>7</v>
      </c>
      <c r="F6">
        <v>1</v>
      </c>
      <c r="G6">
        <v>2</v>
      </c>
      <c r="H6">
        <v>1</v>
      </c>
      <c r="I6">
        <v>9</v>
      </c>
      <c r="J6">
        <v>6</v>
      </c>
      <c r="K6">
        <v>1</v>
      </c>
      <c r="L6" s="89" t="s">
        <v>1139</v>
      </c>
      <c r="M6" s="96">
        <f>IF(LEN(O6)=1,O6,SUM(LEFT(O6,1),RIGHT(O6,1)))</f>
        <v>2</v>
      </c>
      <c r="O6" s="93">
        <f>SUM(LEFT(P6,1),RIGHT(P6,1))</f>
        <v>11</v>
      </c>
      <c r="P6">
        <f>SUM(D6:K6)</f>
        <v>29</v>
      </c>
      <c r="Q6" s="92" t="str">
        <f>LEFT(P6,1)</f>
        <v>2</v>
      </c>
      <c r="R6" s="92" t="str">
        <f>RIGHT(P6,1)</f>
        <v>9</v>
      </c>
    </row>
    <row r="7" spans="2:27">
      <c r="K7" s="91" t="s">
        <v>1134</v>
      </c>
      <c r="L7" s="89" t="s">
        <v>1139</v>
      </c>
      <c r="M7" s="97" t="str">
        <f>CONCATENATE(D6,E6)</f>
        <v>27</v>
      </c>
      <c r="P7" s="90"/>
    </row>
    <row r="8" spans="2:27">
      <c r="K8" s="91" t="s">
        <v>1140</v>
      </c>
      <c r="L8" s="89" t="s">
        <v>1139</v>
      </c>
      <c r="M8" s="97" t="str">
        <f>CONCATENATE(F6,G6)</f>
        <v>12</v>
      </c>
    </row>
    <row r="9" spans="2:27">
      <c r="K9" s="91" t="s">
        <v>1141</v>
      </c>
      <c r="L9" s="89" t="s">
        <v>1139</v>
      </c>
      <c r="M9" s="97">
        <f>P6</f>
        <v>29</v>
      </c>
    </row>
    <row r="11" spans="2:27">
      <c r="B11" s="94" t="s">
        <v>1126</v>
      </c>
    </row>
    <row r="12" spans="2:27" s="94" customFormat="1">
      <c r="B12" s="94" t="s">
        <v>1127</v>
      </c>
      <c r="D12" s="94" t="s">
        <v>1142</v>
      </c>
      <c r="E12" s="94" t="s">
        <v>1143</v>
      </c>
      <c r="F12" s="94" t="s">
        <v>1144</v>
      </c>
      <c r="G12" s="94" t="s">
        <v>1143</v>
      </c>
      <c r="H12" s="94" t="s">
        <v>1145</v>
      </c>
      <c r="J12" s="94" t="s">
        <v>1146</v>
      </c>
      <c r="K12" s="94" t="s">
        <v>1145</v>
      </c>
      <c r="L12" s="94" t="s">
        <v>1130</v>
      </c>
      <c r="M12" s="95" t="s">
        <v>1143</v>
      </c>
      <c r="N12" s="94" t="s">
        <v>1145</v>
      </c>
      <c r="O12" s="94" t="s">
        <v>1147</v>
      </c>
      <c r="P12" s="94" t="s">
        <v>1147</v>
      </c>
      <c r="Q12" s="94" t="s">
        <v>1145</v>
      </c>
      <c r="S12" s="94" t="s">
        <v>1148</v>
      </c>
      <c r="T12" s="94" t="s">
        <v>1130</v>
      </c>
      <c r="U12" s="94" t="s">
        <v>1132</v>
      </c>
      <c r="V12" s="95" t="s">
        <v>1131</v>
      </c>
      <c r="W12" s="94" t="s">
        <v>1129</v>
      </c>
      <c r="X12" s="94" t="s">
        <v>1149</v>
      </c>
      <c r="Y12" s="94" t="s">
        <v>1150</v>
      </c>
      <c r="Z12" s="94" t="s">
        <v>1148</v>
      </c>
      <c r="AA12" s="94" t="s">
        <v>1145</v>
      </c>
    </row>
    <row r="13" spans="2:27" s="94" customFormat="1">
      <c r="B13" s="94" t="s">
        <v>1136</v>
      </c>
      <c r="L13" s="95"/>
      <c r="T13" s="95"/>
    </row>
    <row r="14" spans="2:27" s="94" customFormat="1">
      <c r="B14" s="94" t="s">
        <v>1137</v>
      </c>
      <c r="L14" s="95"/>
      <c r="T14" s="95"/>
    </row>
    <row r="15" spans="2:27">
      <c r="B15" s="94" t="s">
        <v>1138</v>
      </c>
      <c r="D15">
        <v>2</v>
      </c>
      <c r="E15">
        <v>7</v>
      </c>
      <c r="F15">
        <v>1</v>
      </c>
      <c r="G15">
        <v>2</v>
      </c>
      <c r="H15">
        <v>1</v>
      </c>
      <c r="I15">
        <v>9</v>
      </c>
      <c r="J15">
        <v>6</v>
      </c>
      <c r="K15">
        <v>1</v>
      </c>
      <c r="L15" s="89" t="s">
        <v>1139</v>
      </c>
      <c r="M15" s="96">
        <f>IF(LEN(O15)=1,O15,SUM(LEFT(O15,1),RIGHT(O15,1)))</f>
        <v>2</v>
      </c>
      <c r="O15" s="93">
        <f>SUM(LEFT(P15,1),RIGHT(P15,1))</f>
        <v>11</v>
      </c>
      <c r="P15">
        <f>SUM(D15:K15)</f>
        <v>29</v>
      </c>
      <c r="Q15" s="92" t="str">
        <f>LEFT(P15,1)</f>
        <v>2</v>
      </c>
      <c r="R15" s="92" t="str">
        <f>RIGHT(P15,1)</f>
        <v>9</v>
      </c>
    </row>
    <row r="16" spans="2:27">
      <c r="K16" s="91" t="s">
        <v>1134</v>
      </c>
      <c r="L16" s="89" t="s">
        <v>1139</v>
      </c>
      <c r="M16" s="97" t="str">
        <f>CONCATENATE(D15,E15)</f>
        <v>27</v>
      </c>
      <c r="P16" s="90"/>
    </row>
    <row r="17" spans="2:23">
      <c r="K17" s="91" t="s">
        <v>1140</v>
      </c>
      <c r="L17" s="89" t="s">
        <v>1139</v>
      </c>
      <c r="M17" s="97" t="str">
        <f>CONCATENATE(F15,G15)</f>
        <v>12</v>
      </c>
    </row>
    <row r="18" spans="2:23">
      <c r="K18" s="91" t="s">
        <v>1141</v>
      </c>
      <c r="L18" s="89" t="s">
        <v>1139</v>
      </c>
      <c r="M18" s="97">
        <f>P15</f>
        <v>29</v>
      </c>
    </row>
    <row r="19" spans="2:23">
      <c r="K19" s="91"/>
      <c r="L19" s="89"/>
      <c r="M19" s="92"/>
    </row>
    <row r="20" spans="2:23">
      <c r="B20" s="94" t="s">
        <v>1126</v>
      </c>
      <c r="K20" s="91"/>
      <c r="L20" s="89"/>
      <c r="M20" s="92"/>
    </row>
    <row r="21" spans="2:23" s="94" customFormat="1">
      <c r="B21" s="94" t="s">
        <v>1127</v>
      </c>
      <c r="D21" s="94" t="s">
        <v>1146</v>
      </c>
      <c r="E21" s="94" t="s">
        <v>1145</v>
      </c>
      <c r="F21" s="94" t="s">
        <v>1151</v>
      </c>
      <c r="G21" s="94" t="s">
        <v>1143</v>
      </c>
      <c r="H21" s="94" t="s">
        <v>1132</v>
      </c>
      <c r="I21" s="94" t="s">
        <v>1152</v>
      </c>
      <c r="K21" s="94" t="s">
        <v>1152</v>
      </c>
      <c r="L21" s="94" t="s">
        <v>1132</v>
      </c>
      <c r="M21" s="94" t="s">
        <v>1130</v>
      </c>
      <c r="N21" s="94" t="s">
        <v>1153</v>
      </c>
      <c r="O21" s="94" t="s">
        <v>1154</v>
      </c>
      <c r="Q21" s="94" t="s">
        <v>1150</v>
      </c>
      <c r="R21" s="94" t="s">
        <v>1153</v>
      </c>
      <c r="S21" s="94" t="s">
        <v>1151</v>
      </c>
      <c r="T21" s="94" t="s">
        <v>1153</v>
      </c>
      <c r="U21" s="94" t="s">
        <v>1132</v>
      </c>
      <c r="V21" s="94" t="s">
        <v>1151</v>
      </c>
      <c r="W21" s="94" t="s">
        <v>1155</v>
      </c>
    </row>
    <row r="22" spans="2:23" s="94" customFormat="1">
      <c r="B22" s="94" t="s">
        <v>1136</v>
      </c>
    </row>
    <row r="23" spans="2:23" s="94" customFormat="1">
      <c r="B23" s="94" t="s">
        <v>1137</v>
      </c>
    </row>
    <row r="24" spans="2:23">
      <c r="B24" s="94" t="s">
        <v>1138</v>
      </c>
      <c r="D24">
        <v>1</v>
      </c>
      <c r="E24">
        <v>1</v>
      </c>
      <c r="F24">
        <v>0</v>
      </c>
      <c r="G24">
        <v>4</v>
      </c>
      <c r="H24">
        <v>1</v>
      </c>
      <c r="I24">
        <v>9</v>
      </c>
      <c r="J24">
        <v>6</v>
      </c>
      <c r="K24">
        <v>8</v>
      </c>
      <c r="L24" s="89" t="s">
        <v>1139</v>
      </c>
      <c r="M24" s="96">
        <f>IF(LEN(O24)=1,O24,SUM(LEFT(O24,1),RIGHT(O24,1)))</f>
        <v>3</v>
      </c>
      <c r="O24" s="93">
        <f>SUM(LEFT(P24,1),RIGHT(P24,1))</f>
        <v>3</v>
      </c>
      <c r="P24">
        <f>SUM(D24:K24)</f>
        <v>30</v>
      </c>
      <c r="Q24" s="92" t="str">
        <f>LEFT(P24,1)</f>
        <v>3</v>
      </c>
      <c r="R24" s="92" t="str">
        <f>RIGHT(P24,1)</f>
        <v>0</v>
      </c>
    </row>
    <row r="25" spans="2:23">
      <c r="K25" s="91" t="s">
        <v>1134</v>
      </c>
      <c r="L25" s="89" t="s">
        <v>1139</v>
      </c>
      <c r="M25" s="97" t="str">
        <f>CONCATENATE(D24,E24)</f>
        <v>11</v>
      </c>
    </row>
    <row r="26" spans="2:23">
      <c r="K26" s="91" t="s">
        <v>1140</v>
      </c>
      <c r="L26" s="89" t="s">
        <v>1139</v>
      </c>
      <c r="M26" s="97" t="str">
        <f>CONCATENATE(F24,G24)</f>
        <v>04</v>
      </c>
    </row>
    <row r="27" spans="2:23">
      <c r="K27" s="91" t="s">
        <v>1141</v>
      </c>
      <c r="L27" s="89" t="s">
        <v>1139</v>
      </c>
      <c r="M27" s="97">
        <f>P24</f>
        <v>30</v>
      </c>
    </row>
    <row r="28" spans="2:23">
      <c r="K28" s="91"/>
      <c r="L28" s="89"/>
      <c r="M28" s="92"/>
    </row>
    <row r="29" spans="2:23">
      <c r="B29" s="94" t="s">
        <v>1126</v>
      </c>
    </row>
    <row r="30" spans="2:23" s="94" customFormat="1">
      <c r="B30" s="94" t="s">
        <v>1127</v>
      </c>
      <c r="D30" s="94" t="s">
        <v>1146</v>
      </c>
      <c r="E30" s="94" t="s">
        <v>1145</v>
      </c>
      <c r="F30" s="94" t="s">
        <v>1130</v>
      </c>
      <c r="G30" s="94" t="s">
        <v>1151</v>
      </c>
      <c r="H30" s="94" t="s">
        <v>1143</v>
      </c>
      <c r="I30" s="94" t="s">
        <v>1147</v>
      </c>
      <c r="K30" s="94" t="s">
        <v>1152</v>
      </c>
      <c r="L30" s="94" t="s">
        <v>1145</v>
      </c>
      <c r="M30" s="94" t="s">
        <v>1147</v>
      </c>
      <c r="O30" s="94" t="s">
        <v>1148</v>
      </c>
      <c r="P30" s="94" t="s">
        <v>1130</v>
      </c>
      <c r="Q30" s="94" t="s">
        <v>1132</v>
      </c>
      <c r="R30" s="94" t="s">
        <v>1131</v>
      </c>
      <c r="S30" s="94" t="s">
        <v>1129</v>
      </c>
      <c r="T30" s="94" t="s">
        <v>1149</v>
      </c>
      <c r="U30" s="94" t="s">
        <v>1150</v>
      </c>
      <c r="V30" s="94" t="s">
        <v>1148</v>
      </c>
      <c r="W30" s="94" t="s">
        <v>1143</v>
      </c>
    </row>
    <row r="31" spans="2:23" s="94" customFormat="1">
      <c r="B31" s="94" t="s">
        <v>1136</v>
      </c>
    </row>
    <row r="32" spans="2:23" s="94" customFormat="1">
      <c r="B32" s="94" t="s">
        <v>1137</v>
      </c>
    </row>
    <row r="33" spans="2:26">
      <c r="B33" s="94" t="s">
        <v>1138</v>
      </c>
      <c r="D33">
        <v>0</v>
      </c>
      <c r="E33">
        <v>4</v>
      </c>
      <c r="F33">
        <v>1</v>
      </c>
      <c r="G33">
        <v>0</v>
      </c>
      <c r="H33">
        <v>1</v>
      </c>
      <c r="I33">
        <v>9</v>
      </c>
      <c r="J33">
        <v>7</v>
      </c>
      <c r="K33">
        <v>9</v>
      </c>
      <c r="L33" s="89" t="s">
        <v>1139</v>
      </c>
      <c r="M33" s="96">
        <f>IF(LEN(O33)=1,O33,SUM(LEFT(O33,1),RIGHT(O33,1)))</f>
        <v>4</v>
      </c>
      <c r="O33" s="93">
        <f>SUM(LEFT(P33,1),RIGHT(P33,1))</f>
        <v>4</v>
      </c>
      <c r="P33">
        <f>SUM(D33:K33)</f>
        <v>31</v>
      </c>
      <c r="Q33" s="92" t="str">
        <f>LEFT(P33,1)</f>
        <v>3</v>
      </c>
      <c r="R33" s="92" t="str">
        <f>RIGHT(P33,1)</f>
        <v>1</v>
      </c>
    </row>
    <row r="34" spans="2:26">
      <c r="K34" s="91" t="s">
        <v>1134</v>
      </c>
      <c r="L34" s="89" t="s">
        <v>1139</v>
      </c>
      <c r="M34" s="97" t="str">
        <f>CONCATENATE(D33,E33)</f>
        <v>04</v>
      </c>
    </row>
    <row r="35" spans="2:26">
      <c r="K35" s="91" t="s">
        <v>1140</v>
      </c>
      <c r="L35" s="89" t="s">
        <v>1139</v>
      </c>
      <c r="M35" s="97" t="str">
        <f>CONCATENATE(F33,G33)</f>
        <v>10</v>
      </c>
    </row>
    <row r="36" spans="2:26">
      <c r="K36" s="91" t="s">
        <v>1141</v>
      </c>
      <c r="L36" s="89" t="s">
        <v>1139</v>
      </c>
      <c r="M36" s="97">
        <f>P33</f>
        <v>31</v>
      </c>
    </row>
    <row r="37" spans="2:26">
      <c r="K37" s="91"/>
      <c r="L37" s="89"/>
      <c r="M37" s="92"/>
    </row>
    <row r="38" spans="2:26">
      <c r="B38" s="94" t="s">
        <v>1126</v>
      </c>
      <c r="K38" s="91"/>
      <c r="L38" s="89"/>
      <c r="M38" s="92"/>
    </row>
    <row r="39" spans="2:26" s="94" customFormat="1">
      <c r="B39" s="94" t="s">
        <v>1127</v>
      </c>
      <c r="D39" s="94" t="s">
        <v>1152</v>
      </c>
      <c r="E39" s="94" t="s">
        <v>1156</v>
      </c>
      <c r="F39" s="94" t="s">
        <v>1150</v>
      </c>
      <c r="G39" s="94" t="s">
        <v>1131</v>
      </c>
      <c r="H39" s="94" t="s">
        <v>1154</v>
      </c>
      <c r="I39" s="94" t="s">
        <v>1147</v>
      </c>
      <c r="J39" s="94" t="s">
        <v>1145</v>
      </c>
      <c r="K39" s="94" t="s">
        <v>291</v>
      </c>
      <c r="L39" s="94" t="s">
        <v>1157</v>
      </c>
      <c r="M39" s="94" t="s">
        <v>1129</v>
      </c>
      <c r="N39" s="94" t="s">
        <v>1153</v>
      </c>
      <c r="O39" s="94" t="s">
        <v>1132</v>
      </c>
      <c r="P39" s="94" t="s">
        <v>1147</v>
      </c>
      <c r="Q39" s="94" t="s">
        <v>1145</v>
      </c>
      <c r="R39" s="94" t="s">
        <v>291</v>
      </c>
      <c r="S39" s="94" t="s">
        <v>1153</v>
      </c>
      <c r="T39" s="94" t="s">
        <v>1145</v>
      </c>
      <c r="U39" s="94" t="s">
        <v>1149</v>
      </c>
      <c r="V39" s="94" t="s">
        <v>1145</v>
      </c>
      <c r="W39" s="94" t="s">
        <v>1144</v>
      </c>
      <c r="X39" s="94" t="s">
        <v>1153</v>
      </c>
      <c r="Y39" s="94" t="s">
        <v>1148</v>
      </c>
      <c r="Z39" s="94" t="s">
        <v>1145</v>
      </c>
    </row>
    <row r="40" spans="2:26" s="94" customFormat="1">
      <c r="B40" s="94" t="s">
        <v>1136</v>
      </c>
    </row>
    <row r="41" spans="2:26" s="94" customFormat="1">
      <c r="B41" s="94" t="s">
        <v>1137</v>
      </c>
    </row>
    <row r="42" spans="2:26">
      <c r="B42" s="94" t="s">
        <v>1138</v>
      </c>
      <c r="D42">
        <v>1</v>
      </c>
      <c r="E42">
        <v>6</v>
      </c>
      <c r="F42">
        <v>1</v>
      </c>
      <c r="G42">
        <v>1</v>
      </c>
      <c r="H42">
        <v>1</v>
      </c>
      <c r="I42">
        <v>9</v>
      </c>
      <c r="J42">
        <v>8</v>
      </c>
      <c r="K42">
        <v>2</v>
      </c>
      <c r="L42" s="89" t="s">
        <v>1139</v>
      </c>
      <c r="M42" s="96">
        <f>IF(LEN(O42)=1,O42,SUM(LEFT(O42,1),RIGHT(O42,1)))</f>
        <v>2</v>
      </c>
      <c r="O42" s="93">
        <f>SUM(LEFT(P42,1),RIGHT(P42,1))</f>
        <v>11</v>
      </c>
      <c r="P42">
        <f>SUM(D42:K42)</f>
        <v>29</v>
      </c>
      <c r="Q42" s="92" t="str">
        <f>LEFT(P42,1)</f>
        <v>2</v>
      </c>
      <c r="R42" s="92" t="str">
        <f>RIGHT(P42,1)</f>
        <v>9</v>
      </c>
    </row>
    <row r="43" spans="2:26">
      <c r="K43" s="91" t="s">
        <v>1134</v>
      </c>
      <c r="L43" s="89" t="s">
        <v>1139</v>
      </c>
      <c r="M43" s="97" t="str">
        <f>CONCATENATE(D42,E42)</f>
        <v>16</v>
      </c>
    </row>
    <row r="44" spans="2:26">
      <c r="K44" s="91" t="s">
        <v>1140</v>
      </c>
      <c r="L44" s="89" t="s">
        <v>1139</v>
      </c>
      <c r="M44" s="97" t="str">
        <f>CONCATENATE(F42,G42)</f>
        <v>11</v>
      </c>
    </row>
    <row r="45" spans="2:26">
      <c r="K45" s="91" t="s">
        <v>1141</v>
      </c>
      <c r="L45" s="89" t="s">
        <v>1139</v>
      </c>
      <c r="M45" s="97">
        <f>P42</f>
        <v>29</v>
      </c>
    </row>
    <row r="46" spans="2:26">
      <c r="K46" s="91"/>
      <c r="L46" s="89"/>
      <c r="M46" s="92"/>
    </row>
    <row r="47" spans="2:26">
      <c r="B47" s="94" t="s">
        <v>1126</v>
      </c>
      <c r="K47" s="91"/>
      <c r="L47" s="89"/>
      <c r="M47" s="92"/>
    </row>
    <row r="48" spans="2:26" s="94" customFormat="1">
      <c r="B48" s="94" t="s">
        <v>1127</v>
      </c>
      <c r="D48" s="94" t="s">
        <v>1150</v>
      </c>
      <c r="E48" s="94" t="s">
        <v>1131</v>
      </c>
      <c r="F48" s="94" t="s">
        <v>1132</v>
      </c>
      <c r="G48" s="94" t="s">
        <v>1158</v>
      </c>
      <c r="H48" s="94" t="s">
        <v>1145</v>
      </c>
      <c r="I48" s="94" t="s">
        <v>1147</v>
      </c>
      <c r="K48" s="94" t="s">
        <v>1146</v>
      </c>
      <c r="L48" s="94" t="s">
        <v>1145</v>
      </c>
      <c r="M48" s="94" t="s">
        <v>1130</v>
      </c>
      <c r="N48" s="94" t="s">
        <v>1151</v>
      </c>
      <c r="O48" s="94" t="s">
        <v>1143</v>
      </c>
      <c r="P48" s="94" t="s">
        <v>1147</v>
      </c>
      <c r="Q48" s="94" t="s">
        <v>291</v>
      </c>
      <c r="R48" s="94" t="s">
        <v>1148</v>
      </c>
      <c r="S48" s="94" t="s">
        <v>1130</v>
      </c>
      <c r="T48" s="94" t="s">
        <v>1132</v>
      </c>
      <c r="U48" s="94" t="s">
        <v>1131</v>
      </c>
      <c r="V48" s="94" t="s">
        <v>1129</v>
      </c>
      <c r="W48" s="94" t="s">
        <v>1149</v>
      </c>
      <c r="X48" s="94" t="s">
        <v>1150</v>
      </c>
      <c r="Y48" s="94" t="s">
        <v>1148</v>
      </c>
      <c r="Z48" s="94" t="s">
        <v>1143</v>
      </c>
    </row>
    <row r="49" spans="2:18" s="94" customFormat="1">
      <c r="B49" s="94" t="s">
        <v>1136</v>
      </c>
    </row>
    <row r="50" spans="2:18" s="94" customFormat="1">
      <c r="B50" s="94" t="s">
        <v>1137</v>
      </c>
    </row>
    <row r="51" spans="2:18">
      <c r="B51" s="94" t="s">
        <v>1138</v>
      </c>
      <c r="D51">
        <v>1</v>
      </c>
      <c r="E51">
        <v>2</v>
      </c>
      <c r="F51">
        <v>0</v>
      </c>
      <c r="G51">
        <v>9</v>
      </c>
      <c r="H51">
        <v>2</v>
      </c>
      <c r="I51">
        <v>0</v>
      </c>
      <c r="J51">
        <v>2</v>
      </c>
      <c r="K51">
        <v>3</v>
      </c>
      <c r="L51" s="89" t="s">
        <v>1139</v>
      </c>
      <c r="M51" s="96">
        <f>IF(LEN(O51)=1,O51,SUM(LEFT(O51,1),RIGHT(O51,1)))</f>
        <v>1</v>
      </c>
      <c r="O51" s="93">
        <f>SUM(LEFT(P51,1),RIGHT(P51,1))</f>
        <v>10</v>
      </c>
      <c r="P51">
        <f>SUM(D51:K51)</f>
        <v>19</v>
      </c>
      <c r="Q51" s="92" t="str">
        <f>LEFT(P51,1)</f>
        <v>1</v>
      </c>
      <c r="R51" s="92" t="str">
        <f>RIGHT(P51,1)</f>
        <v>9</v>
      </c>
    </row>
    <row r="52" spans="2:18">
      <c r="K52" s="91" t="s">
        <v>1134</v>
      </c>
      <c r="L52" s="89" t="s">
        <v>1139</v>
      </c>
      <c r="M52" s="97" t="str">
        <f>CONCATENATE(D51,E51)</f>
        <v>12</v>
      </c>
    </row>
    <row r="53" spans="2:18">
      <c r="K53" s="91" t="s">
        <v>1140</v>
      </c>
      <c r="L53" s="89" t="s">
        <v>1139</v>
      </c>
      <c r="M53" s="97" t="str">
        <f>CONCATENATE(F51,G51)</f>
        <v>09</v>
      </c>
    </row>
    <row r="54" spans="2:18">
      <c r="K54" s="91" t="s">
        <v>1141</v>
      </c>
      <c r="L54" s="89" t="s">
        <v>1139</v>
      </c>
      <c r="M54" s="97">
        <f>P51</f>
        <v>19</v>
      </c>
    </row>
    <row r="55" spans="2:18">
      <c r="K55" s="91"/>
      <c r="L55" s="89"/>
      <c r="M55" s="92"/>
    </row>
    <row r="56" spans="2:18">
      <c r="K56" s="91"/>
      <c r="L56" s="89"/>
      <c r="M56" s="92"/>
    </row>
    <row r="57" spans="2:18">
      <c r="K57" s="91"/>
      <c r="L57" s="89"/>
      <c r="M57" s="92"/>
    </row>
    <row r="58" spans="2:18">
      <c r="K58" s="91"/>
      <c r="L58" s="89"/>
      <c r="M58" s="92"/>
    </row>
    <row r="59" spans="2:18">
      <c r="K59" s="91"/>
      <c r="L59" s="89"/>
      <c r="M59" s="92"/>
    </row>
    <row r="60" spans="2:18">
      <c r="B60" s="87" t="s">
        <v>1159</v>
      </c>
      <c r="C60" s="87"/>
      <c r="D60" s="90"/>
      <c r="H60" s="90" t="s">
        <v>1160</v>
      </c>
      <c r="K60" s="90" t="s">
        <v>1161</v>
      </c>
    </row>
    <row r="61" spans="2:18">
      <c r="D61" s="98">
        <v>1</v>
      </c>
      <c r="E61" s="98">
        <v>2</v>
      </c>
      <c r="F61" s="98">
        <v>3</v>
      </c>
      <c r="G61" s="98">
        <v>4</v>
      </c>
      <c r="H61" s="98">
        <v>5</v>
      </c>
      <c r="I61" s="98">
        <v>6</v>
      </c>
      <c r="J61" s="98">
        <v>7</v>
      </c>
      <c r="K61" s="98">
        <v>8</v>
      </c>
      <c r="L61" s="98">
        <v>9</v>
      </c>
    </row>
    <row r="62" spans="2:18">
      <c r="D62" s="91" t="s">
        <v>553</v>
      </c>
      <c r="E62" s="91" t="s">
        <v>1162</v>
      </c>
      <c r="F62" s="91" t="s">
        <v>1163</v>
      </c>
      <c r="G62" s="91" t="s">
        <v>1134</v>
      </c>
      <c r="H62" s="91" t="s">
        <v>1164</v>
      </c>
      <c r="I62" s="91" t="s">
        <v>1165</v>
      </c>
      <c r="J62" s="91" t="s">
        <v>1166</v>
      </c>
      <c r="K62" s="91" t="s">
        <v>1167</v>
      </c>
      <c r="L62" s="91" t="s">
        <v>1168</v>
      </c>
    </row>
    <row r="63" spans="2:18">
      <c r="D63" s="91" t="s">
        <v>1169</v>
      </c>
      <c r="E63" s="91" t="s">
        <v>1170</v>
      </c>
      <c r="F63" s="91" t="s">
        <v>1171</v>
      </c>
      <c r="G63" s="91" t="s">
        <v>1140</v>
      </c>
      <c r="H63" s="91" t="s">
        <v>1172</v>
      </c>
      <c r="I63" s="91" t="s">
        <v>1173</v>
      </c>
      <c r="J63" s="91" t="s">
        <v>1174</v>
      </c>
      <c r="K63" s="91" t="s">
        <v>551</v>
      </c>
      <c r="L63" s="91" t="s">
        <v>1175</v>
      </c>
    </row>
    <row r="64" spans="2:18">
      <c r="D64" s="91" t="s">
        <v>1176</v>
      </c>
      <c r="E64" s="91" t="s">
        <v>1177</v>
      </c>
      <c r="F64" s="91" t="s">
        <v>1178</v>
      </c>
      <c r="G64" s="91" t="s">
        <v>1128</v>
      </c>
      <c r="H64" s="91" t="s">
        <v>1179</v>
      </c>
      <c r="I64" s="91" t="s">
        <v>1180</v>
      </c>
      <c r="J64" s="91" t="s">
        <v>1181</v>
      </c>
      <c r="K64" s="91" t="s">
        <v>1182</v>
      </c>
      <c r="L64" s="92"/>
    </row>
    <row r="66" spans="2:4">
      <c r="B66" s="94" t="s">
        <v>1126</v>
      </c>
      <c r="D66" s="90" t="s">
        <v>1183</v>
      </c>
    </row>
    <row r="67" spans="2:4">
      <c r="B67" s="94" t="s">
        <v>1136</v>
      </c>
      <c r="D67" s="90" t="s">
        <v>1184</v>
      </c>
    </row>
    <row r="68" spans="2:4">
      <c r="B68" s="94" t="s">
        <v>1137</v>
      </c>
      <c r="D68" s="90" t="s">
        <v>1185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I142"/>
  <sheetViews>
    <sheetView topLeftCell="A114" zoomScale="120" zoomScaleNormal="120" workbookViewId="0">
      <selection activeCell="B143" sqref="B143"/>
    </sheetView>
  </sheetViews>
  <sheetFormatPr baseColWidth="10" defaultColWidth="5.83203125" defaultRowHeight="15"/>
  <sheetData>
    <row r="2" spans="2:9">
      <c r="B2">
        <v>0</v>
      </c>
      <c r="C2">
        <v>6</v>
      </c>
      <c r="D2">
        <v>0</v>
      </c>
      <c r="E2">
        <v>6</v>
      </c>
      <c r="F2">
        <v>2</v>
      </c>
      <c r="G2">
        <v>0</v>
      </c>
      <c r="H2">
        <v>2</v>
      </c>
      <c r="I2">
        <v>6</v>
      </c>
    </row>
    <row r="5" spans="2:9" ht="17" customHeight="1">
      <c r="B5" s="101" t="s">
        <v>1186</v>
      </c>
    </row>
    <row r="7" spans="2:9" ht="17" customHeight="1">
      <c r="B7" s="102" t="s">
        <v>1187</v>
      </c>
    </row>
    <row r="8" spans="2:9" ht="17" customHeight="1">
      <c r="B8" s="102" t="s">
        <v>1188</v>
      </c>
    </row>
    <row r="9" spans="2:9" ht="17" customHeight="1">
      <c r="B9" s="102" t="s">
        <v>1189</v>
      </c>
    </row>
    <row r="10" spans="2:9" ht="17" customHeight="1">
      <c r="B10" s="102" t="s">
        <v>1190</v>
      </c>
    </row>
    <row r="12" spans="2:9" ht="17" customHeight="1">
      <c r="B12" s="102" t="s">
        <v>1191</v>
      </c>
    </row>
    <row r="13" spans="2:9" ht="17" customHeight="1">
      <c r="B13" s="102" t="s">
        <v>1192</v>
      </c>
    </row>
    <row r="14" spans="2:9" ht="17" customHeight="1">
      <c r="B14" s="102" t="s">
        <v>1193</v>
      </c>
    </row>
    <row r="15" spans="2:9" ht="17" customHeight="1">
      <c r="B15" s="102" t="s">
        <v>1194</v>
      </c>
    </row>
    <row r="16" spans="2:9" ht="17" customHeight="1">
      <c r="B16" s="101" t="s">
        <v>1195</v>
      </c>
    </row>
    <row r="20" spans="2:2" ht="17" customHeight="1">
      <c r="B20" s="102" t="s">
        <v>1196</v>
      </c>
    </row>
    <row r="21" spans="2:2" ht="17" customHeight="1">
      <c r="B21" s="102" t="s">
        <v>1197</v>
      </c>
    </row>
    <row r="22" spans="2:2" ht="17" customHeight="1">
      <c r="B22" s="102" t="s">
        <v>1198</v>
      </c>
    </row>
    <row r="24" spans="2:2" ht="17" customHeight="1">
      <c r="B24" s="102" t="s">
        <v>1199</v>
      </c>
    </row>
    <row r="25" spans="2:2" ht="17" customHeight="1">
      <c r="B25" s="101" t="s">
        <v>1200</v>
      </c>
    </row>
    <row r="27" spans="2:2" ht="17" customHeight="1">
      <c r="B27" s="103" t="s">
        <v>1201</v>
      </c>
    </row>
    <row r="28" spans="2:2" ht="17" customHeight="1">
      <c r="B28" s="101" t="s">
        <v>1202</v>
      </c>
    </row>
    <row r="32" spans="2:2" ht="17" customHeight="1">
      <c r="B32" s="101" t="s">
        <v>1203</v>
      </c>
    </row>
    <row r="34" spans="2:2" ht="17" customHeight="1">
      <c r="B34" s="102" t="s">
        <v>1204</v>
      </c>
    </row>
    <row r="35" spans="2:2" ht="17" customHeight="1">
      <c r="B35" s="102" t="s">
        <v>1205</v>
      </c>
    </row>
    <row r="36" spans="2:2" ht="17" customHeight="1">
      <c r="B36" s="102" t="s">
        <v>1206</v>
      </c>
    </row>
    <row r="37" spans="2:2" ht="17" customHeight="1">
      <c r="B37" s="102" t="s">
        <v>1207</v>
      </c>
    </row>
    <row r="38" spans="2:2" ht="17" customHeight="1">
      <c r="B38" s="102" t="s">
        <v>1208</v>
      </c>
    </row>
    <row r="42" spans="2:2" ht="17" customHeight="1">
      <c r="B42" s="101" t="s">
        <v>1209</v>
      </c>
    </row>
    <row r="46" spans="2:2" ht="17" customHeight="1">
      <c r="B46" s="101" t="s">
        <v>1210</v>
      </c>
    </row>
    <row r="48" spans="2:2" ht="17" customHeight="1">
      <c r="B48" s="102" t="s">
        <v>1211</v>
      </c>
    </row>
    <row r="49" spans="2:2" ht="17" customHeight="1">
      <c r="B49" s="102" t="s">
        <v>1212</v>
      </c>
    </row>
    <row r="50" spans="2:2" ht="17" customHeight="1">
      <c r="B50" s="102" t="s">
        <v>1213</v>
      </c>
    </row>
    <row r="51" spans="2:2" ht="17" customHeight="1">
      <c r="B51" s="102" t="s">
        <v>1214</v>
      </c>
    </row>
    <row r="52" spans="2:2" ht="17" customHeight="1">
      <c r="B52" s="102" t="s">
        <v>1215</v>
      </c>
    </row>
    <row r="56" spans="2:2" ht="17" customHeight="1">
      <c r="B56" s="101" t="s">
        <v>1216</v>
      </c>
    </row>
    <row r="60" spans="2:2" ht="17" customHeight="1">
      <c r="B60" s="102" t="s">
        <v>1217</v>
      </c>
    </row>
    <row r="61" spans="2:2" ht="17" customHeight="1">
      <c r="B61" s="101" t="s">
        <v>1218</v>
      </c>
    </row>
    <row r="62" spans="2:2" ht="17" customHeight="1">
      <c r="B62" s="102" t="s">
        <v>1219</v>
      </c>
    </row>
    <row r="63" spans="2:2" ht="17" customHeight="1">
      <c r="B63" s="102" t="s">
        <v>1220</v>
      </c>
    </row>
    <row r="64" spans="2:2" ht="17" customHeight="1">
      <c r="B64" s="102" t="s">
        <v>1221</v>
      </c>
    </row>
    <row r="66" spans="2:2" ht="17" customHeight="1">
      <c r="B66" s="102" t="s">
        <v>1222</v>
      </c>
    </row>
    <row r="67" spans="2:2" ht="17" customHeight="1">
      <c r="B67" s="101" t="s">
        <v>1223</v>
      </c>
    </row>
    <row r="68" spans="2:2" ht="17" customHeight="1">
      <c r="B68" s="102" t="s">
        <v>1224</v>
      </c>
    </row>
    <row r="69" spans="2:2" ht="17" customHeight="1">
      <c r="B69" s="102" t="s">
        <v>1225</v>
      </c>
    </row>
    <row r="70" spans="2:2" ht="17" customHeight="1">
      <c r="B70" s="102" t="s">
        <v>1226</v>
      </c>
    </row>
    <row r="74" spans="2:2" ht="17" customHeight="1">
      <c r="B74" s="102" t="s">
        <v>1227</v>
      </c>
    </row>
    <row r="75" spans="2:2" ht="17" customHeight="1">
      <c r="B75" s="101" t="s">
        <v>1228</v>
      </c>
    </row>
    <row r="79" spans="2:2" ht="17" customHeight="1">
      <c r="B79" s="101" t="s">
        <v>1229</v>
      </c>
    </row>
    <row r="83" spans="2:2" ht="17" customHeight="1">
      <c r="B83" s="102" t="s">
        <v>1230</v>
      </c>
    </row>
    <row r="84" spans="2:2" ht="17" customHeight="1">
      <c r="B84" s="102" t="s">
        <v>1231</v>
      </c>
    </row>
    <row r="85" spans="2:2" ht="17" customHeight="1">
      <c r="B85" s="102" t="s">
        <v>1232</v>
      </c>
    </row>
    <row r="86" spans="2:2" ht="17" customHeight="1">
      <c r="B86" s="102" t="s">
        <v>1233</v>
      </c>
    </row>
    <row r="87" spans="2:2" ht="17" customHeight="1">
      <c r="B87" s="102" t="s">
        <v>1234</v>
      </c>
    </row>
    <row r="91" spans="2:2" ht="17" customHeight="1">
      <c r="B91" s="102" t="s">
        <v>1235</v>
      </c>
    </row>
    <row r="92" spans="2:2" ht="17" customHeight="1">
      <c r="B92" s="101" t="s">
        <v>1236</v>
      </c>
    </row>
    <row r="96" spans="2:2" ht="17" customHeight="1">
      <c r="B96" s="102" t="s">
        <v>1237</v>
      </c>
    </row>
    <row r="97" spans="2:2" ht="17" customHeight="1">
      <c r="B97" s="101" t="s">
        <v>1238</v>
      </c>
    </row>
    <row r="98" spans="2:2" ht="17" customHeight="1">
      <c r="B98" s="102" t="s">
        <v>1239</v>
      </c>
    </row>
    <row r="99" spans="2:2" ht="17" customHeight="1">
      <c r="B99" s="102" t="s">
        <v>1240</v>
      </c>
    </row>
    <row r="101" spans="2:2" ht="17" customHeight="1">
      <c r="B101" s="102" t="s">
        <v>1241</v>
      </c>
    </row>
    <row r="102" spans="2:2" ht="17" customHeight="1">
      <c r="B102" s="101" t="s">
        <v>1242</v>
      </c>
    </row>
    <row r="103" spans="2:2" ht="17" customHeight="1">
      <c r="B103" s="102" t="s">
        <v>1243</v>
      </c>
    </row>
    <row r="104" spans="2:2" ht="17" customHeight="1">
      <c r="B104" s="102" t="s">
        <v>1244</v>
      </c>
    </row>
    <row r="105" spans="2:2" ht="17" customHeight="1">
      <c r="B105" s="102" t="s">
        <v>1245</v>
      </c>
    </row>
    <row r="109" spans="2:2" ht="17" customHeight="1">
      <c r="B109" s="102" t="s">
        <v>1246</v>
      </c>
    </row>
    <row r="110" spans="2:2" ht="17" customHeight="1">
      <c r="B110" s="101" t="s">
        <v>1247</v>
      </c>
    </row>
    <row r="114" spans="2:2" ht="17" customHeight="1">
      <c r="B114" s="101" t="s">
        <v>1248</v>
      </c>
    </row>
    <row r="118" spans="2:2" ht="17" customHeight="1">
      <c r="B118" s="102" t="s">
        <v>1249</v>
      </c>
    </row>
    <row r="119" spans="2:2" ht="17" customHeight="1">
      <c r="B119" s="102" t="s">
        <v>1250</v>
      </c>
    </row>
    <row r="120" spans="2:2" ht="17" customHeight="1">
      <c r="B120" s="102" t="s">
        <v>1251</v>
      </c>
    </row>
    <row r="121" spans="2:2" ht="17" customHeight="1">
      <c r="B121" s="102" t="s">
        <v>1252</v>
      </c>
    </row>
    <row r="126" spans="2:2" ht="17" customHeight="1">
      <c r="B126" s="102" t="s">
        <v>1253</v>
      </c>
    </row>
    <row r="127" spans="2:2" ht="17" customHeight="1">
      <c r="B127" s="102" t="s">
        <v>1254</v>
      </c>
    </row>
    <row r="128" spans="2:2" ht="17" customHeight="1">
      <c r="B128" s="102" t="s">
        <v>1255</v>
      </c>
    </row>
    <row r="129" spans="2:2" ht="17" customHeight="1">
      <c r="B129" s="102" t="s">
        <v>1256</v>
      </c>
    </row>
    <row r="130" spans="2:2" ht="17" customHeight="1">
      <c r="B130" s="102" t="s">
        <v>1257</v>
      </c>
    </row>
    <row r="131" spans="2:2" ht="17" customHeight="1">
      <c r="B131" s="102" t="s">
        <v>1258</v>
      </c>
    </row>
    <row r="132" spans="2:2" ht="17" customHeight="1">
      <c r="B132" s="102" t="s">
        <v>1259</v>
      </c>
    </row>
    <row r="133" spans="2:2" ht="17" customHeight="1">
      <c r="B133" s="101" t="s">
        <v>1260</v>
      </c>
    </row>
    <row r="138" spans="2:2" ht="17" customHeight="1">
      <c r="B138" s="101" t="s">
        <v>1261</v>
      </c>
    </row>
    <row r="139" spans="2:2" ht="17" customHeight="1">
      <c r="B139" s="101" t="s">
        <v>1262</v>
      </c>
    </row>
    <row r="140" spans="2:2" ht="17" customHeight="1">
      <c r="B140" s="102" t="s">
        <v>1263</v>
      </c>
    </row>
    <row r="141" spans="2:2" ht="17" customHeight="1">
      <c r="B141" s="102" t="s">
        <v>1264</v>
      </c>
    </row>
    <row r="142" spans="2:2" ht="17" customHeight="1">
      <c r="B142" s="101" t="s">
        <v>1265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START HERE</vt:lpstr>
      <vt:lpstr>Package Reference</vt:lpstr>
      <vt:lpstr>Complexity Reference</vt:lpstr>
      <vt:lpstr>Quote Calculator</vt:lpstr>
      <vt:lpstr>ROI App</vt:lpstr>
      <vt:lpstr>ROI App_v1</vt:lpstr>
      <vt:lpstr>ROI App_v0</vt:lpstr>
      <vt:lpstr>Example Quotes</vt:lpstr>
      <vt:lpstr>Access Models</vt:lpstr>
      <vt:lpstr>Client Quote Summary</vt:lpstr>
      <vt:lpstr>Pricing Logic</vt:lpstr>
      <vt:lpstr>AI Aut Logic</vt:lpstr>
      <vt:lpstr>AUDIT Pricing</vt:lpstr>
      <vt:lpstr>B&amp;T Matrix</vt:lpstr>
      <vt:lpstr>Numerologia</vt:lpstr>
      <vt:lpstr>Numertologia VD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maciek szczech</cp:lastModifiedBy>
  <cp:revision>0</cp:revision>
  <dcterms:created xsi:type="dcterms:W3CDTF">2026-07-04T13:49:19Z</dcterms:created>
  <dcterms:modified xsi:type="dcterms:W3CDTF">2026-08-22T18:12:58Z</dcterms:modified>
  <dc:language>en-US</dc:language>
</cp:coreProperties>
</file>