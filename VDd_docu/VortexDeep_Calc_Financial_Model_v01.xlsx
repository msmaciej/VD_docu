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Assumptions" sheetId="2" state="visible" r:id="rId4"/>
    <sheet name="Financing_Plan" sheetId="3" state="visible" r:id="rId5"/>
    <sheet name="Monthly_CF" sheetId="4" state="visible" r:id="rId6"/>
    <sheet name="PnL" sheetId="5" state="visible" r:id="rId7"/>
    <sheet name="Balance_Sheet" sheetId="6" state="visible" r:id="rId8"/>
    <sheet name="Cap_Table" sheetId="7" state="visible" r:id="rId9"/>
    <sheet name="Use_of_Funds" sheetId="8" state="visible" r:id="rId10"/>
    <sheet name="Funding_Sources" sheetId="9" state="visible" r:id="rId11"/>
    <sheet name="Valuation" sheetId="10" state="visible" r:id="rId12"/>
    <sheet name="Ex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<sst xmlns="http://schemas.openxmlformats.org/spreadsheetml/2006/main" count="647" uniqueCount="547">
  <si>
    <t xml:space="preserve">VortexDeep — Financial Model v01</t>
  </si>
  <si>
    <t xml:space="preserve">Working scenario, not a forecast. Built 2026-09-14 from Pricing Calculator v27 (package midpoints), pitch deck v11-1/v13 (roadmap client counts, team plan) and TalkingPoints v15. All other numbers are model placeholders to validate.</t>
  </si>
  <si>
    <t xml:space="preserve">HOW TO USE</t>
  </si>
  <si>
    <t xml:space="preserve">1. Pick a scenario on Assumptions!B4 (Low / Base / High). Everything else flows from Assumptions and Financing_Plan.</t>
  </si>
  <si>
    <t xml:space="preserve">2. Blue text = input you can edit. Black = formula. Green = link to another sheet. Yellow fill = key assumption to validate first.</t>
  </si>
  <si>
    <t xml:space="preserve">3. Monthly_CF is the engine (Jul 2026 – Dec 2029). PnL, Balance_Sheet, Cap_Table and Valuation read from it. Do not type into Monthly_CF.</t>
  </si>
  <si>
    <t xml:space="preserve">4. Toggle funding events on/off with the Include column on Financing_Plan (1 = in the cash flow, 0 = shown but excluded).</t>
  </si>
  <si>
    <t xml:space="preserve">5. Every hardcoded number has a source or a 'placeholder — verify' note next to it. Replace placeholders before showing this to a jury.</t>
  </si>
  <si>
    <t xml:space="preserve">SHEET MAP</t>
  </si>
  <si>
    <t xml:space="preserve">Sheet</t>
  </si>
  <si>
    <t xml:space="preserve">What it answers</t>
  </si>
  <si>
    <t xml:space="preserve">Reads from</t>
  </si>
  <si>
    <t xml:space="preserve">Assumptions</t>
  </si>
  <si>
    <t xml:space="preserve">Every driver: pricing, client ramp, churn, delivery cost, salaries, overhead, tax, DSO</t>
  </si>
  <si>
    <t xml:space="preserve">Pricing Calculator v27 · deck roadmap · team slide</t>
  </si>
  <si>
    <t xml:space="preserve">Monthly_CF</t>
  </si>
  <si>
    <t xml:space="preserve">Monthly client ramp, revenue, costs, EBITDA, receivables, cash and runway</t>
  </si>
  <si>
    <t xml:space="preserve">Assumptions · Financing_Plan</t>
  </si>
  <si>
    <t xml:space="preserve">PnL</t>
  </si>
  <si>
    <t xml:space="preserve">Annual P&amp;L 2026 (H2) – 2029, margins, ARR run-rate, break-even month and clients, peak funding need</t>
  </si>
  <si>
    <t xml:space="preserve">Balance_Sheet</t>
  </si>
  <si>
    <t xml:space="preserve">Year-end balance sheet, capital structure ratios, balance check</t>
  </si>
  <si>
    <t xml:space="preserve">Monthly_CF · Financing_Plan</t>
  </si>
  <si>
    <t xml:space="preserve">Cap_Table</t>
  </si>
  <si>
    <t xml:space="preserve">Ownership today → after co-founder equity → after option pool → after a round</t>
  </si>
  <si>
    <t xml:space="preserve">Financing_Plan · Valuation</t>
  </si>
  <si>
    <t xml:space="preserve">Use_of_Funds</t>
  </si>
  <si>
    <t xml:space="preserve">Where a raise would go, and how many months of burn it buys</t>
  </si>
  <si>
    <t xml:space="preserve">Financing_Plan · Monthly_CF</t>
  </si>
  <si>
    <t xml:space="preserve">Financing_Plan</t>
  </si>
  <si>
    <t xml:space="preserve">Funding events feeding the cash flow, plus the staged financing framework</t>
  </si>
  <si>
    <t xml:space="preserve">—</t>
  </si>
  <si>
    <t xml:space="preserve">Funding_Sources</t>
  </si>
  <si>
    <t xml:space="preserve">Matrix of Swiss funding options vs. fit for VortexDeep</t>
  </si>
  <si>
    <t xml:space="preserve">Valuation</t>
  </si>
  <si>
    <t xml:space="preserve">Three indicative methods; selected pre-money feeds Cap_Table</t>
  </si>
  <si>
    <t xml:space="preserve">Exit</t>
  </si>
  <si>
    <t xml:space="preserve">Exit options, value drivers and prerequisites (minor area)</t>
  </si>
  <si>
    <t xml:space="preserve">MODEL HEALTH CHECKS (all should read OK)</t>
  </si>
  <si>
    <t xml:space="preserve">Package mix sums to 100%</t>
  </si>
  <si>
    <t xml:space="preserve">Balance sheet balances every year</t>
  </si>
  <si>
    <t xml:space="preserve">Use of funds allocation sums to 100%</t>
  </si>
  <si>
    <t xml:space="preserve">Cap table sums to 100% at every stage</t>
  </si>
  <si>
    <t xml:space="preserve">HEADLINE OUTPUTS (active scenario)</t>
  </si>
  <si>
    <t xml:space="preserve">Active scenario</t>
  </si>
  <si>
    <t xml:space="preserve">2029 total revenue (CHF)</t>
  </si>
  <si>
    <t xml:space="preserve">2029 ARR run-rate, December (CHF)</t>
  </si>
  <si>
    <t xml:space="preserve">2029 EBITDA (CHF)</t>
  </si>
  <si>
    <t xml:space="preserve">Sustainable break-even month</t>
  </si>
  <si>
    <t xml:space="preserve">Active clients at break-even</t>
  </si>
  <si>
    <t xml:space="preserve">Lowest cash point (CHF)</t>
  </si>
  <si>
    <t xml:space="preserve">Peak external funding need (CHF)</t>
  </si>
  <si>
    <t xml:space="preserve">Selected pre-money valuation (CHF)</t>
  </si>
  <si>
    <t xml:space="preserve">SOURCES</t>
  </si>
  <si>
    <t xml:space="preserve">Pricing Calculator v27 › Package Reference (setup &amp; monthly ranges per package) and Access &amp; Licence Pricing.</t>
  </si>
  <si>
    <t xml:space="preserve">Pitch deck v11-1 slide 6 (roadmap: 1–2 / 6–8 / 15–20 / 30–40 clients), slide 7 (ARR band), slide 8 (hiring order); v13 change sheet (team layer order).</t>
  </si>
  <si>
    <t xml:space="preserve">TalkingPoints v15 (blended ARR/client hypothesis CHF 12–17k; bootstrap-first stance).</t>
  </si>
  <si>
    <t xml:space="preserve">Business Creation ICT programme, Day 3 (financial planning) and Day 5 (funding sources, financing plan).</t>
  </si>
  <si>
    <t xml:space="preserve">Everything else — salaries, overhead, churn, tax rate, valuation benchmarks — is a placeholder marked 'verify'.</t>
  </si>
  <si>
    <t xml:space="preserve">Assumptions — all drivers live here</t>
  </si>
  <si>
    <t xml:space="preserve">Blue = edit. Yellow = validate first. Sources/notes in column J.</t>
  </si>
  <si>
    <t xml:space="preserve">Base</t>
  </si>
  <si>
    <t xml:space="preserve">(options →)</t>
  </si>
  <si>
    <t xml:space="preserve">Low</t>
  </si>
  <si>
    <t xml:space="preserve">High</t>
  </si>
  <si>
    <t xml:space="preserve">Scenario index</t>
  </si>
  <si>
    <t xml:space="preserve">Model start month</t>
  </si>
  <si>
    <t xml:space="preserve">First month of the model (42 months to Dec 2029).</t>
  </si>
  <si>
    <t xml:space="preserve">Model end month</t>
  </si>
  <si>
    <t xml:space="preserve">B. PRICING — from Pricing Calculator v27 › Package Reference (midpoints of catalogue ranges)</t>
  </si>
  <si>
    <t xml:space="preserve">Package</t>
  </si>
  <si>
    <t xml:space="preserve">Setup low</t>
  </si>
  <si>
    <t xml:space="preserve">Setup high</t>
  </si>
  <si>
    <t xml:space="preserve">Setup mid</t>
  </si>
  <si>
    <t xml:space="preserve">Monthly low</t>
  </si>
  <si>
    <t xml:space="preserve">Monthly high</t>
  </si>
  <si>
    <t xml:space="preserve">Monthly mid</t>
  </si>
  <si>
    <t xml:space="preserve">Client mix %</t>
  </si>
  <si>
    <t xml:space="preserve">Source / note</t>
  </si>
  <si>
    <t xml:space="preserve">Basic Intake</t>
  </si>
  <si>
    <t xml:space="preserve">Ranges: Pricing Calculator v27, Package Reference. Mix %: placeholder — replace with real pipeline mix.</t>
  </si>
  <si>
    <t xml:space="preserve">Basic+ AI Triage</t>
  </si>
  <si>
    <t xml:space="preserve">Pro Multi-Channel</t>
  </si>
  <si>
    <t xml:space="preserve">Managed Operations</t>
  </si>
  <si>
    <t xml:space="preserve">Agentic Automation</t>
  </si>
  <si>
    <t xml:space="preserve">Blended (mix-weighted)</t>
  </si>
  <si>
    <t xml:space="preserve">Blended monthly ×12 ≈ ARR per client. Deck slide 7 says ~8–15k, TalkingPoints v15 says 12–17k — this cell reconciles the two.</t>
  </si>
  <si>
    <t xml:space="preserve">Implied ARR per active client</t>
  </si>
  <si>
    <t xml:space="preserve">B2. SETUP FEE REALISATION — % of catalogue midpoint actually invoiced (unpaid pilot, early discounts)</t>
  </si>
  <si>
    <t xml:space="preserve">Year</t>
  </si>
  <si>
    <t xml:space="preserve">Realised setup fee %</t>
  </si>
  <si>
    <t xml:space="preserve">Placeholder. 2026 = first pilot unpaid (deck slide 10), second client discounted.</t>
  </si>
  <si>
    <t xml:space="preserve">C. CLIENT RAMP — year-end active managed clients (deck v11-1 slide 6: 1–2 / 6–8 / 15–20 / 30–40)</t>
  </si>
  <si>
    <t xml:space="preserve">Selected</t>
  </si>
  <si>
    <t xml:space="preserve">Base = midpoint of the roadmap band. Low = roughly half. High = top of band.</t>
  </si>
  <si>
    <t xml:space="preserve">Annual client churn %</t>
  </si>
  <si>
    <t xml:space="preserve">Placeholder. Managed-service SME churn; validate after first paid year.</t>
  </si>
  <si>
    <t xml:space="preserve">D. DIRECT (DELIVERY) COSTS</t>
  </si>
  <si>
    <t xml:space="preserve">AI API &amp; tooling per active client, CHF / month</t>
  </si>
  <si>
    <t xml:space="preserve">Placeholder. Pricing Calculator excludes third-party API cost — this is VD's own cost of running a client.</t>
  </si>
  <si>
    <t xml:space="preserve">Platform subscriptions (Make/n8n, hosting), CHF / month fixed</t>
  </si>
  <si>
    <t xml:space="preserve">Subcontracted build cost, % of setup revenue</t>
  </si>
  <si>
    <t xml:space="preserve">Placeholder. Freelance help on builds beyond founder capacity.</t>
  </si>
  <si>
    <t xml:space="preserve">Payment, bank &amp; other variable cost, % of revenue</t>
  </si>
  <si>
    <t xml:space="preserve">E. PEOPLE — annual gross cost by year (CHF). Order follows Team slide v13: co-founder → client success → sales</t>
  </si>
  <si>
    <t xml:space="preserve">Role</t>
  </si>
  <si>
    <t xml:space="preserve">Note</t>
  </si>
  <si>
    <t xml:space="preserve">Founder draw (Maciek)</t>
  </si>
  <si>
    <t xml:space="preserve">Placeholder. Bootstrap: no draw in 2026, ramps as revenue allows.</t>
  </si>
  <si>
    <t xml:space="preserve">Technical co-founder — BUILD</t>
  </si>
  <si>
    <t xml:space="preserve">Equity-only in 2027 (see Cap_Table); part-time salary from 2028.</t>
  </si>
  <si>
    <t xml:space="preserve">Client success / managed ops — RUN</t>
  </si>
  <si>
    <t xml:space="preserve">Starts mid-2028 when recurring base outgrows founder (deck slide 8).</t>
  </si>
  <si>
    <t xml:space="preserve">B2B sales &amp; partnerships — SELL</t>
  </si>
  <si>
    <t xml:space="preserve">Added at 15–20 clients (deck slide 8).</t>
  </si>
  <si>
    <t xml:space="preserve">Employer social charges (AHV/IV/EO, ALV, BVG, UVG), % on gross</t>
  </si>
  <si>
    <t xml:space="preserve">Placeholder — verify with fiduciary; depends on pension plan and age.</t>
  </si>
  <si>
    <t xml:space="preserve">F. OVERHEAD — CHF per year</t>
  </si>
  <si>
    <t xml:space="preserve">Category</t>
  </si>
  <si>
    <t xml:space="preserve">Legal, IP &amp; fiduciary (contracts, licences, accounting)</t>
  </si>
  <si>
    <t xml:space="preserve">All placeholders. 2026 is a half year. Legal &amp; IP counsel is 'bought in, not hired' (deck slide 8).</t>
  </si>
  <si>
    <t xml:space="preserve">Insurance &amp; compliance</t>
  </si>
  <si>
    <t xml:space="preserve">Marketing &amp; GTM (site, content, events, Fit Check)</t>
  </si>
  <si>
    <t xml:space="preserve">Travel &amp; networking (CH, later DACH)</t>
  </si>
  <si>
    <t xml:space="preserve">Software &amp; admin tools</t>
  </si>
  <si>
    <t xml:space="preserve">Coworking / office</t>
  </si>
  <si>
    <t xml:space="preserve">Other / contingency</t>
  </si>
  <si>
    <t xml:space="preserve">Total overhead</t>
  </si>
  <si>
    <t xml:space="preserve">G. WORKING CAPITAL &amp; TAX</t>
  </si>
  <si>
    <t xml:space="preserve">Days sales outstanding (DSO)</t>
  </si>
  <si>
    <t xml:space="preserve">Setup invoiced at kickoff, monthly fees in advance → ~30 days is conservative.</t>
  </si>
  <si>
    <t xml:space="preserve">Corporate income tax rate (on positive EBITDA)</t>
  </si>
  <si>
    <t xml:space="preserve">Placeholder ≈ Zürich combined federal+cantonal rate for a GmbH; verify. Simplification: no loss carry-forward, tax paid in December of the same year.</t>
  </si>
  <si>
    <t xml:space="preserve">Financing plan — events feeding the cash flow, and the staged framework</t>
  </si>
  <si>
    <t xml:space="preserve">Include = 1 puts the event into Monthly_CF. Include = 0 keeps it visible but excluded. Bootstrap-first: only founder capital is on by default.</t>
  </si>
  <si>
    <t xml:space="preserve">#</t>
  </si>
  <si>
    <t xml:space="preserve">Month</t>
  </si>
  <si>
    <t xml:space="preserve">Source</t>
  </si>
  <si>
    <t xml:space="preserve">Type</t>
  </si>
  <si>
    <t xml:space="preserve">Amount CHF</t>
  </si>
  <si>
    <t xml:space="preserve">Include (1/0)</t>
  </si>
  <si>
    <t xml:space="preserve">Purpose / trigger</t>
  </si>
  <si>
    <t xml:space="preserve">Founder share capital (GmbH formation)</t>
  </si>
  <si>
    <t xml:space="preserve">Equity</t>
  </si>
  <si>
    <t xml:space="preserve">Formation, first tooling, legal</t>
  </si>
  <si>
    <t xml:space="preserve">CHF 20k is the legal minimum for a Swiss GmbH — verify chosen legal form.</t>
  </si>
  <si>
    <t xml:space="preserve">Founder additional paid-in / shareholder loan</t>
  </si>
  <si>
    <t xml:space="preserve">Buffer for 2026 H2 overhead</t>
  </si>
  <si>
    <t xml:space="preserve">Placeholder. Treated as equity (paid-in); reclassify as loan if structured so.</t>
  </si>
  <si>
    <t xml:space="preserve">Non-dilutive grant (e.g. Innosuisse Innovation Cheque)</t>
  </si>
  <si>
    <t xml:space="preserve">Grant</t>
  </si>
  <si>
    <t xml:space="preserve">Co-develop reusable workflow library with a research partner</t>
  </si>
  <si>
    <t xml:space="preserve">Placeholder — eligibility requires a Swiss research partner; verify current Innosuisse terms.</t>
  </si>
  <si>
    <t xml:space="preserve">Angel / pre-seed round</t>
  </si>
  <si>
    <t xml:space="preserve">Accelerate: earlier delivery hire, faster CH → EU (deck slide 11)</t>
  </si>
  <si>
    <t xml:space="preserve">Optional. Pre-money from Valuation sheet; see Cap_Table and Use_of_Funds.</t>
  </si>
  <si>
    <t xml:space="preserve">Bank SME credit line / start-up loan</t>
  </si>
  <si>
    <t xml:space="preserve">Debt</t>
  </si>
  <si>
    <t xml:space="preserve">Working-capital bridge once 2 years of accounts exist</t>
  </si>
  <si>
    <t xml:space="preserve">Placeholder. Requires track record; verify with house bank / cantonal bank.</t>
  </si>
  <si>
    <t xml:space="preserve">Loan repayment (first tranche)</t>
  </si>
  <si>
    <t xml:space="preserve">Repayment</t>
  </si>
  <si>
    <t xml:space="preserve">Repay half of the credit line</t>
  </si>
  <si>
    <t xml:space="preserve">Linked to the debt above; only include if the loan is included.</t>
  </si>
  <si>
    <t xml:space="preserve">Rows 5–11 are read by Monthly_CF (row 11 is spare). Keep every month on the 1st.</t>
  </si>
  <si>
    <t xml:space="preserve">Total equity (included)</t>
  </si>
  <si>
    <t xml:space="preserve">Total debt drawn (included)</t>
  </si>
  <si>
    <t xml:space="preserve">Total grants (included)</t>
  </si>
  <si>
    <t xml:space="preserve">STAGED FINANCING FRAMEWORK — what funds each stage, and what triggers the next (Day 5 preparation)</t>
  </si>
  <si>
    <t xml:space="preserve">Stage</t>
  </si>
  <si>
    <t xml:space="preserve">Period</t>
  </si>
  <si>
    <t xml:space="preserve">Primary source</t>
  </si>
  <si>
    <t xml:space="preserve">Indicative amount</t>
  </si>
  <si>
    <t xml:space="preserve">Trigger to move on</t>
  </si>
  <si>
    <t xml:space="preserve">What it funds</t>
  </si>
  <si>
    <t xml:space="preserve">Dilution / control</t>
  </si>
  <si>
    <t xml:space="preserve">Status</t>
  </si>
  <si>
    <t xml:space="preserve">0 · Validate</t>
  </si>
  <si>
    <t xml:space="preserve">2026 H2</t>
  </si>
  <si>
    <t xml:space="preserve">Founder capital + first setup fees</t>
  </si>
  <si>
    <t xml:space="preserve">One reference case, second client signed</t>
  </si>
  <si>
    <t xml:space="preserve">Formation, tooling, Fit Check, legal</t>
  </si>
  <si>
    <t xml:space="preserve">None — 100% founder</t>
  </si>
  <si>
    <t xml:space="preserve">Now</t>
  </si>
  <si>
    <t xml:space="preserve">1 · Convert</t>
  </si>
  <si>
    <t xml:space="preserve">2027</t>
  </si>
  <si>
    <t xml:space="preserve">Revenue (setup fees fund builds) ± non-dilutive grant</t>
  </si>
  <si>
    <t xml:space="preserve">6–8 managed clients, EBITDA ≥ 0</t>
  </si>
  <si>
    <t xml:space="preserve">Founder draw, first subcontracted builds, IP library</t>
  </si>
  <si>
    <t xml:space="preserve">None (co-founder equity only)</t>
  </si>
  <si>
    <t xml:space="preserve">Plan</t>
  </si>
  <si>
    <t xml:space="preserve">2 · Standardise</t>
  </si>
  <si>
    <t xml:space="preserve">2028</t>
  </si>
  <si>
    <t xml:space="preserve">Optional angel round OR credit line</t>
  </si>
  <si>
    <t xml:space="preserve">15–20 clients, delivery hire in place</t>
  </si>
  <si>
    <t xml:space="preserve">Delivery hire, DACH entry, working-capital buffer</t>
  </si>
  <si>
    <t xml:space="preserve">~10–20% if angel round</t>
  </si>
  <si>
    <t xml:space="preserve">Optional</t>
  </si>
  <si>
    <t xml:space="preserve">3 · Scale</t>
  </si>
  <si>
    <t xml:space="preserve">2029</t>
  </si>
  <si>
    <t xml:space="preserve">Retained earnings; bank line; licensing revenue</t>
  </si>
  <si>
    <t xml:space="preserve">See PnL</t>
  </si>
  <si>
    <t xml:space="preserve">30–40 clients, team of 4</t>
  </si>
  <si>
    <t xml:space="preserve">Sales hire, productised workflows, EU pilots</t>
  </si>
  <si>
    <t xml:space="preserve">Keep founder control (TalkingPoints v15)</t>
  </si>
  <si>
    <t xml:space="preserve">Hypothesis</t>
  </si>
  <si>
    <t xml:space="preserve">Principle (TalkingPoints v15, validated): bootstrap-first; raising is optional and only to accelerate; keep founder control; protect the IP/licence library in any agreement.</t>
  </si>
  <si>
    <t xml:space="preserve">Monthly engine — Jul 2026 to Dec 2029 (active scenario)</t>
  </si>
  <si>
    <t xml:space="preserve">No inputs here. Change Assumptions or Financing_Plan. Clients are fractional (smooth ramp within each year); receivables = DSO/30 × monthly revenue.</t>
  </si>
  <si>
    <t xml:space="preserve">Month of year</t>
  </si>
  <si>
    <t xml:space="preserve">Year-start active clients</t>
  </si>
  <si>
    <t xml:space="preserve">Year-end target clients</t>
  </si>
  <si>
    <t xml:space="preserve">Months elapsed in model year</t>
  </si>
  <si>
    <t xml:space="preserve">Months in model year</t>
  </si>
  <si>
    <t xml:space="preserve">Active clients (end of month)</t>
  </si>
  <si>
    <t xml:space="preserve">Churned clients</t>
  </si>
  <si>
    <t xml:space="preserve">New clients won</t>
  </si>
  <si>
    <t xml:space="preserve">REVENUE</t>
  </si>
  <si>
    <t xml:space="preserve">Setup revenue</t>
  </si>
  <si>
    <t xml:space="preserve">Recurring (managed service) revenue</t>
  </si>
  <si>
    <t xml:space="preserve">Total revenue</t>
  </si>
  <si>
    <t xml:space="preserve">DIRECT COSTS</t>
  </si>
  <si>
    <t xml:space="preserve">AI API &amp; tooling</t>
  </si>
  <si>
    <t xml:space="preserve">Platform subscriptions</t>
  </si>
  <si>
    <t xml:space="preserve">Subcontracted build</t>
  </si>
  <si>
    <t xml:space="preserve">Payment &amp; variable</t>
  </si>
  <si>
    <t xml:space="preserve">Total direct costs</t>
  </si>
  <si>
    <t xml:space="preserve">Gross profit</t>
  </si>
  <si>
    <t xml:space="preserve">PEOPLE &amp; OVERHEAD</t>
  </si>
  <si>
    <t xml:space="preserve">Founder draw</t>
  </si>
  <si>
    <t xml:space="preserve">Technical co-founder</t>
  </si>
  <si>
    <t xml:space="preserve">Client success / ops</t>
  </si>
  <si>
    <t xml:space="preserve">Sales &amp; partnerships</t>
  </si>
  <si>
    <t xml:space="preserve">Total people (incl. social charges)</t>
  </si>
  <si>
    <t xml:space="preserve">Overhead</t>
  </si>
  <si>
    <t xml:space="preserve">EBITDA</t>
  </si>
  <si>
    <t xml:space="preserve">Tax (paid in December)</t>
  </si>
  <si>
    <t xml:space="preserve">Net income</t>
  </si>
  <si>
    <t xml:space="preserve">CASH</t>
  </si>
  <si>
    <t xml:space="preserve">Receivables (end of month)</t>
  </si>
  <si>
    <t xml:space="preserve">Change in receivables</t>
  </si>
  <si>
    <t xml:space="preserve">Operating cash flow</t>
  </si>
  <si>
    <t xml:space="preserve">Equity in</t>
  </si>
  <si>
    <t xml:space="preserve">Debt drawn</t>
  </si>
  <si>
    <t xml:space="preserve">Debt repaid</t>
  </si>
  <si>
    <t xml:space="preserve">Grants received</t>
  </si>
  <si>
    <t xml:space="preserve">Net cash flow</t>
  </si>
  <si>
    <t xml:space="preserve">Opening cash</t>
  </si>
  <si>
    <t xml:space="preserve">Closing cash</t>
  </si>
  <si>
    <t xml:space="preserve">3-month avg net cash flow</t>
  </si>
  <si>
    <t xml:space="preserve">Runway (months of cash at current burn)</t>
  </si>
  <si>
    <t xml:space="preserve">Marker: month with EBITDA &lt; 0</t>
  </si>
  <si>
    <t xml:space="preserve">Annual P&amp;L — active scenario</t>
  </si>
  <si>
    <t xml:space="preserve">2026 is a half year (Jul–Dec). All values CHF. Read from Monthly_CF.</t>
  </si>
  <si>
    <t xml:space="preserve">2026 (H2)</t>
  </si>
  <si>
    <t xml:space="preserve">Total</t>
  </si>
  <si>
    <t xml:space="preserve">year key</t>
  </si>
  <si>
    <t xml:space="preserve">CLIENTS</t>
  </si>
  <si>
    <t xml:space="preserve">Active clients (year-end)</t>
  </si>
  <si>
    <t xml:space="preserve">Blended ARR per active client</t>
  </si>
  <si>
    <t xml:space="preserve">Recurring revenue</t>
  </si>
  <si>
    <t xml:space="preserve">ARR run-rate (December recurring × 12)</t>
  </si>
  <si>
    <t xml:space="preserve">MARGIN</t>
  </si>
  <si>
    <t xml:space="preserve">Direct costs</t>
  </si>
  <si>
    <t xml:space="preserve">Gross margin %</t>
  </si>
  <si>
    <t xml:space="preserve">OPERATING RESULT</t>
  </si>
  <si>
    <t xml:space="preserve">People (incl. social charges)</t>
  </si>
  <si>
    <t xml:space="preserve">EBITDA margin %</t>
  </si>
  <si>
    <t xml:space="preserve">Tax</t>
  </si>
  <si>
    <t xml:space="preserve">Cumulative net income</t>
  </si>
  <si>
    <t xml:space="preserve">KPIs (whole horizon, active scenario)</t>
  </si>
  <si>
    <t xml:space="preserve">Sustainable break-even month (first month after the last negative-EBITDA month)</t>
  </si>
  <si>
    <t xml:space="preserve">Deck claim to test: break-even at ~6–8 clients (slides 6/7, v13 open item 3). It holds only while the founder draw is near zero — raise Assumptions row 40 and watch this row.</t>
  </si>
  <si>
    <t xml:space="preserve">Lowest closing cash in horizon (CHF)</t>
  </si>
  <si>
    <t xml:space="preserve">Month of lowest cash</t>
  </si>
  <si>
    <t xml:space="preserve">Peak external funding need (CHF) — 0 means the plan self-funds</t>
  </si>
  <si>
    <t xml:space="preserve">Year-end cash (CHF)</t>
  </si>
  <si>
    <t xml:space="preserve">Reference — deck slide 7 ARR band (indicative): 2027 ~50–120k · 2028 ~120–300k · 2029 ~240–600k. Compare with row 13.</t>
  </si>
  <si>
    <t xml:space="preserve">Year-end balance sheet &amp; capital structure — active scenario</t>
  </si>
  <si>
    <t xml:space="preserve">Simplified: no fixed assets, no accruals beyond receivables; tax paid in-year. Check row must be zero.</t>
  </si>
  <si>
    <t xml:space="preserve">31 December</t>
  </si>
  <si>
    <t xml:space="preserve">2026</t>
  </si>
  <si>
    <t xml:space="preserve">ASSETS</t>
  </si>
  <si>
    <t xml:space="preserve">Cash</t>
  </si>
  <si>
    <t xml:space="preserve">Trade receivables</t>
  </si>
  <si>
    <t xml:space="preserve">Total assets</t>
  </si>
  <si>
    <t xml:space="preserve">LIABILITIES</t>
  </si>
  <si>
    <t xml:space="preserve">Bank / start-up loans outstanding</t>
  </si>
  <si>
    <t xml:space="preserve">Total liabilities</t>
  </si>
  <si>
    <t xml:space="preserve">EQUITY</t>
  </si>
  <si>
    <t xml:space="preserve">Share capital &amp; paid-in (cumulative equity in)</t>
  </si>
  <si>
    <t xml:space="preserve">Grants received (reserve)</t>
  </si>
  <si>
    <t xml:space="preserve">Retained earnings (cumulative net income)</t>
  </si>
  <si>
    <t xml:space="preserve">Total equity</t>
  </si>
  <si>
    <t xml:space="preserve">Total liabilities &amp; equity</t>
  </si>
  <si>
    <t xml:space="preserve">CHECKS &amp; RATIOS</t>
  </si>
  <si>
    <t xml:space="preserve">Balance check (assets − liabilities − equity) → must be 0</t>
  </si>
  <si>
    <t xml:space="preserve">Equity ratio (equity / total assets)</t>
  </si>
  <si>
    <t xml:space="preserve">Debt / equity</t>
  </si>
  <si>
    <t xml:space="preserve">Cash / annual overhead (months of overhead covered)</t>
  </si>
  <si>
    <t xml:space="preserve">Capital structure today: 100% founder-owned; no debt. Any round or loan is a toggle on Financing_Plan (see Cap_Table for dilution).</t>
  </si>
  <si>
    <t xml:space="preserve">Cap table — ownership by stage (indicative)</t>
  </si>
  <si>
    <t xml:space="preserve">Stages: founding → technical co-founder equity (2027) → option pool → angel round (2028, optional). Percentages; share counts assume new shares issued at each step.</t>
  </si>
  <si>
    <t xml:space="preserve">INPUTS</t>
  </si>
  <si>
    <t xml:space="preserve">Founding share capital (CHF)</t>
  </si>
  <si>
    <t xml:space="preserve">Nominal value per share (CHF)</t>
  </si>
  <si>
    <t xml:space="preserve">Founding shares</t>
  </si>
  <si>
    <t xml:space="preserve">Technical co-founder equity % (vesting 4 yrs, 1-yr cliff)</t>
  </si>
  <si>
    <t xml:space="preserve">Placeholder. Team slide v13: 'equity, not salary'. Typical late-joining technical co-founder: 10–25%, always with vesting.</t>
  </si>
  <si>
    <t xml:space="preserve">Option pool created pre-round (% post-pool)</t>
  </si>
  <si>
    <t xml:space="preserve">Placeholder. For key hires (client success, sales). Set 0 if none.</t>
  </si>
  <si>
    <t xml:space="preserve">Angel round investment (CHF)</t>
  </si>
  <si>
    <t xml:space="preserve">Pre-money valuation at round (CHF)</t>
  </si>
  <si>
    <t xml:space="preserve">Post-money valuation (CHF)</t>
  </si>
  <si>
    <t xml:space="preserve">New investor share of company</t>
  </si>
  <si>
    <t xml:space="preserve">Holder</t>
  </si>
  <si>
    <t xml:space="preserve">1 · Founding</t>
  </si>
  <si>
    <t xml:space="preserve">2 · Post co-founder</t>
  </si>
  <si>
    <t xml:space="preserve">3 · Post option pool</t>
  </si>
  <si>
    <t xml:space="preserve">4 · Post angel round</t>
  </si>
  <si>
    <t xml:space="preserve">Total (check = 100%)</t>
  </si>
  <si>
    <t xml:space="preserve">Maciek Szczech (founder)</t>
  </si>
  <si>
    <t xml:space="preserve">Founder keeps control at every stage while &gt; 50% (TalkingPoints v15: control-first).</t>
  </si>
  <si>
    <t xml:space="preserve">Option pool</t>
  </si>
  <si>
    <t xml:space="preserve">Angel investors</t>
  </si>
  <si>
    <t xml:space="preserve">Round is a toggle on Financing_Plan; if Include = 0 the stage-4 column is a what-if only.</t>
  </si>
  <si>
    <t xml:space="preserve">IMPLIED SHARE COUNTS (new shares issued at each stage)</t>
  </si>
  <si>
    <t xml:space="preserve">Total shares outstanding</t>
  </si>
  <si>
    <t xml:space="preserve">Implied price per share at the round (CHF)</t>
  </si>
  <si>
    <t xml:space="preserve">Founder control check (&gt; 50% after round)</t>
  </si>
  <si>
    <t xml:space="preserve">Use of funds — if the optional round is raised</t>
  </si>
  <si>
    <t xml:space="preserve">Amount links to Financing_Plan row 8 (angel / pre-seed). Allocation % are placeholders — deck slide 11 names: earlier delivery hire, faster CH → EU.</t>
  </si>
  <si>
    <t xml:space="preserve">Planned raise (CHF)</t>
  </si>
  <si>
    <t xml:space="preserve">Included in cash flow?</t>
  </si>
  <si>
    <t xml:space="preserve">Use</t>
  </si>
  <si>
    <t xml:space="preserve">Share %</t>
  </si>
  <si>
    <t xml:space="preserve">What it buys</t>
  </si>
  <si>
    <t xml:space="preserve">Links to</t>
  </si>
  <si>
    <t xml:space="preserve">Delivery capacity — technical hire / co-founder salary</t>
  </si>
  <si>
    <t xml:space="preserve">12–18 months of a delivery engineer so the founder stops being the build bottleneck</t>
  </si>
  <si>
    <t xml:space="preserve">Team slide v13 role 01</t>
  </si>
  <si>
    <t xml:space="preserve">Go-to-market &amp; DACH/EU entry</t>
  </si>
  <si>
    <t xml:space="preserve">Sales hire earlier, partner channels, first EU pilots, events</t>
  </si>
  <si>
    <t xml:space="preserve">Roadmap 2028 'CH → EU'</t>
  </si>
  <si>
    <t xml:space="preserve">Product / reusable workflow (IP) library</t>
  </si>
  <si>
    <t xml:space="preserve">Productise the 5 packages; documentation; licence-ready blueprints</t>
  </si>
  <si>
    <t xml:space="preserve">Slide 7 licence model</t>
  </si>
  <si>
    <t xml:space="preserve">Working-capital buffer</t>
  </si>
  <si>
    <t xml:space="preserve">~6 months of overhead so pilots can be priced for proof, not survival</t>
  </si>
  <si>
    <t xml:space="preserve">Balance_Sheet row 27</t>
  </si>
  <si>
    <t xml:space="preserve">Legal, IP &amp; data-protection</t>
  </si>
  <si>
    <t xml:space="preserve">Licence agreements, data agreements, term sheet, trademark</t>
  </si>
  <si>
    <t xml:space="preserve">Team slide 'bought in, not hired'</t>
  </si>
  <si>
    <t xml:space="preserve">Contingency</t>
  </si>
  <si>
    <t xml:space="preserve">Unallocated</t>
  </si>
  <si>
    <t xml:space="preserve">WHAT THE RAISE BUYS IN TIME</t>
  </si>
  <si>
    <t xml:space="preserve">Average monthly net cash flow in 2028 without the raise (CHF)</t>
  </si>
  <si>
    <t xml:space="preserve">Months of 2028 operating burn covered by the raise</t>
  </si>
  <si>
    <t xml:space="preserve">Peak funding need without any raise (from PnL)</t>
  </si>
  <si>
    <t xml:space="preserve">Raise vs. need</t>
  </si>
  <si>
    <t xml:space="preserve">Funding source matrix — Swiss options vs. fit for VortexDeep</t>
  </si>
  <si>
    <t xml:space="preserve">Indicative, from general knowledge of the Swiss ecosystem — verify current programmes, amounts and eligibility before Day 5. Fit is the founder's call.</t>
  </si>
  <si>
    <t xml:space="preserve">Dilution</t>
  </si>
  <si>
    <t xml:space="preserve">Typical size CHF</t>
  </si>
  <si>
    <t xml:space="preserve">Stage fit</t>
  </si>
  <si>
    <t xml:space="preserve">Time to close</t>
  </si>
  <si>
    <t xml:space="preserve">Control impact</t>
  </si>
  <si>
    <t xml:space="preserve">Fit for VD</t>
  </si>
  <si>
    <t xml:space="preserve">Why / conditions</t>
  </si>
  <si>
    <t xml:space="preserve">Bootstrap — setup fees fund builds</t>
  </si>
  <si>
    <t xml:space="preserve">Revenue</t>
  </si>
  <si>
    <t xml:space="preserve">None</t>
  </si>
  <si>
    <t xml:space="preserve">5–30k per client</t>
  </si>
  <si>
    <t xml:space="preserve">Immediate</t>
  </si>
  <si>
    <t xml:space="preserve">Core model (TalkingPoints v15). Setup fee is invoiced at kickoff; keeps 100% ownership.</t>
  </si>
  <si>
    <t xml:space="preserve">Founder capital / shareholder loan</t>
  </si>
  <si>
    <t xml:space="preserve">Equity or loan</t>
  </si>
  <si>
    <t xml:space="preserve">20–50k</t>
  </si>
  <si>
    <t xml:space="preserve">Formation</t>
  </si>
  <si>
    <t xml:space="preserve">GmbH minimum CHF 20k; any extra as paid-in or documented loan.</t>
  </si>
  <si>
    <t xml:space="preserve">Design-partner prepayment / paid pilot</t>
  </si>
  <si>
    <t xml:space="preserve">5–15k</t>
  </si>
  <si>
    <t xml:space="preserve">2026–27</t>
  </si>
  <si>
    <t xml:space="preserve">1–3 months</t>
  </si>
  <si>
    <t xml:space="preserve">Deck slide 11 ask. Best signal to a jury: someone paid.</t>
  </si>
  <si>
    <t xml:space="preserve">Innosuisse Start-up Coaching (Core Coaching)</t>
  </si>
  <si>
    <t xml:space="preserve">Non-dilutive services</t>
  </si>
  <si>
    <t xml:space="preserve">Coaching, not cash</t>
  </si>
  <si>
    <t xml:space="preserve">3–6 months</t>
  </si>
  <si>
    <t xml:space="preserve">Medium</t>
  </si>
  <si>
    <t xml:space="preserve">Coaching and network; funds coach hours, not the company. Verify current programme.</t>
  </si>
  <si>
    <t xml:space="preserve">Innosuisse Innovation Cheque / project</t>
  </si>
  <si>
    <t xml:space="preserve">Non-dilutive grant</t>
  </si>
  <si>
    <t xml:space="preserve">~15k cheque; larger projects</t>
  </si>
  <si>
    <t xml:space="preserve">Medium–Low</t>
  </si>
  <si>
    <t xml:space="preserve">Requires a Swiss research partner (e.g. FH/ETH) — fits only if the workflow library becomes an R&amp;D project. Verify.</t>
  </si>
  <si>
    <t xml:space="preserve">Cantonal / regional start-up loans (e.g. cantonal bank programmes, technology-park loans)</t>
  </si>
  <si>
    <t xml:space="preserve">Debt (soft)</t>
  </si>
  <si>
    <t xml:space="preserve">50–150k</t>
  </si>
  <si>
    <t xml:space="preserve">2028+</t>
  </si>
  <si>
    <t xml:space="preserve">2–4 months</t>
  </si>
  <si>
    <t xml:space="preserve">Covenants</t>
  </si>
  <si>
    <t xml:space="preserve">Usually needs a track record or guarantee; verify canton Zürich options.</t>
  </si>
  <si>
    <t xml:space="preserve">Bank SME credit line</t>
  </si>
  <si>
    <t xml:space="preserve">20–100k</t>
  </si>
  <si>
    <t xml:space="preserve">Needs ~2 years of accounts and recurring revenue; personal guarantee likely.</t>
  </si>
  <si>
    <t xml:space="preserve">Business angels / angel networks (e.g. SICTIC)</t>
  </si>
  <si>
    <t xml:space="preserve">10–25%</t>
  </si>
  <si>
    <t xml:space="preserve">150–500k</t>
  </si>
  <si>
    <t xml:space="preserve">2028 (optional)</t>
  </si>
  <si>
    <t xml:space="preserve">Board seat / information rights</t>
  </si>
  <si>
    <t xml:space="preserve">Only to accelerate (delivery hire, EU). Managed-service businesses are not a classic angel case; need a productised/licensing story.</t>
  </si>
  <si>
    <t xml:space="preserve">Venture Kick / Swiss start-up competitions</t>
  </si>
  <si>
    <t xml:space="preserve">Non-dilutive prize</t>
  </si>
  <si>
    <t xml:space="preserve">up to ~150k in stages</t>
  </si>
  <si>
    <t xml:space="preserve">3–9 months</t>
  </si>
  <si>
    <t xml:space="preserve">Low–Medium</t>
  </si>
  <si>
    <t xml:space="preserve">Favours scalable tech and university spin-offs; verify eligibility for a services model.</t>
  </si>
  <si>
    <t xml:space="preserve">Revenue-based financing</t>
  </si>
  <si>
    <t xml:space="preserve">Quasi-debt</t>
  </si>
  <si>
    <t xml:space="preserve">50–200k</t>
  </si>
  <si>
    <t xml:space="preserve">1–2 months</t>
  </si>
  <si>
    <t xml:space="preserve">Revenue share until cap</t>
  </si>
  <si>
    <t xml:space="preserve">Needs stable recurring revenue; expensive if growth is slow.</t>
  </si>
  <si>
    <t xml:space="preserve">Crowdfunding / crowdlending</t>
  </si>
  <si>
    <t xml:space="preserve">Debt or equity</t>
  </si>
  <si>
    <t xml:space="preserve">0–15%</t>
  </si>
  <si>
    <t xml:space="preserve">Many small holders</t>
  </si>
  <si>
    <t xml:space="preserve">Marketing effort high; weak fit for a B2B managed service.</t>
  </si>
  <si>
    <t xml:space="preserve">Venture capital</t>
  </si>
  <si>
    <t xml:space="preserve">20–35%</t>
  </si>
  <si>
    <t xml:space="preserve">1M+</t>
  </si>
  <si>
    <t xml:space="preserve">Not before productised scale</t>
  </si>
  <si>
    <t xml:space="preserve">6–12 months</t>
  </si>
  <si>
    <t xml:space="preserve">Board, preferences, exit pressure</t>
  </si>
  <si>
    <t xml:space="preserve">Conflicts with bootstrap-first and control-first. Revisit only if the licensed IP library becomes a product.</t>
  </si>
  <si>
    <t xml:space="preserve">Strategic partner (IT services firm, Treuhand network, automation platform)</t>
  </si>
  <si>
    <t xml:space="preserve">Equity or commercial</t>
  </si>
  <si>
    <t xml:space="preserve">0–20%</t>
  </si>
  <si>
    <t xml:space="preserve">Varies</t>
  </si>
  <si>
    <t xml:space="preserve">2028–29</t>
  </si>
  <si>
    <t xml:space="preserve">Exclusivity risk</t>
  </si>
  <si>
    <t xml:space="preserve">Distribution + credibility; also an exit path (see Exit sheet).</t>
  </si>
  <si>
    <t xml:space="preserve">Valuation — three indicative methods (pre-money, CHF)</t>
  </si>
  <si>
    <t xml:space="preserve">None of these is a forecast. They bracket what a 2028 angel conversation could start from. Selected method feeds Cap_Table.</t>
  </si>
  <si>
    <t xml:space="preserve">METHOD 1 — ARR MULTIPLE, EXIT-BACK (what a buyer might pay in 2029, discounted to today)</t>
  </si>
  <si>
    <t xml:space="preserve">2029 ARR run-rate (CHF, from PnL)</t>
  </si>
  <si>
    <t xml:space="preserve">ARR multiple at exit</t>
  </si>
  <si>
    <t xml:space="preserve">Placeholder. Managed IT / automation services typically 1–3× ARR; productised recurring software 4–8×. VD sits between until the IP library is licensed.</t>
  </si>
  <si>
    <t xml:space="preserve">Implied enterprise value 2029 (CHF)</t>
  </si>
  <si>
    <t xml:space="preserve">Discount rate (early-stage risk)</t>
  </si>
  <si>
    <t xml:space="preserve">Placeholder. Angels/VC typically discount 30–60% p.a. at pre-seed.</t>
  </si>
  <si>
    <t xml:space="preserve">Years from today to 2029 exit</t>
  </si>
  <si>
    <t xml:space="preserve">Present value today (CHF)</t>
  </si>
  <si>
    <t xml:space="preserve">METHOD 2 — SCORECARD (adjust a regional pre-seed benchmark by qualitative factors)</t>
  </si>
  <si>
    <t xml:space="preserve">Benchmark pre-money for comparable Swiss pre-seed services/AI companies (CHF)</t>
  </si>
  <si>
    <t xml:space="preserve">Placeholder — verify with SICTIC / Swiss angel data; services businesses sit at the low end of typical pre-seed ranges.</t>
  </si>
  <si>
    <t xml:space="preserve">Factor</t>
  </si>
  <si>
    <t xml:space="preserve">Weight</t>
  </si>
  <si>
    <t xml:space="preserve">Score vs. benchmark (1.0 = average)</t>
  </si>
  <si>
    <t xml:space="preserve">Weighted</t>
  </si>
  <si>
    <t xml:space="preserve">Rationale</t>
  </si>
  <si>
    <t xml:space="preserve">Team (founder + gaps)</t>
  </si>
  <si>
    <t xml:space="preserve">20+ yrs industrial ops (strength); solo founder without technical co-founder (gap) — team slide v13.</t>
  </si>
  <si>
    <t xml:space="preserve">Market size &amp; timing</t>
  </si>
  <si>
    <t xml:space="preserve">~50k Swiss SMEs in SAM; AI-assisted admin is timely.</t>
  </si>
  <si>
    <t xml:space="preserve">Product / traction</t>
  </si>
  <si>
    <t xml:space="preserve">Unpaid pilot only; pre-revenue (deck slide 10).</t>
  </si>
  <si>
    <t xml:space="preserve">Competition / defensibility</t>
  </si>
  <si>
    <t xml:space="preserve">Managed + human-in-the-loop positioning; IP library not yet proven.</t>
  </si>
  <si>
    <t xml:space="preserve">Sales channels &amp; partnerships</t>
  </si>
  <si>
    <t xml:space="preserve">No channel yet; Fit Check is the front door.</t>
  </si>
  <si>
    <t xml:space="preserve">Need for further funding</t>
  </si>
  <si>
    <t xml:space="preserve">Bootstrap-first — low capital need is a plus.</t>
  </si>
  <si>
    <t xml:space="preserve">Other (governance, legal readiness)</t>
  </si>
  <si>
    <t xml:space="preserve">Legal/IP counsel bought in; no board yet.</t>
  </si>
  <si>
    <t xml:space="preserve">Total weight / weighted score</t>
  </si>
  <si>
    <t xml:space="preserve">Scorecard pre-money (CHF)</t>
  </si>
  <si>
    <t xml:space="preserve">METHOD 3 — FORWARD REVENUE MULTIPLE (next-12-month revenue × multiple)</t>
  </si>
  <si>
    <t xml:space="preserve">2027 total revenue (CHF, from PnL)</t>
  </si>
  <si>
    <t xml:space="preserve">Forward revenue multiple</t>
  </si>
  <si>
    <t xml:space="preserve">Placeholder. Small services firms 0.5–1.5×; recurring-heavy models 2–4×.</t>
  </si>
  <si>
    <t xml:space="preserve">Forward-revenue pre-money (CHF)</t>
  </si>
  <si>
    <t xml:space="preserve">SUMMARY</t>
  </si>
  <si>
    <t xml:space="preserve">Method</t>
  </si>
  <si>
    <t xml:space="preserve">Pre-money CHF</t>
  </si>
  <si>
    <t xml:space="preserve">1 · ARR multiple, exit-back</t>
  </si>
  <si>
    <t xml:space="preserve">Investor logic: what is the 2029 business worth, discounted for risk.</t>
  </si>
  <si>
    <t xml:space="preserve">2 · Scorecard</t>
  </si>
  <si>
    <t xml:space="preserve">Angel-network logic at pre-seed.</t>
  </si>
  <si>
    <t xml:space="preserve">3 · Forward revenue multiple</t>
  </si>
  <si>
    <t xml:space="preserve">Floor-type view for a services business.</t>
  </si>
  <si>
    <t xml:space="preserve">Average of the three</t>
  </si>
  <si>
    <t xml:space="preserve">Lowest / highest</t>
  </si>
  <si>
    <t xml:space="preserve">Method used for Cap_Table (1, 2, 3 or 4 = average)</t>
  </si>
  <si>
    <t xml:space="preserve">Default = method 1 (most conservative and most defensible for a jury).</t>
  </si>
  <si>
    <t xml:space="preserve">SELECTED PRE-MONEY VALUATION (CHF)</t>
  </si>
  <si>
    <t xml:space="preserve">Reminder: valuation only matters if the optional round on Financing_Plan is switched on. Bootstrap-first means this sheet is a negotiation aid, not a plan.</t>
  </si>
  <si>
    <t xml:space="preserve">Exit strategy — options, drivers and prerequisites (minor area)</t>
  </si>
  <si>
    <t xml:space="preserve">For a bootstrap-first managed-service business the default 'exit' is a cash-flow business the founder keeps. The others are options to keep open, not the plan.</t>
  </si>
  <si>
    <t xml:space="preserve">Reference values (active scenario)</t>
  </si>
  <si>
    <t xml:space="preserve">2029 ARR run-rate (CHF)</t>
  </si>
  <si>
    <t xml:space="preserve">Indicative 2029 enterprise value at the ARR multiple (CHF)</t>
  </si>
  <si>
    <t xml:space="preserve">EBITDA multiple cross-check (× 2029 EBITDA)</t>
  </si>
  <si>
    <t xml:space="preserve">Placeholder: small profitable services firms 3–6× EBITDA.</t>
  </si>
  <si>
    <t xml:space="preserve">Option</t>
  </si>
  <si>
    <t xml:space="preserve">What it is</t>
  </si>
  <si>
    <t xml:space="preserve">When plausible</t>
  </si>
  <si>
    <t xml:space="preserve">Value driver</t>
  </si>
  <si>
    <t xml:space="preserve">Prerequisites</t>
  </si>
  <si>
    <t xml:space="preserve">Likelihood</t>
  </si>
  <si>
    <t xml:space="preserve">Founder outcome</t>
  </si>
  <si>
    <t xml:space="preserve">Hold &amp; harvest</t>
  </si>
  <si>
    <t xml:space="preserve">Keep VortexDeep as a profitable, founder-owned managed-service business</t>
  </si>
  <si>
    <t xml:space="preserve">2029+</t>
  </si>
  <si>
    <t xml:space="preserve">EBITDA, low capital need</t>
  </si>
  <si>
    <t xml:space="preserve">Break-even sustained; team of 3–4 covering Build/Sell/Run</t>
  </si>
  <si>
    <t xml:space="preserve">Income + optionality; no dilution</t>
  </si>
  <si>
    <t xml:space="preserve">Strategic sale to Swiss IT services / MSP</t>
  </si>
  <si>
    <t xml:space="preserve">Acquirer buys the client base, recurring contracts and the workflow library</t>
  </si>
  <si>
    <t xml:space="preserve">2029–2031</t>
  </si>
  <si>
    <t xml:space="preserve">ARR × multiple; retention; documented processes</t>
  </si>
  <si>
    <t xml:space="preserve">≥30 managed clients; contracts assignable; founder-independent delivery</t>
  </si>
  <si>
    <t xml:space="preserve">Cash at ARR multiple; earn-out likely</t>
  </si>
  <si>
    <t xml:space="preserve">Sale to Treuhand / accounting or ERP network</t>
  </si>
  <si>
    <t xml:space="preserve">Distribution-led buyer that wants automation for its SME base</t>
  </si>
  <si>
    <t xml:space="preserve">Repeatable packages; DACH-ready</t>
  </si>
  <si>
    <t xml:space="preserve">Productised offers; partner pilot proves channel</t>
  </si>
  <si>
    <t xml:space="preserve">Cash + role as head of automation</t>
  </si>
  <si>
    <t xml:space="preserve">Acqui-hire by automation platform / AI vendor</t>
  </si>
  <si>
    <t xml:space="preserve">Team and know-how bought, clients secondary</t>
  </si>
  <si>
    <t xml:space="preserve">2028–2030</t>
  </si>
  <si>
    <t xml:space="preserve">Team, reusable IP, case studies</t>
  </si>
  <si>
    <t xml:space="preserve">Technical co-founder on board; IP owned cleanly by the company</t>
  </si>
  <si>
    <t xml:space="preserve">Salary + retention equity; lower cash</t>
  </si>
  <si>
    <t xml:space="preserve">Licence-out of the workflow library</t>
  </si>
  <si>
    <t xml:space="preserve">Not an exit: recurring licence income from partners running the blueprints</t>
  </si>
  <si>
    <t xml:space="preserve">Licence fees at ~50% of managed-year (Pricing Calc v27)</t>
  </si>
  <si>
    <t xml:space="preserve">Highest-tier build-transfer discipline; legal/IP counsel</t>
  </si>
  <si>
    <t xml:space="preserve">Higher margin, less delivery load</t>
  </si>
  <si>
    <t xml:space="preserve">Management buy-out / succession</t>
  </si>
  <si>
    <t xml:space="preserve">Key hires buy the founder out over time</t>
  </si>
  <si>
    <t xml:space="preserve">2031+</t>
  </si>
  <si>
    <t xml:space="preserve">Stable EBITDA; financed by earnings</t>
  </si>
  <si>
    <t xml:space="preserve">Option pool and vesting in place (Cap_Table)</t>
  </si>
  <si>
    <t xml:space="preserve">Staged cash; continuity</t>
  </si>
  <si>
    <t xml:space="preserve">What keeps every option open: (1) contracts assignable and IP owned by the GmbH, not the founder; (2) documented, founder-independent delivery; (3) clean cap table with vesting; (4) recurring revenue ≥ 70% of total.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</si>
</sst>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mmm\ yyyy"/>
    <numFmt numFmtId="167" formatCode="0.0;\(0.0\);\-"/>
    <numFmt numFmtId="168" formatCode="0.0%;\(0.0%\);\-"/>
    <numFmt numFmtId="169" formatCode="0"/>
    <numFmt numFmtId="170" formatCode="0.0\x"/>
    <numFmt numFmtId="171" formatCode="#,##0.00"/>
    <numFmt numFmtId="172" formatCode="0.00"/>
    <numFmt numFmtId="173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4D9"/>
        <bgColor rgb="FFCCCCFF"/>
      </patternFill>
    </fill>
    <fill>
      <patternFill patternType="solid">
        <fgColor rgb="FF2F4F2F"/>
        <bgColor rgb="FF555555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4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70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1" customFormat="false" ht="15" hidden="false" customHeight="false" outlineLevel="0" collapsed="false">
      <c r="A11" s="3" t="s">
        <v>8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6" t="s">
        <v>9</v>
      </c>
      <c r="B12" s="6" t="s">
        <v>10</v>
      </c>
      <c r="C12" s="6" t="s">
        <v>11</v>
      </c>
    </row>
    <row r="13" customFormat="false" ht="15" hidden="false" customHeight="false" outlineLevel="0" collapsed="false">
      <c r="A13" s="5" t="s">
        <v>12</v>
      </c>
      <c r="B13" s="5" t="s">
        <v>13</v>
      </c>
      <c r="C13" s="5" t="s">
        <v>14</v>
      </c>
    </row>
    <row r="14" customFormat="false" ht="15" hidden="false" customHeight="false" outlineLevel="0" collapsed="false">
      <c r="A14" s="5" t="s">
        <v>15</v>
      </c>
      <c r="B14" s="5" t="s">
        <v>16</v>
      </c>
      <c r="C14" s="5" t="s">
        <v>17</v>
      </c>
    </row>
    <row r="15" customFormat="false" ht="15" hidden="false" customHeight="false" outlineLevel="0" collapsed="false">
      <c r="A15" s="5" t="s">
        <v>18</v>
      </c>
      <c r="B15" s="5" t="s">
        <v>19</v>
      </c>
      <c r="C15" s="5" t="s">
        <v>15</v>
      </c>
    </row>
    <row r="16" customFormat="false" ht="15" hidden="false" customHeight="false" outlineLevel="0" collapsed="false">
      <c r="A16" s="5" t="s">
        <v>20</v>
      </c>
      <c r="B16" s="5" t="s">
        <v>21</v>
      </c>
      <c r="C16" s="5" t="s">
        <v>22</v>
      </c>
    </row>
    <row r="17" customFormat="false" ht="15" hidden="false" customHeight="false" outlineLevel="0" collapsed="false">
      <c r="A17" s="5" t="s">
        <v>23</v>
      </c>
      <c r="B17" s="5" t="s">
        <v>24</v>
      </c>
      <c r="C17" s="5" t="s">
        <v>25</v>
      </c>
    </row>
    <row r="18" customFormat="false" ht="15" hidden="false" customHeight="false" outlineLevel="0" collapsed="false">
      <c r="A18" s="5" t="s">
        <v>26</v>
      </c>
      <c r="B18" s="5" t="s">
        <v>27</v>
      </c>
      <c r="C18" s="5" t="s">
        <v>28</v>
      </c>
    </row>
    <row r="19" customFormat="false" ht="15" hidden="false" customHeight="false" outlineLevel="0" collapsed="false">
      <c r="A19" s="5" t="s">
        <v>29</v>
      </c>
      <c r="B19" s="5" t="s">
        <v>30</v>
      </c>
      <c r="C19" s="5" t="s">
        <v>31</v>
      </c>
    </row>
    <row r="20" customFormat="false" ht="15" hidden="false" customHeight="false" outlineLevel="0" collapsed="false">
      <c r="A20" s="5" t="s">
        <v>32</v>
      </c>
      <c r="B20" s="5" t="s">
        <v>33</v>
      </c>
      <c r="C20" s="5" t="s">
        <v>31</v>
      </c>
    </row>
    <row r="21" customFormat="false" ht="15" hidden="false" customHeight="false" outlineLevel="0" collapsed="false">
      <c r="A21" s="5" t="s">
        <v>34</v>
      </c>
      <c r="B21" s="5" t="s">
        <v>35</v>
      </c>
      <c r="C21" s="5" t="s">
        <v>18</v>
      </c>
    </row>
    <row r="22" customFormat="false" ht="15" hidden="false" customHeight="false" outlineLevel="0" collapsed="false">
      <c r="A22" s="5" t="s">
        <v>36</v>
      </c>
      <c r="B22" s="5" t="s">
        <v>37</v>
      </c>
      <c r="C22" s="5" t="s">
        <v>34</v>
      </c>
    </row>
    <row r="24" customFormat="false" ht="15" hidden="false" customHeight="false" outlineLevel="0" collapsed="false">
      <c r="A24" s="3" t="s">
        <v>38</v>
      </c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5" t="s">
        <v>39</v>
      </c>
      <c r="B25" s="7" t="str">
        <f aca="false">IF(ABS(Assumptions!H17-1)&lt;0.0001,"OK","CHECK")</f>
        <v>OK</v>
      </c>
    </row>
    <row r="26" customFormat="false" ht="15" hidden="false" customHeight="false" outlineLevel="0" collapsed="false">
      <c r="A26" s="5" t="s">
        <v>40</v>
      </c>
      <c r="B26" s="7" t="str">
        <f aca="false">IF(MAX(ABS(Balance_Sheet!B24),ABS(Balance_Sheet!C24),ABS(Balance_Sheet!D24),ABS(Balance_Sheet!E24))&lt;1,"OK","CHECK")</f>
        <v>OK</v>
      </c>
    </row>
    <row r="27" customFormat="false" ht="15" hidden="false" customHeight="false" outlineLevel="0" collapsed="false">
      <c r="A27" s="5" t="s">
        <v>41</v>
      </c>
      <c r="B27" s="7" t="str">
        <f aca="false">IF(ABS(Use_of_Funds!B14-1)&lt;0.0001,"OK","CHECK")</f>
        <v>OK</v>
      </c>
    </row>
    <row r="28" customFormat="false" ht="15" hidden="false" customHeight="false" outlineLevel="0" collapsed="false">
      <c r="A28" s="5" t="s">
        <v>42</v>
      </c>
      <c r="B28" s="7" t="str">
        <f aca="false">IF(MAX(ABS(Cap_Table!B16-1),ABS(Cap_Table!C16-1),ABS(Cap_Table!D16-1),ABS(Cap_Table!E16-1))&lt;0.0001,"OK","CHECK")</f>
        <v>OK</v>
      </c>
    </row>
    <row r="30" customFormat="false" ht="15" hidden="false" customHeight="false" outlineLevel="0" collapsed="false">
      <c r="A30" s="3" t="s">
        <v>43</v>
      </c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5" t="s">
        <v>44</v>
      </c>
      <c r="B31" s="8" t="str">
        <f aca="false">Assumptions!B4</f>
        <v>Base</v>
      </c>
    </row>
    <row r="32" customFormat="false" ht="15" hidden="false" customHeight="false" outlineLevel="0" collapsed="false">
      <c r="A32" s="5" t="s">
        <v>45</v>
      </c>
      <c r="B32" s="9" t="n">
        <f aca="false">PnL!E12</f>
        <v>454702.3125</v>
      </c>
    </row>
    <row r="33" customFormat="false" ht="15" hidden="false" customHeight="false" outlineLevel="0" collapsed="false">
      <c r="A33" s="5" t="s">
        <v>46</v>
      </c>
      <c r="B33" s="9" t="n">
        <f aca="false">PnL!E13</f>
        <v>457237.5</v>
      </c>
    </row>
    <row r="34" customFormat="false" ht="15" hidden="false" customHeight="false" outlineLevel="0" collapsed="false">
      <c r="A34" s="5" t="s">
        <v>47</v>
      </c>
      <c r="B34" s="9" t="n">
        <f aca="false">PnL!E21</f>
        <v>-10411.965</v>
      </c>
    </row>
    <row r="35" customFormat="false" ht="15" hidden="false" customHeight="false" outlineLevel="0" collapsed="false">
      <c r="A35" s="5" t="s">
        <v>48</v>
      </c>
      <c r="B35" s="10" t="n">
        <f aca="false">PnL!B28</f>
        <v>47331</v>
      </c>
    </row>
    <row r="36" customFormat="false" ht="15" hidden="false" customHeight="false" outlineLevel="0" collapsed="false">
      <c r="A36" s="5" t="s">
        <v>49</v>
      </c>
      <c r="B36" s="11" t="n">
        <f aca="false">PnL!B29</f>
        <v>29</v>
      </c>
    </row>
    <row r="37" customFormat="false" ht="15" hidden="false" customHeight="false" outlineLevel="0" collapsed="false">
      <c r="A37" s="5" t="s">
        <v>50</v>
      </c>
      <c r="B37" s="9" t="n">
        <f aca="false">PnL!B31</f>
        <v>-31925.90235</v>
      </c>
    </row>
    <row r="38" customFormat="false" ht="15" hidden="false" customHeight="false" outlineLevel="0" collapsed="false">
      <c r="A38" s="5" t="s">
        <v>51</v>
      </c>
      <c r="B38" s="9" t="n">
        <f aca="false">PnL!B33</f>
        <v>31925.90235</v>
      </c>
    </row>
    <row r="39" customFormat="false" ht="15" hidden="false" customHeight="false" outlineLevel="0" collapsed="false">
      <c r="A39" s="5" t="s">
        <v>52</v>
      </c>
      <c r="B39" s="9" t="n">
        <f aca="false">Valuation!B40</f>
        <v>459565.03644605</v>
      </c>
    </row>
    <row r="41" customFormat="false" ht="15" hidden="false" customHeight="false" outlineLevel="0" collapsed="false">
      <c r="A41" s="3" t="s">
        <v>53</v>
      </c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5" t="s">
        <v>54</v>
      </c>
    </row>
    <row r="43" customFormat="false" ht="15" hidden="false" customHeight="false" outlineLevel="0" collapsed="false">
      <c r="A43" s="5" t="s">
        <v>55</v>
      </c>
    </row>
    <row r="44" customFormat="false" ht="15" hidden="false" customHeight="false" outlineLevel="0" collapsed="false">
      <c r="A44" s="5" t="s">
        <v>56</v>
      </c>
    </row>
    <row r="45" customFormat="false" ht="15" hidden="false" customHeight="false" outlineLevel="0" collapsed="false">
      <c r="A45" s="5" t="s">
        <v>57</v>
      </c>
    </row>
    <row r="46" customFormat="false" ht="15" hidden="false" customHeight="false" outlineLevel="0" collapsed="false">
      <c r="A46" s="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3"/>
    <col collapsed="false" customWidth="true" hidden="false" outlineLevel="0" max="9" min="9" style="0" width="3"/>
    <col collapsed="false" customWidth="true" hidden="false" outlineLevel="0" max="10" min="10" style="0" width="90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12" t="s">
        <v>44</v>
      </c>
      <c r="B4" s="13" t="s">
        <v>61</v>
      </c>
      <c r="C4" s="2" t="s">
        <v>62</v>
      </c>
      <c r="D4" s="5" t="s">
        <v>63</v>
      </c>
      <c r="E4" s="5" t="s">
        <v>61</v>
      </c>
      <c r="F4" s="5" t="s">
        <v>64</v>
      </c>
    </row>
    <row r="5" customFormat="false" ht="15" hidden="false" customHeight="false" outlineLevel="0" collapsed="false">
      <c r="A5" s="5" t="s">
        <v>65</v>
      </c>
      <c r="B5" s="5" t="n">
        <f aca="false">MATCH(B4,D4:F4,0)</f>
        <v>2</v>
      </c>
    </row>
    <row r="7" customFormat="false" ht="15" hidden="false" customHeight="false" outlineLevel="0" collapsed="false">
      <c r="A7" s="5" t="s">
        <v>66</v>
      </c>
      <c r="B7" s="14" t="n">
        <v>46204</v>
      </c>
      <c r="J7" s="2" t="s">
        <v>67</v>
      </c>
    </row>
    <row r="8" customFormat="false" ht="15" hidden="false" customHeight="false" outlineLevel="0" collapsed="false">
      <c r="A8" s="5" t="s">
        <v>68</v>
      </c>
      <c r="B8" s="15" t="n">
        <f aca="false">EDATE(B7,41)</f>
        <v>47453</v>
      </c>
    </row>
    <row r="10" customFormat="false" ht="15" hidden="false" customHeight="false" outlineLevel="0" collapsed="false">
      <c r="A10" s="3" t="s">
        <v>69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6" t="s">
        <v>70</v>
      </c>
      <c r="B11" s="6" t="s">
        <v>71</v>
      </c>
      <c r="C11" s="6" t="s">
        <v>72</v>
      </c>
      <c r="D11" s="6" t="s">
        <v>73</v>
      </c>
      <c r="E11" s="6" t="s">
        <v>74</v>
      </c>
      <c r="F11" s="6" t="s">
        <v>75</v>
      </c>
      <c r="G11" s="6" t="s">
        <v>76</v>
      </c>
      <c r="H11" s="6" t="s">
        <v>77</v>
      </c>
      <c r="J11" s="12" t="s">
        <v>78</v>
      </c>
    </row>
    <row r="12" customFormat="false" ht="15" hidden="false" customHeight="false" outlineLevel="0" collapsed="false">
      <c r="A12" s="5" t="s">
        <v>79</v>
      </c>
      <c r="B12" s="16" t="n">
        <v>750</v>
      </c>
      <c r="C12" s="16" t="n">
        <v>1800</v>
      </c>
      <c r="D12" s="17" t="n">
        <f aca="false">(B12+C12)/2</f>
        <v>1275</v>
      </c>
      <c r="E12" s="16" t="n">
        <v>150</v>
      </c>
      <c r="F12" s="16" t="n">
        <v>450</v>
      </c>
      <c r="G12" s="17" t="n">
        <f aca="false">(E12+F12)/2</f>
        <v>300</v>
      </c>
      <c r="H12" s="18" t="n">
        <v>0.2</v>
      </c>
      <c r="J12" s="2" t="s">
        <v>80</v>
      </c>
    </row>
    <row r="13" customFormat="false" ht="15" hidden="false" customHeight="false" outlineLevel="0" collapsed="false">
      <c r="A13" s="5" t="s">
        <v>81</v>
      </c>
      <c r="B13" s="16" t="n">
        <v>1500</v>
      </c>
      <c r="C13" s="16" t="n">
        <v>3500</v>
      </c>
      <c r="D13" s="17" t="n">
        <f aca="false">(B13+C13)/2</f>
        <v>2500</v>
      </c>
      <c r="E13" s="16" t="n">
        <v>300</v>
      </c>
      <c r="F13" s="16" t="n">
        <v>750</v>
      </c>
      <c r="G13" s="17" t="n">
        <f aca="false">(E13+F13)/2</f>
        <v>525</v>
      </c>
      <c r="H13" s="18" t="n">
        <v>0.35</v>
      </c>
      <c r="J13" s="2" t="s">
        <v>80</v>
      </c>
    </row>
    <row r="14" customFormat="false" ht="15" hidden="false" customHeight="false" outlineLevel="0" collapsed="false">
      <c r="A14" s="5" t="s">
        <v>82</v>
      </c>
      <c r="B14" s="16" t="n">
        <v>3500</v>
      </c>
      <c r="C14" s="16" t="n">
        <v>7500</v>
      </c>
      <c r="D14" s="17" t="n">
        <f aca="false">(B14+C14)/2</f>
        <v>5500</v>
      </c>
      <c r="E14" s="16" t="n">
        <v>750</v>
      </c>
      <c r="F14" s="16" t="n">
        <v>1500</v>
      </c>
      <c r="G14" s="17" t="n">
        <f aca="false">(E14+F14)/2</f>
        <v>1125</v>
      </c>
      <c r="H14" s="18" t="n">
        <v>0.25</v>
      </c>
      <c r="J14" s="2" t="s">
        <v>80</v>
      </c>
    </row>
    <row r="15" customFormat="false" ht="15" hidden="false" customHeight="false" outlineLevel="0" collapsed="false">
      <c r="A15" s="5" t="s">
        <v>83</v>
      </c>
      <c r="B15" s="16" t="n">
        <v>7500</v>
      </c>
      <c r="C15" s="16" t="n">
        <v>15000</v>
      </c>
      <c r="D15" s="17" t="n">
        <f aca="false">(B15+C15)/2</f>
        <v>11250</v>
      </c>
      <c r="E15" s="16" t="n">
        <v>1500</v>
      </c>
      <c r="F15" s="16" t="n">
        <v>3500</v>
      </c>
      <c r="G15" s="17" t="n">
        <f aca="false">(E15+F15)/2</f>
        <v>2500</v>
      </c>
      <c r="H15" s="18" t="n">
        <v>0.15</v>
      </c>
      <c r="J15" s="2" t="s">
        <v>80</v>
      </c>
    </row>
    <row r="16" customFormat="false" ht="15" hidden="false" customHeight="false" outlineLevel="0" collapsed="false">
      <c r="A16" s="5" t="s">
        <v>84</v>
      </c>
      <c r="B16" s="16" t="n">
        <v>12000</v>
      </c>
      <c r="C16" s="16" t="n">
        <v>30000</v>
      </c>
      <c r="D16" s="17" t="n">
        <f aca="false">(B16+C16)/2</f>
        <v>21000</v>
      </c>
      <c r="E16" s="16" t="n">
        <v>2500</v>
      </c>
      <c r="F16" s="16" t="n">
        <v>6000</v>
      </c>
      <c r="G16" s="17" t="n">
        <f aca="false">(E16+F16)/2</f>
        <v>4250</v>
      </c>
      <c r="H16" s="18" t="n">
        <v>0.05</v>
      </c>
      <c r="J16" s="2" t="s">
        <v>80</v>
      </c>
    </row>
    <row r="17" customFormat="false" ht="15" hidden="false" customHeight="false" outlineLevel="0" collapsed="false">
      <c r="A17" s="12" t="s">
        <v>85</v>
      </c>
      <c r="D17" s="19" t="n">
        <f aca="false">SUMPRODUCT(D12:D16,H12:H16)/SUM(H12:H16)</f>
        <v>5242.5</v>
      </c>
      <c r="G17" s="19" t="n">
        <f aca="false">SUMPRODUCT(G12:G16,H12:H16)/SUM(H12:H16)</f>
        <v>1112.5</v>
      </c>
      <c r="H17" s="20" t="n">
        <f aca="false">SUM(H12:H16)</f>
        <v>1</v>
      </c>
      <c r="J17" s="2" t="s">
        <v>86</v>
      </c>
    </row>
    <row r="18" customFormat="false" ht="15" hidden="false" customHeight="false" outlineLevel="0" collapsed="false">
      <c r="A18" s="5" t="s">
        <v>87</v>
      </c>
      <c r="B18" s="19" t="n">
        <f aca="false">G17*12</f>
        <v>13350</v>
      </c>
    </row>
    <row r="20" customFormat="false" ht="15" hidden="false" customHeight="false" outlineLevel="0" collapsed="false">
      <c r="A20" s="3" t="s">
        <v>88</v>
      </c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12" t="s">
        <v>89</v>
      </c>
      <c r="B21" s="21" t="n">
        <v>2026</v>
      </c>
      <c r="C21" s="21" t="n">
        <v>2027</v>
      </c>
      <c r="D21" s="21" t="n">
        <v>2028</v>
      </c>
      <c r="E21" s="21" t="n">
        <v>2029</v>
      </c>
    </row>
    <row r="22" customFormat="false" ht="15" hidden="false" customHeight="false" outlineLevel="0" collapsed="false">
      <c r="A22" s="5" t="s">
        <v>90</v>
      </c>
      <c r="B22" s="18" t="n">
        <v>0.5</v>
      </c>
      <c r="C22" s="18" t="n">
        <v>0.85</v>
      </c>
      <c r="D22" s="18" t="n">
        <v>1</v>
      </c>
      <c r="E22" s="18" t="n">
        <v>1</v>
      </c>
      <c r="J22" s="2" t="s">
        <v>91</v>
      </c>
    </row>
    <row r="24" customFormat="false" ht="15" hidden="false" customHeight="false" outlineLevel="0" collapsed="false">
      <c r="A24" s="3" t="s">
        <v>92</v>
      </c>
      <c r="B24" s="4"/>
      <c r="C24" s="4"/>
      <c r="D24" s="4"/>
      <c r="E24" s="4"/>
      <c r="F24" s="4"/>
      <c r="G24" s="4"/>
      <c r="H24" s="4"/>
      <c r="I24" s="4"/>
      <c r="J24" s="4"/>
    </row>
    <row r="25" customFormat="false" ht="15" hidden="false" customHeight="false" outlineLevel="0" collapsed="false">
      <c r="A25" s="6" t="s">
        <v>89</v>
      </c>
      <c r="B25" s="6" t="s">
        <v>63</v>
      </c>
      <c r="C25" s="6" t="s">
        <v>61</v>
      </c>
      <c r="D25" s="6" t="s">
        <v>64</v>
      </c>
      <c r="E25" s="6" t="s">
        <v>93</v>
      </c>
    </row>
    <row r="26" customFormat="false" ht="15" hidden="false" customHeight="false" outlineLevel="0" collapsed="false">
      <c r="A26" s="22" t="n">
        <v>2026</v>
      </c>
      <c r="B26" s="23" t="n">
        <v>1</v>
      </c>
      <c r="C26" s="23" t="n">
        <v>2</v>
      </c>
      <c r="D26" s="23" t="n">
        <v>2</v>
      </c>
      <c r="E26" s="21" t="n">
        <f aca="false">INDEX(B26:D26,$B$5)</f>
        <v>2</v>
      </c>
      <c r="J26" s="2" t="s">
        <v>94</v>
      </c>
    </row>
    <row r="27" customFormat="false" ht="15" hidden="false" customHeight="false" outlineLevel="0" collapsed="false">
      <c r="A27" s="22" t="n">
        <v>2027</v>
      </c>
      <c r="B27" s="23" t="n">
        <v>4</v>
      </c>
      <c r="C27" s="23" t="n">
        <v>7</v>
      </c>
      <c r="D27" s="23" t="n">
        <v>8</v>
      </c>
      <c r="E27" s="21" t="n">
        <f aca="false">INDEX(B27:D27,$B$5)</f>
        <v>7</v>
      </c>
    </row>
    <row r="28" customFormat="false" ht="15" hidden="false" customHeight="false" outlineLevel="0" collapsed="false">
      <c r="A28" s="22" t="n">
        <v>2028</v>
      </c>
      <c r="B28" s="23" t="n">
        <v>9</v>
      </c>
      <c r="C28" s="23" t="n">
        <v>17</v>
      </c>
      <c r="D28" s="23" t="n">
        <v>20</v>
      </c>
      <c r="E28" s="21" t="n">
        <f aca="false">INDEX(B28:D28,$B$5)</f>
        <v>17</v>
      </c>
    </row>
    <row r="29" customFormat="false" ht="15" hidden="false" customHeight="false" outlineLevel="0" collapsed="false">
      <c r="A29" s="22" t="n">
        <v>2029</v>
      </c>
      <c r="B29" s="23" t="n">
        <v>16</v>
      </c>
      <c r="C29" s="23" t="n">
        <v>35</v>
      </c>
      <c r="D29" s="23" t="n">
        <v>40</v>
      </c>
      <c r="E29" s="21" t="n">
        <f aca="false">INDEX(B29:D29,$B$5)</f>
        <v>35</v>
      </c>
    </row>
    <row r="30" customFormat="false" ht="15" hidden="false" customHeight="false" outlineLevel="0" collapsed="false">
      <c r="A30" s="5" t="s">
        <v>95</v>
      </c>
      <c r="B30" s="24" t="n">
        <v>0.15</v>
      </c>
      <c r="C30" s="24" t="n">
        <v>0.1</v>
      </c>
      <c r="D30" s="24" t="n">
        <v>0.08</v>
      </c>
      <c r="E30" s="20" t="n">
        <f aca="false">INDEX(B30:D30,$B$5)</f>
        <v>0.1</v>
      </c>
      <c r="J30" s="2" t="s">
        <v>96</v>
      </c>
    </row>
    <row r="32" customFormat="false" ht="15" hidden="false" customHeight="false" outlineLevel="0" collapsed="false">
      <c r="A32" s="3" t="s">
        <v>97</v>
      </c>
      <c r="B32" s="4"/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false" outlineLevel="0" collapsed="false">
      <c r="A33" s="5" t="s">
        <v>98</v>
      </c>
      <c r="B33" s="16" t="n">
        <v>60</v>
      </c>
      <c r="J33" s="2" t="s">
        <v>99</v>
      </c>
    </row>
    <row r="34" customFormat="false" ht="15" hidden="false" customHeight="false" outlineLevel="0" collapsed="false">
      <c r="A34" s="5" t="s">
        <v>100</v>
      </c>
      <c r="B34" s="16" t="n">
        <v>150</v>
      </c>
    </row>
    <row r="35" customFormat="false" ht="15" hidden="false" customHeight="false" outlineLevel="0" collapsed="false">
      <c r="A35" s="5" t="s">
        <v>101</v>
      </c>
      <c r="B35" s="24" t="n">
        <v>0.1</v>
      </c>
      <c r="J35" s="2" t="s">
        <v>102</v>
      </c>
    </row>
    <row r="36" customFormat="false" ht="15" hidden="false" customHeight="false" outlineLevel="0" collapsed="false">
      <c r="A36" s="5" t="s">
        <v>103</v>
      </c>
      <c r="B36" s="24" t="n">
        <v>0.02</v>
      </c>
    </row>
    <row r="38" customFormat="false" ht="15" hidden="false" customHeight="false" outlineLevel="0" collapsed="false">
      <c r="A38" s="3" t="s">
        <v>104</v>
      </c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false" outlineLevel="0" collapsed="false">
      <c r="A39" s="12" t="s">
        <v>105</v>
      </c>
      <c r="B39" s="21" t="n">
        <v>2026</v>
      </c>
      <c r="C39" s="21" t="n">
        <v>2027</v>
      </c>
      <c r="D39" s="21" t="n">
        <v>2028</v>
      </c>
      <c r="E39" s="21" t="n">
        <v>2029</v>
      </c>
      <c r="J39" s="12" t="s">
        <v>106</v>
      </c>
    </row>
    <row r="40" customFormat="false" ht="15" hidden="false" customHeight="false" outlineLevel="0" collapsed="false">
      <c r="A40" s="5" t="s">
        <v>107</v>
      </c>
      <c r="B40" s="25" t="n">
        <v>0</v>
      </c>
      <c r="C40" s="25" t="n">
        <v>30000</v>
      </c>
      <c r="D40" s="25" t="n">
        <v>60000</v>
      </c>
      <c r="E40" s="25" t="n">
        <v>84000</v>
      </c>
      <c r="J40" s="2" t="s">
        <v>108</v>
      </c>
    </row>
    <row r="41" customFormat="false" ht="15" hidden="false" customHeight="false" outlineLevel="0" collapsed="false">
      <c r="A41" s="5" t="s">
        <v>109</v>
      </c>
      <c r="B41" s="25" t="n">
        <v>0</v>
      </c>
      <c r="C41" s="25" t="n">
        <v>0</v>
      </c>
      <c r="D41" s="25" t="n">
        <v>48000</v>
      </c>
      <c r="E41" s="25" t="n">
        <v>72000</v>
      </c>
      <c r="J41" s="2" t="s">
        <v>110</v>
      </c>
    </row>
    <row r="42" customFormat="false" ht="15" hidden="false" customHeight="false" outlineLevel="0" collapsed="false">
      <c r="A42" s="5" t="s">
        <v>111</v>
      </c>
      <c r="B42" s="25" t="n">
        <v>0</v>
      </c>
      <c r="C42" s="25" t="n">
        <v>0</v>
      </c>
      <c r="D42" s="25" t="n">
        <v>30000</v>
      </c>
      <c r="E42" s="25" t="n">
        <v>72000</v>
      </c>
      <c r="J42" s="2" t="s">
        <v>112</v>
      </c>
    </row>
    <row r="43" customFormat="false" ht="15" hidden="false" customHeight="false" outlineLevel="0" collapsed="false">
      <c r="A43" s="5" t="s">
        <v>113</v>
      </c>
      <c r="B43" s="25" t="n">
        <v>0</v>
      </c>
      <c r="C43" s="25" t="n">
        <v>0</v>
      </c>
      <c r="D43" s="25" t="n">
        <v>0</v>
      </c>
      <c r="E43" s="25" t="n">
        <v>80000</v>
      </c>
      <c r="J43" s="2" t="s">
        <v>114</v>
      </c>
    </row>
    <row r="44" customFormat="false" ht="15" hidden="false" customHeight="false" outlineLevel="0" collapsed="false">
      <c r="A44" s="5" t="s">
        <v>115</v>
      </c>
      <c r="B44" s="24" t="n">
        <v>0.15</v>
      </c>
      <c r="J44" s="2" t="s">
        <v>116</v>
      </c>
    </row>
    <row r="46" customFormat="false" ht="15" hidden="false" customHeight="false" outlineLevel="0" collapsed="false">
      <c r="A46" s="3" t="s">
        <v>117</v>
      </c>
      <c r="B46" s="4"/>
      <c r="C46" s="4"/>
      <c r="D46" s="4"/>
      <c r="E46" s="4"/>
      <c r="F46" s="4"/>
      <c r="G46" s="4"/>
      <c r="H46" s="4"/>
      <c r="I46" s="4"/>
      <c r="J46" s="4"/>
    </row>
    <row r="47" customFormat="false" ht="15" hidden="false" customHeight="false" outlineLevel="0" collapsed="false">
      <c r="A47" s="12" t="s">
        <v>118</v>
      </c>
      <c r="B47" s="21" t="n">
        <v>2026</v>
      </c>
      <c r="C47" s="21" t="n">
        <v>2027</v>
      </c>
      <c r="D47" s="21" t="n">
        <v>2028</v>
      </c>
      <c r="E47" s="21" t="n">
        <v>2029</v>
      </c>
    </row>
    <row r="48" customFormat="false" ht="15" hidden="false" customHeight="false" outlineLevel="0" collapsed="false">
      <c r="A48" s="5" t="s">
        <v>119</v>
      </c>
      <c r="B48" s="16" t="n">
        <v>4000</v>
      </c>
      <c r="C48" s="16" t="n">
        <v>8000</v>
      </c>
      <c r="D48" s="16" t="n">
        <v>10000</v>
      </c>
      <c r="E48" s="16" t="n">
        <v>12000</v>
      </c>
      <c r="J48" s="2" t="s">
        <v>120</v>
      </c>
    </row>
    <row r="49" customFormat="false" ht="15" hidden="false" customHeight="false" outlineLevel="0" collapsed="false">
      <c r="A49" s="5" t="s">
        <v>121</v>
      </c>
      <c r="B49" s="16" t="n">
        <v>1000</v>
      </c>
      <c r="C49" s="16" t="n">
        <v>2000</v>
      </c>
      <c r="D49" s="16" t="n">
        <v>3000</v>
      </c>
      <c r="E49" s="16" t="n">
        <v>4000</v>
      </c>
    </row>
    <row r="50" customFormat="false" ht="15" hidden="false" customHeight="false" outlineLevel="0" collapsed="false">
      <c r="A50" s="5" t="s">
        <v>122</v>
      </c>
      <c r="B50" s="16" t="n">
        <v>2000</v>
      </c>
      <c r="C50" s="16" t="n">
        <v>6000</v>
      </c>
      <c r="D50" s="16" t="n">
        <v>12000</v>
      </c>
      <c r="E50" s="16" t="n">
        <v>20000</v>
      </c>
    </row>
    <row r="51" customFormat="false" ht="15" hidden="false" customHeight="false" outlineLevel="0" collapsed="false">
      <c r="A51" s="5" t="s">
        <v>123</v>
      </c>
      <c r="B51" s="16" t="n">
        <v>1000</v>
      </c>
      <c r="C51" s="16" t="n">
        <v>3000</v>
      </c>
      <c r="D51" s="16" t="n">
        <v>6000</v>
      </c>
      <c r="E51" s="16" t="n">
        <v>10000</v>
      </c>
    </row>
    <row r="52" customFormat="false" ht="15" hidden="false" customHeight="false" outlineLevel="0" collapsed="false">
      <c r="A52" s="5" t="s">
        <v>124</v>
      </c>
      <c r="B52" s="16" t="n">
        <v>1500</v>
      </c>
      <c r="C52" s="16" t="n">
        <v>3000</v>
      </c>
      <c r="D52" s="16" t="n">
        <v>4000</v>
      </c>
      <c r="E52" s="16" t="n">
        <v>6000</v>
      </c>
    </row>
    <row r="53" customFormat="false" ht="15" hidden="false" customHeight="false" outlineLevel="0" collapsed="false">
      <c r="A53" s="5" t="s">
        <v>125</v>
      </c>
      <c r="B53" s="16" t="n">
        <v>0</v>
      </c>
      <c r="C53" s="16" t="n">
        <v>0</v>
      </c>
      <c r="D53" s="16" t="n">
        <v>6000</v>
      </c>
      <c r="E53" s="16" t="n">
        <v>12000</v>
      </c>
    </row>
    <row r="54" customFormat="false" ht="15" hidden="false" customHeight="false" outlineLevel="0" collapsed="false">
      <c r="A54" s="5" t="s">
        <v>126</v>
      </c>
      <c r="B54" s="16" t="n">
        <v>500</v>
      </c>
      <c r="C54" s="16" t="n">
        <v>2000</v>
      </c>
      <c r="D54" s="16" t="n">
        <v>4000</v>
      </c>
      <c r="E54" s="16" t="n">
        <v>6000</v>
      </c>
    </row>
    <row r="55" customFormat="false" ht="15" hidden="false" customHeight="false" outlineLevel="0" collapsed="false">
      <c r="A55" s="12" t="s">
        <v>127</v>
      </c>
      <c r="B55" s="26" t="n">
        <f aca="false">SUM(B48:B54)</f>
        <v>10000</v>
      </c>
      <c r="C55" s="26" t="n">
        <f aca="false">SUM(C48:C54)</f>
        <v>24000</v>
      </c>
      <c r="D55" s="26" t="n">
        <f aca="false">SUM(D48:D54)</f>
        <v>45000</v>
      </c>
      <c r="E55" s="26" t="n">
        <f aca="false">SUM(E48:E54)</f>
        <v>70000</v>
      </c>
    </row>
    <row r="57" customFormat="false" ht="15" hidden="false" customHeight="false" outlineLevel="0" collapsed="false">
      <c r="A57" s="3" t="s">
        <v>128</v>
      </c>
      <c r="B57" s="4"/>
      <c r="C57" s="4"/>
      <c r="D57" s="4"/>
      <c r="E57" s="4"/>
      <c r="F57" s="4"/>
      <c r="G57" s="4"/>
      <c r="H57" s="4"/>
      <c r="I57" s="4"/>
      <c r="J57" s="4"/>
    </row>
    <row r="58" customFormat="false" ht="15" hidden="false" customHeight="false" outlineLevel="0" collapsed="false">
      <c r="A58" s="5" t="s">
        <v>129</v>
      </c>
      <c r="B58" s="27" t="n">
        <v>30</v>
      </c>
      <c r="J58" s="2" t="s">
        <v>130</v>
      </c>
    </row>
    <row r="59" customFormat="false" ht="15" hidden="false" customHeight="false" outlineLevel="0" collapsed="false">
      <c r="A59" s="5" t="s">
        <v>131</v>
      </c>
      <c r="B59" s="24" t="n">
        <v>0.2</v>
      </c>
      <c r="J59" s="2" t="s">
        <v>132</v>
      </c>
    </row>
  </sheetData>
  <dataValidations count="1">
    <dataValidation allowBlank="false" errorStyle="stop" operator="between" showDropDown="false" showErrorMessage="false" showInputMessage="false" sqref="B4" type="list">
      <formula1>"Low,Base,High"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6" t="s">
        <v>135</v>
      </c>
      <c r="B4" s="6" t="s">
        <v>136</v>
      </c>
      <c r="C4" s="6" t="s">
        <v>137</v>
      </c>
      <c r="D4" s="6" t="s">
        <v>138</v>
      </c>
      <c r="E4" s="6" t="s">
        <v>139</v>
      </c>
      <c r="F4" s="6" t="s">
        <v>140</v>
      </c>
      <c r="G4" s="6" t="s">
        <v>141</v>
      </c>
      <c r="H4" s="6" t="s">
        <v>106</v>
      </c>
    </row>
    <row r="5" customFormat="false" ht="15" hidden="false" customHeight="false" outlineLevel="0" collapsed="false">
      <c r="A5" s="22" t="n">
        <v>1</v>
      </c>
      <c r="B5" s="14" t="n">
        <v>46204</v>
      </c>
      <c r="C5" s="28" t="s">
        <v>142</v>
      </c>
      <c r="D5" s="28" t="s">
        <v>143</v>
      </c>
      <c r="E5" s="25" t="n">
        <v>20000</v>
      </c>
      <c r="F5" s="29" t="n">
        <v>1</v>
      </c>
      <c r="G5" s="5" t="s">
        <v>144</v>
      </c>
      <c r="H5" s="2" t="s">
        <v>145</v>
      </c>
    </row>
    <row r="6" customFormat="false" ht="15" hidden="false" customHeight="false" outlineLevel="0" collapsed="false">
      <c r="A6" s="22" t="n">
        <v>2</v>
      </c>
      <c r="B6" s="14" t="n">
        <v>46204</v>
      </c>
      <c r="C6" s="28" t="s">
        <v>146</v>
      </c>
      <c r="D6" s="28" t="s">
        <v>143</v>
      </c>
      <c r="E6" s="25" t="n">
        <v>10000</v>
      </c>
      <c r="F6" s="29" t="n">
        <v>1</v>
      </c>
      <c r="G6" s="5" t="s">
        <v>147</v>
      </c>
      <c r="H6" s="2" t="s">
        <v>148</v>
      </c>
    </row>
    <row r="7" customFormat="false" ht="15" hidden="false" customHeight="false" outlineLevel="0" collapsed="false">
      <c r="A7" s="22" t="n">
        <v>3</v>
      </c>
      <c r="B7" s="14" t="n">
        <v>46478</v>
      </c>
      <c r="C7" s="28" t="s">
        <v>149</v>
      </c>
      <c r="D7" s="28" t="s">
        <v>150</v>
      </c>
      <c r="E7" s="25" t="n">
        <v>15000</v>
      </c>
      <c r="F7" s="29" t="n">
        <v>0</v>
      </c>
      <c r="G7" s="5" t="s">
        <v>151</v>
      </c>
      <c r="H7" s="2" t="s">
        <v>152</v>
      </c>
    </row>
    <row r="8" customFormat="false" ht="15" hidden="false" customHeight="false" outlineLevel="0" collapsed="false">
      <c r="A8" s="22" t="n">
        <v>4</v>
      </c>
      <c r="B8" s="14" t="n">
        <v>46753</v>
      </c>
      <c r="C8" s="28" t="s">
        <v>153</v>
      </c>
      <c r="D8" s="28" t="s">
        <v>143</v>
      </c>
      <c r="E8" s="25" t="n">
        <v>150000</v>
      </c>
      <c r="F8" s="29" t="n">
        <v>0</v>
      </c>
      <c r="G8" s="5" t="s">
        <v>154</v>
      </c>
      <c r="H8" s="2" t="s">
        <v>155</v>
      </c>
    </row>
    <row r="9" customFormat="false" ht="15" hidden="false" customHeight="false" outlineLevel="0" collapsed="false">
      <c r="A9" s="22" t="n">
        <v>5</v>
      </c>
      <c r="B9" s="14" t="n">
        <v>46935</v>
      </c>
      <c r="C9" s="28" t="s">
        <v>156</v>
      </c>
      <c r="D9" s="28" t="s">
        <v>157</v>
      </c>
      <c r="E9" s="25" t="n">
        <v>50000</v>
      </c>
      <c r="F9" s="29" t="n">
        <v>0</v>
      </c>
      <c r="G9" s="5" t="s">
        <v>158</v>
      </c>
      <c r="H9" s="2" t="s">
        <v>159</v>
      </c>
    </row>
    <row r="10" customFormat="false" ht="15" hidden="false" customHeight="false" outlineLevel="0" collapsed="false">
      <c r="A10" s="22" t="n">
        <v>6</v>
      </c>
      <c r="B10" s="14" t="n">
        <v>47300</v>
      </c>
      <c r="C10" s="28" t="s">
        <v>160</v>
      </c>
      <c r="D10" s="28" t="s">
        <v>161</v>
      </c>
      <c r="E10" s="25" t="n">
        <v>25000</v>
      </c>
      <c r="F10" s="29" t="n">
        <v>0</v>
      </c>
      <c r="G10" s="5" t="s">
        <v>162</v>
      </c>
      <c r="H10" s="2" t="s">
        <v>163</v>
      </c>
    </row>
    <row r="12" customFormat="false" ht="15" hidden="false" customHeight="false" outlineLevel="0" collapsed="false">
      <c r="A12" s="2" t="s">
        <v>164</v>
      </c>
    </row>
    <row r="13" customFormat="false" ht="15" hidden="false" customHeight="false" outlineLevel="0" collapsed="false">
      <c r="A13" s="5" t="s">
        <v>165</v>
      </c>
      <c r="E13" s="19" t="n">
        <f aca="false">SUMIFS(E5:E11,D5:D11,"Equity",F5:F11,1)</f>
        <v>30000</v>
      </c>
    </row>
    <row r="14" customFormat="false" ht="15" hidden="false" customHeight="false" outlineLevel="0" collapsed="false">
      <c r="A14" s="5" t="s">
        <v>166</v>
      </c>
      <c r="E14" s="19" t="n">
        <f aca="false">SUMIFS(E5:E11,D5:D11,"Debt",F5:F11,1)</f>
        <v>0</v>
      </c>
    </row>
    <row r="15" customFormat="false" ht="15" hidden="false" customHeight="false" outlineLevel="0" collapsed="false">
      <c r="A15" s="5" t="s">
        <v>167</v>
      </c>
      <c r="E15" s="19" t="n">
        <f aca="false">SUMIFS(E5:E11,D5:D11,"Grant",F5:F11,1)</f>
        <v>0</v>
      </c>
    </row>
    <row r="22" customFormat="false" ht="15" hidden="false" customHeight="false" outlineLevel="0" collapsed="false">
      <c r="A22" s="3" t="s">
        <v>168</v>
      </c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6" t="s">
        <v>169</v>
      </c>
      <c r="B23" s="6" t="s">
        <v>170</v>
      </c>
      <c r="C23" s="6" t="s">
        <v>171</v>
      </c>
      <c r="D23" s="6" t="s">
        <v>172</v>
      </c>
      <c r="E23" s="6" t="s">
        <v>173</v>
      </c>
      <c r="F23" s="6" t="s">
        <v>174</v>
      </c>
      <c r="G23" s="6" t="s">
        <v>175</v>
      </c>
      <c r="H23" s="6" t="s">
        <v>176</v>
      </c>
    </row>
    <row r="24" customFormat="false" ht="45" hidden="false" customHeight="true" outlineLevel="0" collapsed="false">
      <c r="A24" s="30" t="s">
        <v>177</v>
      </c>
      <c r="B24" s="30" t="s">
        <v>178</v>
      </c>
      <c r="C24" s="30" t="s">
        <v>179</v>
      </c>
      <c r="D24" s="31" t="n">
        <f aca="false">E5+E6</f>
        <v>30000</v>
      </c>
      <c r="E24" s="30" t="s">
        <v>180</v>
      </c>
      <c r="F24" s="30" t="s">
        <v>181</v>
      </c>
      <c r="G24" s="30" t="s">
        <v>182</v>
      </c>
      <c r="H24" s="30" t="s">
        <v>183</v>
      </c>
    </row>
    <row r="25" customFormat="false" ht="45" hidden="false" customHeight="true" outlineLevel="0" collapsed="false">
      <c r="A25" s="30" t="s">
        <v>184</v>
      </c>
      <c r="B25" s="30" t="s">
        <v>185</v>
      </c>
      <c r="C25" s="30" t="s">
        <v>186</v>
      </c>
      <c r="D25" s="31" t="n">
        <f aca="false">E7</f>
        <v>15000</v>
      </c>
      <c r="E25" s="30" t="s">
        <v>187</v>
      </c>
      <c r="F25" s="30" t="s">
        <v>188</v>
      </c>
      <c r="G25" s="30" t="s">
        <v>189</v>
      </c>
      <c r="H25" s="30" t="s">
        <v>190</v>
      </c>
    </row>
    <row r="26" customFormat="false" ht="45" hidden="false" customHeight="true" outlineLevel="0" collapsed="false">
      <c r="A26" s="30" t="s">
        <v>191</v>
      </c>
      <c r="B26" s="30" t="s">
        <v>192</v>
      </c>
      <c r="C26" s="30" t="s">
        <v>193</v>
      </c>
      <c r="D26" s="31" t="n">
        <f aca="false">E8+E9</f>
        <v>200000</v>
      </c>
      <c r="E26" s="30" t="s">
        <v>194</v>
      </c>
      <c r="F26" s="30" t="s">
        <v>195</v>
      </c>
      <c r="G26" s="30" t="s">
        <v>196</v>
      </c>
      <c r="H26" s="30" t="s">
        <v>197</v>
      </c>
    </row>
    <row r="27" customFormat="false" ht="45" hidden="false" customHeight="true" outlineLevel="0" collapsed="false">
      <c r="A27" s="30" t="s">
        <v>198</v>
      </c>
      <c r="B27" s="30" t="s">
        <v>199</v>
      </c>
      <c r="C27" s="30" t="s">
        <v>200</v>
      </c>
      <c r="D27" s="31" t="s">
        <v>201</v>
      </c>
      <c r="E27" s="30" t="s">
        <v>202</v>
      </c>
      <c r="F27" s="30" t="s">
        <v>203</v>
      </c>
      <c r="G27" s="30" t="s">
        <v>204</v>
      </c>
      <c r="H27" s="30" t="s">
        <v>205</v>
      </c>
    </row>
    <row r="29" customFormat="false" ht="15" hidden="false" customHeight="false" outlineLevel="0" collapsed="false">
      <c r="A29" s="2" t="s">
        <v>206</v>
      </c>
    </row>
  </sheetData>
  <dataValidations count="1">
    <dataValidation allowBlank="false" errorStyle="stop" operator="between" showDropDown="false" showErrorMessage="false" showInputMessage="false" sqref="D5:D11" type="list">
      <formula1>"Equity,Debt,Repayment,Grant"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3" min="2" style="0" width="11"/>
  </cols>
  <sheetData>
    <row r="1" customFormat="false" ht="17.3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3" customFormat="false" ht="15" hidden="false" customHeight="false" outlineLevel="0" collapsed="false">
      <c r="A3" s="5" t="s">
        <v>136</v>
      </c>
      <c r="B3" s="32" t="n">
        <f aca="false">Assumptions!$B$7</f>
        <v>46204</v>
      </c>
      <c r="C3" s="15" t="n">
        <f aca="false">EDATE(B3,1)</f>
        <v>46235</v>
      </c>
      <c r="D3" s="15" t="n">
        <f aca="false">EDATE(C3,1)</f>
        <v>46266</v>
      </c>
      <c r="E3" s="15" t="n">
        <f aca="false">EDATE(D3,1)</f>
        <v>46296</v>
      </c>
      <c r="F3" s="15" t="n">
        <f aca="false">EDATE(E3,1)</f>
        <v>46327</v>
      </c>
      <c r="G3" s="15" t="n">
        <f aca="false">EDATE(F3,1)</f>
        <v>46357</v>
      </c>
      <c r="H3" s="15" t="n">
        <f aca="false">EDATE(G3,1)</f>
        <v>46388</v>
      </c>
      <c r="I3" s="15" t="n">
        <f aca="false">EDATE(H3,1)</f>
        <v>46419</v>
      </c>
      <c r="J3" s="15" t="n">
        <f aca="false">EDATE(I3,1)</f>
        <v>46447</v>
      </c>
      <c r="K3" s="15" t="n">
        <f aca="false">EDATE(J3,1)</f>
        <v>46478</v>
      </c>
      <c r="L3" s="15" t="n">
        <f aca="false">EDATE(K3,1)</f>
        <v>46508</v>
      </c>
      <c r="M3" s="15" t="n">
        <f aca="false">EDATE(L3,1)</f>
        <v>46539</v>
      </c>
      <c r="N3" s="15" t="n">
        <f aca="false">EDATE(M3,1)</f>
        <v>46569</v>
      </c>
      <c r="O3" s="15" t="n">
        <f aca="false">EDATE(N3,1)</f>
        <v>46600</v>
      </c>
      <c r="P3" s="15" t="n">
        <f aca="false">EDATE(O3,1)</f>
        <v>46631</v>
      </c>
      <c r="Q3" s="15" t="n">
        <f aca="false">EDATE(P3,1)</f>
        <v>46661</v>
      </c>
      <c r="R3" s="15" t="n">
        <f aca="false">EDATE(Q3,1)</f>
        <v>46692</v>
      </c>
      <c r="S3" s="15" t="n">
        <f aca="false">EDATE(R3,1)</f>
        <v>46722</v>
      </c>
      <c r="T3" s="15" t="n">
        <f aca="false">EDATE(S3,1)</f>
        <v>46753</v>
      </c>
      <c r="U3" s="15" t="n">
        <f aca="false">EDATE(T3,1)</f>
        <v>46784</v>
      </c>
      <c r="V3" s="15" t="n">
        <f aca="false">EDATE(U3,1)</f>
        <v>46813</v>
      </c>
      <c r="W3" s="15" t="n">
        <f aca="false">EDATE(V3,1)</f>
        <v>46844</v>
      </c>
      <c r="X3" s="15" t="n">
        <f aca="false">EDATE(W3,1)</f>
        <v>46874</v>
      </c>
      <c r="Y3" s="15" t="n">
        <f aca="false">EDATE(X3,1)</f>
        <v>46905</v>
      </c>
      <c r="Z3" s="15" t="n">
        <f aca="false">EDATE(Y3,1)</f>
        <v>46935</v>
      </c>
      <c r="AA3" s="15" t="n">
        <f aca="false">EDATE(Z3,1)</f>
        <v>46966</v>
      </c>
      <c r="AB3" s="15" t="n">
        <f aca="false">EDATE(AA3,1)</f>
        <v>46997</v>
      </c>
      <c r="AC3" s="15" t="n">
        <f aca="false">EDATE(AB3,1)</f>
        <v>47027</v>
      </c>
      <c r="AD3" s="15" t="n">
        <f aca="false">EDATE(AC3,1)</f>
        <v>47058</v>
      </c>
      <c r="AE3" s="15" t="n">
        <f aca="false">EDATE(AD3,1)</f>
        <v>47088</v>
      </c>
      <c r="AF3" s="15" t="n">
        <f aca="false">EDATE(AE3,1)</f>
        <v>47119</v>
      </c>
      <c r="AG3" s="15" t="n">
        <f aca="false">EDATE(AF3,1)</f>
        <v>47150</v>
      </c>
      <c r="AH3" s="15" t="n">
        <f aca="false">EDATE(AG3,1)</f>
        <v>47178</v>
      </c>
      <c r="AI3" s="15" t="n">
        <f aca="false">EDATE(AH3,1)</f>
        <v>47209</v>
      </c>
      <c r="AJ3" s="15" t="n">
        <f aca="false">EDATE(AI3,1)</f>
        <v>47239</v>
      </c>
      <c r="AK3" s="15" t="n">
        <f aca="false">EDATE(AJ3,1)</f>
        <v>47270</v>
      </c>
      <c r="AL3" s="15" t="n">
        <f aca="false">EDATE(AK3,1)</f>
        <v>47300</v>
      </c>
      <c r="AM3" s="15" t="n">
        <f aca="false">EDATE(AL3,1)</f>
        <v>47331</v>
      </c>
      <c r="AN3" s="15" t="n">
        <f aca="false">EDATE(AM3,1)</f>
        <v>47362</v>
      </c>
      <c r="AO3" s="15" t="n">
        <f aca="false">EDATE(AN3,1)</f>
        <v>47392</v>
      </c>
      <c r="AP3" s="15" t="n">
        <f aca="false">EDATE(AO3,1)</f>
        <v>47423</v>
      </c>
      <c r="AQ3" s="15" t="n">
        <f aca="false">EDATE(AP3,1)</f>
        <v>47453</v>
      </c>
    </row>
    <row r="4" customFormat="false" ht="15" hidden="false" customHeight="false" outlineLevel="0" collapsed="false">
      <c r="A4" s="5" t="s">
        <v>89</v>
      </c>
      <c r="B4" s="22" t="n">
        <f aca="false">YEAR(B3)</f>
        <v>2026</v>
      </c>
      <c r="C4" s="22" t="n">
        <f aca="false">YEAR(C3)</f>
        <v>2026</v>
      </c>
      <c r="D4" s="22" t="n">
        <f aca="false">YEAR(D3)</f>
        <v>2026</v>
      </c>
      <c r="E4" s="22" t="n">
        <f aca="false">YEAR(E3)</f>
        <v>2026</v>
      </c>
      <c r="F4" s="22" t="n">
        <f aca="false">YEAR(F3)</f>
        <v>2026</v>
      </c>
      <c r="G4" s="22" t="n">
        <f aca="false">YEAR(G3)</f>
        <v>2026</v>
      </c>
      <c r="H4" s="22" t="n">
        <f aca="false">YEAR(H3)</f>
        <v>2027</v>
      </c>
      <c r="I4" s="22" t="n">
        <f aca="false">YEAR(I3)</f>
        <v>2027</v>
      </c>
      <c r="J4" s="22" t="n">
        <f aca="false">YEAR(J3)</f>
        <v>2027</v>
      </c>
      <c r="K4" s="22" t="n">
        <f aca="false">YEAR(K3)</f>
        <v>2027</v>
      </c>
      <c r="L4" s="22" t="n">
        <f aca="false">YEAR(L3)</f>
        <v>2027</v>
      </c>
      <c r="M4" s="22" t="n">
        <f aca="false">YEAR(M3)</f>
        <v>2027</v>
      </c>
      <c r="N4" s="22" t="n">
        <f aca="false">YEAR(N3)</f>
        <v>2027</v>
      </c>
      <c r="O4" s="22" t="n">
        <f aca="false">YEAR(O3)</f>
        <v>2027</v>
      </c>
      <c r="P4" s="22" t="n">
        <f aca="false">YEAR(P3)</f>
        <v>2027</v>
      </c>
      <c r="Q4" s="22" t="n">
        <f aca="false">YEAR(Q3)</f>
        <v>2027</v>
      </c>
      <c r="R4" s="22" t="n">
        <f aca="false">YEAR(R3)</f>
        <v>2027</v>
      </c>
      <c r="S4" s="22" t="n">
        <f aca="false">YEAR(S3)</f>
        <v>2027</v>
      </c>
      <c r="T4" s="22" t="n">
        <f aca="false">YEAR(T3)</f>
        <v>2028</v>
      </c>
      <c r="U4" s="22" t="n">
        <f aca="false">YEAR(U3)</f>
        <v>2028</v>
      </c>
      <c r="V4" s="22" t="n">
        <f aca="false">YEAR(V3)</f>
        <v>2028</v>
      </c>
      <c r="W4" s="22" t="n">
        <f aca="false">YEAR(W3)</f>
        <v>2028</v>
      </c>
      <c r="X4" s="22" t="n">
        <f aca="false">YEAR(X3)</f>
        <v>2028</v>
      </c>
      <c r="Y4" s="22" t="n">
        <f aca="false">YEAR(Y3)</f>
        <v>2028</v>
      </c>
      <c r="Z4" s="22" t="n">
        <f aca="false">YEAR(Z3)</f>
        <v>2028</v>
      </c>
      <c r="AA4" s="22" t="n">
        <f aca="false">YEAR(AA3)</f>
        <v>2028</v>
      </c>
      <c r="AB4" s="22" t="n">
        <f aca="false">YEAR(AB3)</f>
        <v>2028</v>
      </c>
      <c r="AC4" s="22" t="n">
        <f aca="false">YEAR(AC3)</f>
        <v>2028</v>
      </c>
      <c r="AD4" s="22" t="n">
        <f aca="false">YEAR(AD3)</f>
        <v>2028</v>
      </c>
      <c r="AE4" s="22" t="n">
        <f aca="false">YEAR(AE3)</f>
        <v>2028</v>
      </c>
      <c r="AF4" s="22" t="n">
        <f aca="false">YEAR(AF3)</f>
        <v>2029</v>
      </c>
      <c r="AG4" s="22" t="n">
        <f aca="false">YEAR(AG3)</f>
        <v>2029</v>
      </c>
      <c r="AH4" s="22" t="n">
        <f aca="false">YEAR(AH3)</f>
        <v>2029</v>
      </c>
      <c r="AI4" s="22" t="n">
        <f aca="false">YEAR(AI3)</f>
        <v>2029</v>
      </c>
      <c r="AJ4" s="22" t="n">
        <f aca="false">YEAR(AJ3)</f>
        <v>2029</v>
      </c>
      <c r="AK4" s="22" t="n">
        <f aca="false">YEAR(AK3)</f>
        <v>2029</v>
      </c>
      <c r="AL4" s="22" t="n">
        <f aca="false">YEAR(AL3)</f>
        <v>2029</v>
      </c>
      <c r="AM4" s="22" t="n">
        <f aca="false">YEAR(AM3)</f>
        <v>2029</v>
      </c>
      <c r="AN4" s="22" t="n">
        <f aca="false">YEAR(AN3)</f>
        <v>2029</v>
      </c>
      <c r="AO4" s="22" t="n">
        <f aca="false">YEAR(AO3)</f>
        <v>2029</v>
      </c>
      <c r="AP4" s="22" t="n">
        <f aca="false">YEAR(AP3)</f>
        <v>2029</v>
      </c>
      <c r="AQ4" s="22" t="n">
        <f aca="false">YEAR(AQ3)</f>
        <v>2029</v>
      </c>
    </row>
    <row r="5" customFormat="false" ht="15" hidden="false" customHeight="false" outlineLevel="0" collapsed="false">
      <c r="A5" s="5" t="s">
        <v>209</v>
      </c>
      <c r="B5" s="22" t="n">
        <f aca="false">MONTH(B3)</f>
        <v>7</v>
      </c>
      <c r="C5" s="22" t="n">
        <f aca="false">MONTH(C3)</f>
        <v>8</v>
      </c>
      <c r="D5" s="22" t="n">
        <f aca="false">MONTH(D3)</f>
        <v>9</v>
      </c>
      <c r="E5" s="22" t="n">
        <f aca="false">MONTH(E3)</f>
        <v>10</v>
      </c>
      <c r="F5" s="22" t="n">
        <f aca="false">MONTH(F3)</f>
        <v>11</v>
      </c>
      <c r="G5" s="22" t="n">
        <f aca="false">MONTH(G3)</f>
        <v>12</v>
      </c>
      <c r="H5" s="22" t="n">
        <f aca="false">MONTH(H3)</f>
        <v>1</v>
      </c>
      <c r="I5" s="22" t="n">
        <f aca="false">MONTH(I3)</f>
        <v>2</v>
      </c>
      <c r="J5" s="22" t="n">
        <f aca="false">MONTH(J3)</f>
        <v>3</v>
      </c>
      <c r="K5" s="22" t="n">
        <f aca="false">MONTH(K3)</f>
        <v>4</v>
      </c>
      <c r="L5" s="22" t="n">
        <f aca="false">MONTH(L3)</f>
        <v>5</v>
      </c>
      <c r="M5" s="22" t="n">
        <f aca="false">MONTH(M3)</f>
        <v>6</v>
      </c>
      <c r="N5" s="22" t="n">
        <f aca="false">MONTH(N3)</f>
        <v>7</v>
      </c>
      <c r="O5" s="22" t="n">
        <f aca="false">MONTH(O3)</f>
        <v>8</v>
      </c>
      <c r="P5" s="22" t="n">
        <f aca="false">MONTH(P3)</f>
        <v>9</v>
      </c>
      <c r="Q5" s="22" t="n">
        <f aca="false">MONTH(Q3)</f>
        <v>10</v>
      </c>
      <c r="R5" s="22" t="n">
        <f aca="false">MONTH(R3)</f>
        <v>11</v>
      </c>
      <c r="S5" s="22" t="n">
        <f aca="false">MONTH(S3)</f>
        <v>12</v>
      </c>
      <c r="T5" s="22" t="n">
        <f aca="false">MONTH(T3)</f>
        <v>1</v>
      </c>
      <c r="U5" s="22" t="n">
        <f aca="false">MONTH(U3)</f>
        <v>2</v>
      </c>
      <c r="V5" s="22" t="n">
        <f aca="false">MONTH(V3)</f>
        <v>3</v>
      </c>
      <c r="W5" s="22" t="n">
        <f aca="false">MONTH(W3)</f>
        <v>4</v>
      </c>
      <c r="X5" s="22" t="n">
        <f aca="false">MONTH(X3)</f>
        <v>5</v>
      </c>
      <c r="Y5" s="22" t="n">
        <f aca="false">MONTH(Y3)</f>
        <v>6</v>
      </c>
      <c r="Z5" s="22" t="n">
        <f aca="false">MONTH(Z3)</f>
        <v>7</v>
      </c>
      <c r="AA5" s="22" t="n">
        <f aca="false">MONTH(AA3)</f>
        <v>8</v>
      </c>
      <c r="AB5" s="22" t="n">
        <f aca="false">MONTH(AB3)</f>
        <v>9</v>
      </c>
      <c r="AC5" s="22" t="n">
        <f aca="false">MONTH(AC3)</f>
        <v>10</v>
      </c>
      <c r="AD5" s="22" t="n">
        <f aca="false">MONTH(AD3)</f>
        <v>11</v>
      </c>
      <c r="AE5" s="22" t="n">
        <f aca="false">MONTH(AE3)</f>
        <v>12</v>
      </c>
      <c r="AF5" s="22" t="n">
        <f aca="false">MONTH(AF3)</f>
        <v>1</v>
      </c>
      <c r="AG5" s="22" t="n">
        <f aca="false">MONTH(AG3)</f>
        <v>2</v>
      </c>
      <c r="AH5" s="22" t="n">
        <f aca="false">MONTH(AH3)</f>
        <v>3</v>
      </c>
      <c r="AI5" s="22" t="n">
        <f aca="false">MONTH(AI3)</f>
        <v>4</v>
      </c>
      <c r="AJ5" s="22" t="n">
        <f aca="false">MONTH(AJ3)</f>
        <v>5</v>
      </c>
      <c r="AK5" s="22" t="n">
        <f aca="false">MONTH(AK3)</f>
        <v>6</v>
      </c>
      <c r="AL5" s="22" t="n">
        <f aca="false">MONTH(AL3)</f>
        <v>7</v>
      </c>
      <c r="AM5" s="22" t="n">
        <f aca="false">MONTH(AM3)</f>
        <v>8</v>
      </c>
      <c r="AN5" s="22" t="n">
        <f aca="false">MONTH(AN3)</f>
        <v>9</v>
      </c>
      <c r="AO5" s="22" t="n">
        <f aca="false">MONTH(AO3)</f>
        <v>10</v>
      </c>
      <c r="AP5" s="22" t="n">
        <f aca="false">MONTH(AP3)</f>
        <v>11</v>
      </c>
      <c r="AQ5" s="22" t="n">
        <f aca="false">MONTH(AQ3)</f>
        <v>12</v>
      </c>
    </row>
    <row r="6" customFormat="false" ht="15" hidden="false" customHeight="false" outlineLevel="0" collapsed="false">
      <c r="A6" s="5" t="s">
        <v>210</v>
      </c>
      <c r="B6" s="33" t="n">
        <f aca="false">IFERROR(INDEX(Assumptions!$E$26:$E$29,MATCH(B4-1,Assumptions!$A$26:$A$29,0)),0)</f>
        <v>0</v>
      </c>
      <c r="C6" s="33" t="n">
        <f aca="false">IFERROR(INDEX(Assumptions!$E$26:$E$29,MATCH(C4-1,Assumptions!$A$26:$A$29,0)),0)</f>
        <v>0</v>
      </c>
      <c r="D6" s="33" t="n">
        <f aca="false">IFERROR(INDEX(Assumptions!$E$26:$E$29,MATCH(D4-1,Assumptions!$A$26:$A$29,0)),0)</f>
        <v>0</v>
      </c>
      <c r="E6" s="33" t="n">
        <f aca="false">IFERROR(INDEX(Assumptions!$E$26:$E$29,MATCH(E4-1,Assumptions!$A$26:$A$29,0)),0)</f>
        <v>0</v>
      </c>
      <c r="F6" s="33" t="n">
        <f aca="false">IFERROR(INDEX(Assumptions!$E$26:$E$29,MATCH(F4-1,Assumptions!$A$26:$A$29,0)),0)</f>
        <v>0</v>
      </c>
      <c r="G6" s="33" t="n">
        <f aca="false">IFERROR(INDEX(Assumptions!$E$26:$E$29,MATCH(G4-1,Assumptions!$A$26:$A$29,0)),0)</f>
        <v>0</v>
      </c>
      <c r="H6" s="33" t="n">
        <f aca="false">IFERROR(INDEX(Assumptions!$E$26:$E$29,MATCH(H4-1,Assumptions!$A$26:$A$29,0)),0)</f>
        <v>2</v>
      </c>
      <c r="I6" s="33" t="n">
        <f aca="false">IFERROR(INDEX(Assumptions!$E$26:$E$29,MATCH(I4-1,Assumptions!$A$26:$A$29,0)),0)</f>
        <v>2</v>
      </c>
      <c r="J6" s="33" t="n">
        <f aca="false">IFERROR(INDEX(Assumptions!$E$26:$E$29,MATCH(J4-1,Assumptions!$A$26:$A$29,0)),0)</f>
        <v>2</v>
      </c>
      <c r="K6" s="33" t="n">
        <f aca="false">IFERROR(INDEX(Assumptions!$E$26:$E$29,MATCH(K4-1,Assumptions!$A$26:$A$29,0)),0)</f>
        <v>2</v>
      </c>
      <c r="L6" s="33" t="n">
        <f aca="false">IFERROR(INDEX(Assumptions!$E$26:$E$29,MATCH(L4-1,Assumptions!$A$26:$A$29,0)),0)</f>
        <v>2</v>
      </c>
      <c r="M6" s="33" t="n">
        <f aca="false">IFERROR(INDEX(Assumptions!$E$26:$E$29,MATCH(M4-1,Assumptions!$A$26:$A$29,0)),0)</f>
        <v>2</v>
      </c>
      <c r="N6" s="33" t="n">
        <f aca="false">IFERROR(INDEX(Assumptions!$E$26:$E$29,MATCH(N4-1,Assumptions!$A$26:$A$29,0)),0)</f>
        <v>2</v>
      </c>
      <c r="O6" s="33" t="n">
        <f aca="false">IFERROR(INDEX(Assumptions!$E$26:$E$29,MATCH(O4-1,Assumptions!$A$26:$A$29,0)),0)</f>
        <v>2</v>
      </c>
      <c r="P6" s="33" t="n">
        <f aca="false">IFERROR(INDEX(Assumptions!$E$26:$E$29,MATCH(P4-1,Assumptions!$A$26:$A$29,0)),0)</f>
        <v>2</v>
      </c>
      <c r="Q6" s="33" t="n">
        <f aca="false">IFERROR(INDEX(Assumptions!$E$26:$E$29,MATCH(Q4-1,Assumptions!$A$26:$A$29,0)),0)</f>
        <v>2</v>
      </c>
      <c r="R6" s="33" t="n">
        <f aca="false">IFERROR(INDEX(Assumptions!$E$26:$E$29,MATCH(R4-1,Assumptions!$A$26:$A$29,0)),0)</f>
        <v>2</v>
      </c>
      <c r="S6" s="33" t="n">
        <f aca="false">IFERROR(INDEX(Assumptions!$E$26:$E$29,MATCH(S4-1,Assumptions!$A$26:$A$29,0)),0)</f>
        <v>2</v>
      </c>
      <c r="T6" s="33" t="n">
        <f aca="false">IFERROR(INDEX(Assumptions!$E$26:$E$29,MATCH(T4-1,Assumptions!$A$26:$A$29,0)),0)</f>
        <v>7</v>
      </c>
      <c r="U6" s="33" t="n">
        <f aca="false">IFERROR(INDEX(Assumptions!$E$26:$E$29,MATCH(U4-1,Assumptions!$A$26:$A$29,0)),0)</f>
        <v>7</v>
      </c>
      <c r="V6" s="33" t="n">
        <f aca="false">IFERROR(INDEX(Assumptions!$E$26:$E$29,MATCH(V4-1,Assumptions!$A$26:$A$29,0)),0)</f>
        <v>7</v>
      </c>
      <c r="W6" s="33" t="n">
        <f aca="false">IFERROR(INDEX(Assumptions!$E$26:$E$29,MATCH(W4-1,Assumptions!$A$26:$A$29,0)),0)</f>
        <v>7</v>
      </c>
      <c r="X6" s="33" t="n">
        <f aca="false">IFERROR(INDEX(Assumptions!$E$26:$E$29,MATCH(X4-1,Assumptions!$A$26:$A$29,0)),0)</f>
        <v>7</v>
      </c>
      <c r="Y6" s="33" t="n">
        <f aca="false">IFERROR(INDEX(Assumptions!$E$26:$E$29,MATCH(Y4-1,Assumptions!$A$26:$A$29,0)),0)</f>
        <v>7</v>
      </c>
      <c r="Z6" s="33" t="n">
        <f aca="false">IFERROR(INDEX(Assumptions!$E$26:$E$29,MATCH(Z4-1,Assumptions!$A$26:$A$29,0)),0)</f>
        <v>7</v>
      </c>
      <c r="AA6" s="33" t="n">
        <f aca="false">IFERROR(INDEX(Assumptions!$E$26:$E$29,MATCH(AA4-1,Assumptions!$A$26:$A$29,0)),0)</f>
        <v>7</v>
      </c>
      <c r="AB6" s="33" t="n">
        <f aca="false">IFERROR(INDEX(Assumptions!$E$26:$E$29,MATCH(AB4-1,Assumptions!$A$26:$A$29,0)),0)</f>
        <v>7</v>
      </c>
      <c r="AC6" s="33" t="n">
        <f aca="false">IFERROR(INDEX(Assumptions!$E$26:$E$29,MATCH(AC4-1,Assumptions!$A$26:$A$29,0)),0)</f>
        <v>7</v>
      </c>
      <c r="AD6" s="33" t="n">
        <f aca="false">IFERROR(INDEX(Assumptions!$E$26:$E$29,MATCH(AD4-1,Assumptions!$A$26:$A$29,0)),0)</f>
        <v>7</v>
      </c>
      <c r="AE6" s="33" t="n">
        <f aca="false">IFERROR(INDEX(Assumptions!$E$26:$E$29,MATCH(AE4-1,Assumptions!$A$26:$A$29,0)),0)</f>
        <v>7</v>
      </c>
      <c r="AF6" s="33" t="n">
        <f aca="false">IFERROR(INDEX(Assumptions!$E$26:$E$29,MATCH(AF4-1,Assumptions!$A$26:$A$29,0)),0)</f>
        <v>17</v>
      </c>
      <c r="AG6" s="33" t="n">
        <f aca="false">IFERROR(INDEX(Assumptions!$E$26:$E$29,MATCH(AG4-1,Assumptions!$A$26:$A$29,0)),0)</f>
        <v>17</v>
      </c>
      <c r="AH6" s="33" t="n">
        <f aca="false">IFERROR(INDEX(Assumptions!$E$26:$E$29,MATCH(AH4-1,Assumptions!$A$26:$A$29,0)),0)</f>
        <v>17</v>
      </c>
      <c r="AI6" s="33" t="n">
        <f aca="false">IFERROR(INDEX(Assumptions!$E$26:$E$29,MATCH(AI4-1,Assumptions!$A$26:$A$29,0)),0)</f>
        <v>17</v>
      </c>
      <c r="AJ6" s="33" t="n">
        <f aca="false">IFERROR(INDEX(Assumptions!$E$26:$E$29,MATCH(AJ4-1,Assumptions!$A$26:$A$29,0)),0)</f>
        <v>17</v>
      </c>
      <c r="AK6" s="33" t="n">
        <f aca="false">IFERROR(INDEX(Assumptions!$E$26:$E$29,MATCH(AK4-1,Assumptions!$A$26:$A$29,0)),0)</f>
        <v>17</v>
      </c>
      <c r="AL6" s="33" t="n">
        <f aca="false">IFERROR(INDEX(Assumptions!$E$26:$E$29,MATCH(AL4-1,Assumptions!$A$26:$A$29,0)),0)</f>
        <v>17</v>
      </c>
      <c r="AM6" s="33" t="n">
        <f aca="false">IFERROR(INDEX(Assumptions!$E$26:$E$29,MATCH(AM4-1,Assumptions!$A$26:$A$29,0)),0)</f>
        <v>17</v>
      </c>
      <c r="AN6" s="33" t="n">
        <f aca="false">IFERROR(INDEX(Assumptions!$E$26:$E$29,MATCH(AN4-1,Assumptions!$A$26:$A$29,0)),0)</f>
        <v>17</v>
      </c>
      <c r="AO6" s="33" t="n">
        <f aca="false">IFERROR(INDEX(Assumptions!$E$26:$E$29,MATCH(AO4-1,Assumptions!$A$26:$A$29,0)),0)</f>
        <v>17</v>
      </c>
      <c r="AP6" s="33" t="n">
        <f aca="false">IFERROR(INDEX(Assumptions!$E$26:$E$29,MATCH(AP4-1,Assumptions!$A$26:$A$29,0)),0)</f>
        <v>17</v>
      </c>
      <c r="AQ6" s="33" t="n">
        <f aca="false">IFERROR(INDEX(Assumptions!$E$26:$E$29,MATCH(AQ4-1,Assumptions!$A$26:$A$29,0)),0)</f>
        <v>17</v>
      </c>
    </row>
    <row r="7" customFormat="false" ht="15" hidden="false" customHeight="false" outlineLevel="0" collapsed="false">
      <c r="A7" s="5" t="s">
        <v>211</v>
      </c>
      <c r="B7" s="34" t="n">
        <f aca="false">INDEX(Assumptions!$E$26:$E$29,MATCH(B4,Assumptions!$A$26:$A$29,0))</f>
        <v>2</v>
      </c>
      <c r="C7" s="34" t="n">
        <f aca="false">INDEX(Assumptions!$E$26:$E$29,MATCH(C4,Assumptions!$A$26:$A$29,0))</f>
        <v>2</v>
      </c>
      <c r="D7" s="34" t="n">
        <f aca="false">INDEX(Assumptions!$E$26:$E$29,MATCH(D4,Assumptions!$A$26:$A$29,0))</f>
        <v>2</v>
      </c>
      <c r="E7" s="34" t="n">
        <f aca="false">INDEX(Assumptions!$E$26:$E$29,MATCH(E4,Assumptions!$A$26:$A$29,0))</f>
        <v>2</v>
      </c>
      <c r="F7" s="34" t="n">
        <f aca="false">INDEX(Assumptions!$E$26:$E$29,MATCH(F4,Assumptions!$A$26:$A$29,0))</f>
        <v>2</v>
      </c>
      <c r="G7" s="34" t="n">
        <f aca="false">INDEX(Assumptions!$E$26:$E$29,MATCH(G4,Assumptions!$A$26:$A$29,0))</f>
        <v>2</v>
      </c>
      <c r="H7" s="34" t="n">
        <f aca="false">INDEX(Assumptions!$E$26:$E$29,MATCH(H4,Assumptions!$A$26:$A$29,0))</f>
        <v>7</v>
      </c>
      <c r="I7" s="34" t="n">
        <f aca="false">INDEX(Assumptions!$E$26:$E$29,MATCH(I4,Assumptions!$A$26:$A$29,0))</f>
        <v>7</v>
      </c>
      <c r="J7" s="34" t="n">
        <f aca="false">INDEX(Assumptions!$E$26:$E$29,MATCH(J4,Assumptions!$A$26:$A$29,0))</f>
        <v>7</v>
      </c>
      <c r="K7" s="34" t="n">
        <f aca="false">INDEX(Assumptions!$E$26:$E$29,MATCH(K4,Assumptions!$A$26:$A$29,0))</f>
        <v>7</v>
      </c>
      <c r="L7" s="34" t="n">
        <f aca="false">INDEX(Assumptions!$E$26:$E$29,MATCH(L4,Assumptions!$A$26:$A$29,0))</f>
        <v>7</v>
      </c>
      <c r="M7" s="34" t="n">
        <f aca="false">INDEX(Assumptions!$E$26:$E$29,MATCH(M4,Assumptions!$A$26:$A$29,0))</f>
        <v>7</v>
      </c>
      <c r="N7" s="34" t="n">
        <f aca="false">INDEX(Assumptions!$E$26:$E$29,MATCH(N4,Assumptions!$A$26:$A$29,0))</f>
        <v>7</v>
      </c>
      <c r="O7" s="34" t="n">
        <f aca="false">INDEX(Assumptions!$E$26:$E$29,MATCH(O4,Assumptions!$A$26:$A$29,0))</f>
        <v>7</v>
      </c>
      <c r="P7" s="34" t="n">
        <f aca="false">INDEX(Assumptions!$E$26:$E$29,MATCH(P4,Assumptions!$A$26:$A$29,0))</f>
        <v>7</v>
      </c>
      <c r="Q7" s="34" t="n">
        <f aca="false">INDEX(Assumptions!$E$26:$E$29,MATCH(Q4,Assumptions!$A$26:$A$29,0))</f>
        <v>7</v>
      </c>
      <c r="R7" s="34" t="n">
        <f aca="false">INDEX(Assumptions!$E$26:$E$29,MATCH(R4,Assumptions!$A$26:$A$29,0))</f>
        <v>7</v>
      </c>
      <c r="S7" s="34" t="n">
        <f aca="false">INDEX(Assumptions!$E$26:$E$29,MATCH(S4,Assumptions!$A$26:$A$29,0))</f>
        <v>7</v>
      </c>
      <c r="T7" s="34" t="n">
        <f aca="false">INDEX(Assumptions!$E$26:$E$29,MATCH(T4,Assumptions!$A$26:$A$29,0))</f>
        <v>17</v>
      </c>
      <c r="U7" s="34" t="n">
        <f aca="false">INDEX(Assumptions!$E$26:$E$29,MATCH(U4,Assumptions!$A$26:$A$29,0))</f>
        <v>17</v>
      </c>
      <c r="V7" s="34" t="n">
        <f aca="false">INDEX(Assumptions!$E$26:$E$29,MATCH(V4,Assumptions!$A$26:$A$29,0))</f>
        <v>17</v>
      </c>
      <c r="W7" s="34" t="n">
        <f aca="false">INDEX(Assumptions!$E$26:$E$29,MATCH(W4,Assumptions!$A$26:$A$29,0))</f>
        <v>17</v>
      </c>
      <c r="X7" s="34" t="n">
        <f aca="false">INDEX(Assumptions!$E$26:$E$29,MATCH(X4,Assumptions!$A$26:$A$29,0))</f>
        <v>17</v>
      </c>
      <c r="Y7" s="34" t="n">
        <f aca="false">INDEX(Assumptions!$E$26:$E$29,MATCH(Y4,Assumptions!$A$26:$A$29,0))</f>
        <v>17</v>
      </c>
      <c r="Z7" s="34" t="n">
        <f aca="false">INDEX(Assumptions!$E$26:$E$29,MATCH(Z4,Assumptions!$A$26:$A$29,0))</f>
        <v>17</v>
      </c>
      <c r="AA7" s="34" t="n">
        <f aca="false">INDEX(Assumptions!$E$26:$E$29,MATCH(AA4,Assumptions!$A$26:$A$29,0))</f>
        <v>17</v>
      </c>
      <c r="AB7" s="34" t="n">
        <f aca="false">INDEX(Assumptions!$E$26:$E$29,MATCH(AB4,Assumptions!$A$26:$A$29,0))</f>
        <v>17</v>
      </c>
      <c r="AC7" s="34" t="n">
        <f aca="false">INDEX(Assumptions!$E$26:$E$29,MATCH(AC4,Assumptions!$A$26:$A$29,0))</f>
        <v>17</v>
      </c>
      <c r="AD7" s="34" t="n">
        <f aca="false">INDEX(Assumptions!$E$26:$E$29,MATCH(AD4,Assumptions!$A$26:$A$29,0))</f>
        <v>17</v>
      </c>
      <c r="AE7" s="34" t="n">
        <f aca="false">INDEX(Assumptions!$E$26:$E$29,MATCH(AE4,Assumptions!$A$26:$A$29,0))</f>
        <v>17</v>
      </c>
      <c r="AF7" s="34" t="n">
        <f aca="false">INDEX(Assumptions!$E$26:$E$29,MATCH(AF4,Assumptions!$A$26:$A$29,0))</f>
        <v>35</v>
      </c>
      <c r="AG7" s="34" t="n">
        <f aca="false">INDEX(Assumptions!$E$26:$E$29,MATCH(AG4,Assumptions!$A$26:$A$29,0))</f>
        <v>35</v>
      </c>
      <c r="AH7" s="34" t="n">
        <f aca="false">INDEX(Assumptions!$E$26:$E$29,MATCH(AH4,Assumptions!$A$26:$A$29,0))</f>
        <v>35</v>
      </c>
      <c r="AI7" s="34" t="n">
        <f aca="false">INDEX(Assumptions!$E$26:$E$29,MATCH(AI4,Assumptions!$A$26:$A$29,0))</f>
        <v>35</v>
      </c>
      <c r="AJ7" s="34" t="n">
        <f aca="false">INDEX(Assumptions!$E$26:$E$29,MATCH(AJ4,Assumptions!$A$26:$A$29,0))</f>
        <v>35</v>
      </c>
      <c r="AK7" s="34" t="n">
        <f aca="false">INDEX(Assumptions!$E$26:$E$29,MATCH(AK4,Assumptions!$A$26:$A$29,0))</f>
        <v>35</v>
      </c>
      <c r="AL7" s="34" t="n">
        <f aca="false">INDEX(Assumptions!$E$26:$E$29,MATCH(AL4,Assumptions!$A$26:$A$29,0))</f>
        <v>35</v>
      </c>
      <c r="AM7" s="34" t="n">
        <f aca="false">INDEX(Assumptions!$E$26:$E$29,MATCH(AM4,Assumptions!$A$26:$A$29,0))</f>
        <v>35</v>
      </c>
      <c r="AN7" s="34" t="n">
        <f aca="false">INDEX(Assumptions!$E$26:$E$29,MATCH(AN4,Assumptions!$A$26:$A$29,0))</f>
        <v>35</v>
      </c>
      <c r="AO7" s="34" t="n">
        <f aca="false">INDEX(Assumptions!$E$26:$E$29,MATCH(AO4,Assumptions!$A$26:$A$29,0))</f>
        <v>35</v>
      </c>
      <c r="AP7" s="34" t="n">
        <f aca="false">INDEX(Assumptions!$E$26:$E$29,MATCH(AP4,Assumptions!$A$26:$A$29,0))</f>
        <v>35</v>
      </c>
      <c r="AQ7" s="34" t="n">
        <f aca="false">INDEX(Assumptions!$E$26:$E$29,MATCH(AQ4,Assumptions!$A$26:$A$29,0))</f>
        <v>35</v>
      </c>
    </row>
    <row r="8" customFormat="false" ht="15" hidden="false" customHeight="false" outlineLevel="0" collapsed="false">
      <c r="A8" s="5" t="s">
        <v>212</v>
      </c>
      <c r="B8" s="22" t="n">
        <f aca="false">IF(B4=YEAR(Assumptions!$B$7),B5-MONTH(Assumptions!$B$7)+1,B5)</f>
        <v>1</v>
      </c>
      <c r="C8" s="22" t="n">
        <f aca="false">IF(C4=YEAR(Assumptions!$B$7),C5-MONTH(Assumptions!$B$7)+1,C5)</f>
        <v>2</v>
      </c>
      <c r="D8" s="22" t="n">
        <f aca="false">IF(D4=YEAR(Assumptions!$B$7),D5-MONTH(Assumptions!$B$7)+1,D5)</f>
        <v>3</v>
      </c>
      <c r="E8" s="22" t="n">
        <f aca="false">IF(E4=YEAR(Assumptions!$B$7),E5-MONTH(Assumptions!$B$7)+1,E5)</f>
        <v>4</v>
      </c>
      <c r="F8" s="22" t="n">
        <f aca="false">IF(F4=YEAR(Assumptions!$B$7),F5-MONTH(Assumptions!$B$7)+1,F5)</f>
        <v>5</v>
      </c>
      <c r="G8" s="22" t="n">
        <f aca="false">IF(G4=YEAR(Assumptions!$B$7),G5-MONTH(Assumptions!$B$7)+1,G5)</f>
        <v>6</v>
      </c>
      <c r="H8" s="22" t="n">
        <f aca="false">IF(H4=YEAR(Assumptions!$B$7),H5-MONTH(Assumptions!$B$7)+1,H5)</f>
        <v>1</v>
      </c>
      <c r="I8" s="22" t="n">
        <f aca="false">IF(I4=YEAR(Assumptions!$B$7),I5-MONTH(Assumptions!$B$7)+1,I5)</f>
        <v>2</v>
      </c>
      <c r="J8" s="22" t="n">
        <f aca="false">IF(J4=YEAR(Assumptions!$B$7),J5-MONTH(Assumptions!$B$7)+1,J5)</f>
        <v>3</v>
      </c>
      <c r="K8" s="22" t="n">
        <f aca="false">IF(K4=YEAR(Assumptions!$B$7),K5-MONTH(Assumptions!$B$7)+1,K5)</f>
        <v>4</v>
      </c>
      <c r="L8" s="22" t="n">
        <f aca="false">IF(L4=YEAR(Assumptions!$B$7),L5-MONTH(Assumptions!$B$7)+1,L5)</f>
        <v>5</v>
      </c>
      <c r="M8" s="22" t="n">
        <f aca="false">IF(M4=YEAR(Assumptions!$B$7),M5-MONTH(Assumptions!$B$7)+1,M5)</f>
        <v>6</v>
      </c>
      <c r="N8" s="22" t="n">
        <f aca="false">IF(N4=YEAR(Assumptions!$B$7),N5-MONTH(Assumptions!$B$7)+1,N5)</f>
        <v>7</v>
      </c>
      <c r="O8" s="22" t="n">
        <f aca="false">IF(O4=YEAR(Assumptions!$B$7),O5-MONTH(Assumptions!$B$7)+1,O5)</f>
        <v>8</v>
      </c>
      <c r="P8" s="22" t="n">
        <f aca="false">IF(P4=YEAR(Assumptions!$B$7),P5-MONTH(Assumptions!$B$7)+1,P5)</f>
        <v>9</v>
      </c>
      <c r="Q8" s="22" t="n">
        <f aca="false">IF(Q4=YEAR(Assumptions!$B$7),Q5-MONTH(Assumptions!$B$7)+1,Q5)</f>
        <v>10</v>
      </c>
      <c r="R8" s="22" t="n">
        <f aca="false">IF(R4=YEAR(Assumptions!$B$7),R5-MONTH(Assumptions!$B$7)+1,R5)</f>
        <v>11</v>
      </c>
      <c r="S8" s="22" t="n">
        <f aca="false">IF(S4=YEAR(Assumptions!$B$7),S5-MONTH(Assumptions!$B$7)+1,S5)</f>
        <v>12</v>
      </c>
      <c r="T8" s="22" t="n">
        <f aca="false">IF(T4=YEAR(Assumptions!$B$7),T5-MONTH(Assumptions!$B$7)+1,T5)</f>
        <v>1</v>
      </c>
      <c r="U8" s="22" t="n">
        <f aca="false">IF(U4=YEAR(Assumptions!$B$7),U5-MONTH(Assumptions!$B$7)+1,U5)</f>
        <v>2</v>
      </c>
      <c r="V8" s="22" t="n">
        <f aca="false">IF(V4=YEAR(Assumptions!$B$7),V5-MONTH(Assumptions!$B$7)+1,V5)</f>
        <v>3</v>
      </c>
      <c r="W8" s="22" t="n">
        <f aca="false">IF(W4=YEAR(Assumptions!$B$7),W5-MONTH(Assumptions!$B$7)+1,W5)</f>
        <v>4</v>
      </c>
      <c r="X8" s="22" t="n">
        <f aca="false">IF(X4=YEAR(Assumptions!$B$7),X5-MONTH(Assumptions!$B$7)+1,X5)</f>
        <v>5</v>
      </c>
      <c r="Y8" s="22" t="n">
        <f aca="false">IF(Y4=YEAR(Assumptions!$B$7),Y5-MONTH(Assumptions!$B$7)+1,Y5)</f>
        <v>6</v>
      </c>
      <c r="Z8" s="22" t="n">
        <f aca="false">IF(Z4=YEAR(Assumptions!$B$7),Z5-MONTH(Assumptions!$B$7)+1,Z5)</f>
        <v>7</v>
      </c>
      <c r="AA8" s="22" t="n">
        <f aca="false">IF(AA4=YEAR(Assumptions!$B$7),AA5-MONTH(Assumptions!$B$7)+1,AA5)</f>
        <v>8</v>
      </c>
      <c r="AB8" s="22" t="n">
        <f aca="false">IF(AB4=YEAR(Assumptions!$B$7),AB5-MONTH(Assumptions!$B$7)+1,AB5)</f>
        <v>9</v>
      </c>
      <c r="AC8" s="22" t="n">
        <f aca="false">IF(AC4=YEAR(Assumptions!$B$7),AC5-MONTH(Assumptions!$B$7)+1,AC5)</f>
        <v>10</v>
      </c>
      <c r="AD8" s="22" t="n">
        <f aca="false">IF(AD4=YEAR(Assumptions!$B$7),AD5-MONTH(Assumptions!$B$7)+1,AD5)</f>
        <v>11</v>
      </c>
      <c r="AE8" s="22" t="n">
        <f aca="false">IF(AE4=YEAR(Assumptions!$B$7),AE5-MONTH(Assumptions!$B$7)+1,AE5)</f>
        <v>12</v>
      </c>
      <c r="AF8" s="22" t="n">
        <f aca="false">IF(AF4=YEAR(Assumptions!$B$7),AF5-MONTH(Assumptions!$B$7)+1,AF5)</f>
        <v>1</v>
      </c>
      <c r="AG8" s="22" t="n">
        <f aca="false">IF(AG4=YEAR(Assumptions!$B$7),AG5-MONTH(Assumptions!$B$7)+1,AG5)</f>
        <v>2</v>
      </c>
      <c r="AH8" s="22" t="n">
        <f aca="false">IF(AH4=YEAR(Assumptions!$B$7),AH5-MONTH(Assumptions!$B$7)+1,AH5)</f>
        <v>3</v>
      </c>
      <c r="AI8" s="22" t="n">
        <f aca="false">IF(AI4=YEAR(Assumptions!$B$7),AI5-MONTH(Assumptions!$B$7)+1,AI5)</f>
        <v>4</v>
      </c>
      <c r="AJ8" s="22" t="n">
        <f aca="false">IF(AJ4=YEAR(Assumptions!$B$7),AJ5-MONTH(Assumptions!$B$7)+1,AJ5)</f>
        <v>5</v>
      </c>
      <c r="AK8" s="22" t="n">
        <f aca="false">IF(AK4=YEAR(Assumptions!$B$7),AK5-MONTH(Assumptions!$B$7)+1,AK5)</f>
        <v>6</v>
      </c>
      <c r="AL8" s="22" t="n">
        <f aca="false">IF(AL4=YEAR(Assumptions!$B$7),AL5-MONTH(Assumptions!$B$7)+1,AL5)</f>
        <v>7</v>
      </c>
      <c r="AM8" s="22" t="n">
        <f aca="false">IF(AM4=YEAR(Assumptions!$B$7),AM5-MONTH(Assumptions!$B$7)+1,AM5)</f>
        <v>8</v>
      </c>
      <c r="AN8" s="22" t="n">
        <f aca="false">IF(AN4=YEAR(Assumptions!$B$7),AN5-MONTH(Assumptions!$B$7)+1,AN5)</f>
        <v>9</v>
      </c>
      <c r="AO8" s="22" t="n">
        <f aca="false">IF(AO4=YEAR(Assumptions!$B$7),AO5-MONTH(Assumptions!$B$7)+1,AO5)</f>
        <v>10</v>
      </c>
      <c r="AP8" s="22" t="n">
        <f aca="false">IF(AP4=YEAR(Assumptions!$B$7),AP5-MONTH(Assumptions!$B$7)+1,AP5)</f>
        <v>11</v>
      </c>
      <c r="AQ8" s="22" t="n">
        <f aca="false">IF(AQ4=YEAR(Assumptions!$B$7),AQ5-MONTH(Assumptions!$B$7)+1,AQ5)</f>
        <v>12</v>
      </c>
    </row>
    <row r="9" customFormat="false" ht="15" hidden="false" customHeight="false" outlineLevel="0" collapsed="false">
      <c r="A9" s="5" t="s">
        <v>213</v>
      </c>
      <c r="B9" s="22" t="n">
        <f aca="false">IF(B4=YEAR(Assumptions!$B$7),13-MONTH(Assumptions!$B$7),12)</f>
        <v>6</v>
      </c>
      <c r="C9" s="22" t="n">
        <f aca="false">IF(C4=YEAR(Assumptions!$B$7),13-MONTH(Assumptions!$B$7),12)</f>
        <v>6</v>
      </c>
      <c r="D9" s="22" t="n">
        <f aca="false">IF(D4=YEAR(Assumptions!$B$7),13-MONTH(Assumptions!$B$7),12)</f>
        <v>6</v>
      </c>
      <c r="E9" s="22" t="n">
        <f aca="false">IF(E4=YEAR(Assumptions!$B$7),13-MONTH(Assumptions!$B$7),12)</f>
        <v>6</v>
      </c>
      <c r="F9" s="22" t="n">
        <f aca="false">IF(F4=YEAR(Assumptions!$B$7),13-MONTH(Assumptions!$B$7),12)</f>
        <v>6</v>
      </c>
      <c r="G9" s="22" t="n">
        <f aca="false">IF(G4=YEAR(Assumptions!$B$7),13-MONTH(Assumptions!$B$7),12)</f>
        <v>6</v>
      </c>
      <c r="H9" s="22" t="n">
        <f aca="false">IF(H4=YEAR(Assumptions!$B$7),13-MONTH(Assumptions!$B$7),12)</f>
        <v>12</v>
      </c>
      <c r="I9" s="22" t="n">
        <f aca="false">IF(I4=YEAR(Assumptions!$B$7),13-MONTH(Assumptions!$B$7),12)</f>
        <v>12</v>
      </c>
      <c r="J9" s="22" t="n">
        <f aca="false">IF(J4=YEAR(Assumptions!$B$7),13-MONTH(Assumptions!$B$7),12)</f>
        <v>12</v>
      </c>
      <c r="K9" s="22" t="n">
        <f aca="false">IF(K4=YEAR(Assumptions!$B$7),13-MONTH(Assumptions!$B$7),12)</f>
        <v>12</v>
      </c>
      <c r="L9" s="22" t="n">
        <f aca="false">IF(L4=YEAR(Assumptions!$B$7),13-MONTH(Assumptions!$B$7),12)</f>
        <v>12</v>
      </c>
      <c r="M9" s="22" t="n">
        <f aca="false">IF(M4=YEAR(Assumptions!$B$7),13-MONTH(Assumptions!$B$7),12)</f>
        <v>12</v>
      </c>
      <c r="N9" s="22" t="n">
        <f aca="false">IF(N4=YEAR(Assumptions!$B$7),13-MONTH(Assumptions!$B$7),12)</f>
        <v>12</v>
      </c>
      <c r="O9" s="22" t="n">
        <f aca="false">IF(O4=YEAR(Assumptions!$B$7),13-MONTH(Assumptions!$B$7),12)</f>
        <v>12</v>
      </c>
      <c r="P9" s="22" t="n">
        <f aca="false">IF(P4=YEAR(Assumptions!$B$7),13-MONTH(Assumptions!$B$7),12)</f>
        <v>12</v>
      </c>
      <c r="Q9" s="22" t="n">
        <f aca="false">IF(Q4=YEAR(Assumptions!$B$7),13-MONTH(Assumptions!$B$7),12)</f>
        <v>12</v>
      </c>
      <c r="R9" s="22" t="n">
        <f aca="false">IF(R4=YEAR(Assumptions!$B$7),13-MONTH(Assumptions!$B$7),12)</f>
        <v>12</v>
      </c>
      <c r="S9" s="22" t="n">
        <f aca="false">IF(S4=YEAR(Assumptions!$B$7),13-MONTH(Assumptions!$B$7),12)</f>
        <v>12</v>
      </c>
      <c r="T9" s="22" t="n">
        <f aca="false">IF(T4=YEAR(Assumptions!$B$7),13-MONTH(Assumptions!$B$7),12)</f>
        <v>12</v>
      </c>
      <c r="U9" s="22" t="n">
        <f aca="false">IF(U4=YEAR(Assumptions!$B$7),13-MONTH(Assumptions!$B$7),12)</f>
        <v>12</v>
      </c>
      <c r="V9" s="22" t="n">
        <f aca="false">IF(V4=YEAR(Assumptions!$B$7),13-MONTH(Assumptions!$B$7),12)</f>
        <v>12</v>
      </c>
      <c r="W9" s="22" t="n">
        <f aca="false">IF(W4=YEAR(Assumptions!$B$7),13-MONTH(Assumptions!$B$7),12)</f>
        <v>12</v>
      </c>
      <c r="X9" s="22" t="n">
        <f aca="false">IF(X4=YEAR(Assumptions!$B$7),13-MONTH(Assumptions!$B$7),12)</f>
        <v>12</v>
      </c>
      <c r="Y9" s="22" t="n">
        <f aca="false">IF(Y4=YEAR(Assumptions!$B$7),13-MONTH(Assumptions!$B$7),12)</f>
        <v>12</v>
      </c>
      <c r="Z9" s="22" t="n">
        <f aca="false">IF(Z4=YEAR(Assumptions!$B$7),13-MONTH(Assumptions!$B$7),12)</f>
        <v>12</v>
      </c>
      <c r="AA9" s="22" t="n">
        <f aca="false">IF(AA4=YEAR(Assumptions!$B$7),13-MONTH(Assumptions!$B$7),12)</f>
        <v>12</v>
      </c>
      <c r="AB9" s="22" t="n">
        <f aca="false">IF(AB4=YEAR(Assumptions!$B$7),13-MONTH(Assumptions!$B$7),12)</f>
        <v>12</v>
      </c>
      <c r="AC9" s="22" t="n">
        <f aca="false">IF(AC4=YEAR(Assumptions!$B$7),13-MONTH(Assumptions!$B$7),12)</f>
        <v>12</v>
      </c>
      <c r="AD9" s="22" t="n">
        <f aca="false">IF(AD4=YEAR(Assumptions!$B$7),13-MONTH(Assumptions!$B$7),12)</f>
        <v>12</v>
      </c>
      <c r="AE9" s="22" t="n">
        <f aca="false">IF(AE4=YEAR(Assumptions!$B$7),13-MONTH(Assumptions!$B$7),12)</f>
        <v>12</v>
      </c>
      <c r="AF9" s="22" t="n">
        <f aca="false">IF(AF4=YEAR(Assumptions!$B$7),13-MONTH(Assumptions!$B$7),12)</f>
        <v>12</v>
      </c>
      <c r="AG9" s="22" t="n">
        <f aca="false">IF(AG4=YEAR(Assumptions!$B$7),13-MONTH(Assumptions!$B$7),12)</f>
        <v>12</v>
      </c>
      <c r="AH9" s="22" t="n">
        <f aca="false">IF(AH4=YEAR(Assumptions!$B$7),13-MONTH(Assumptions!$B$7),12)</f>
        <v>12</v>
      </c>
      <c r="AI9" s="22" t="n">
        <f aca="false">IF(AI4=YEAR(Assumptions!$B$7),13-MONTH(Assumptions!$B$7),12)</f>
        <v>12</v>
      </c>
      <c r="AJ9" s="22" t="n">
        <f aca="false">IF(AJ4=YEAR(Assumptions!$B$7),13-MONTH(Assumptions!$B$7),12)</f>
        <v>12</v>
      </c>
      <c r="AK9" s="22" t="n">
        <f aca="false">IF(AK4=YEAR(Assumptions!$B$7),13-MONTH(Assumptions!$B$7),12)</f>
        <v>12</v>
      </c>
      <c r="AL9" s="22" t="n">
        <f aca="false">IF(AL4=YEAR(Assumptions!$B$7),13-MONTH(Assumptions!$B$7),12)</f>
        <v>12</v>
      </c>
      <c r="AM9" s="22" t="n">
        <f aca="false">IF(AM4=YEAR(Assumptions!$B$7),13-MONTH(Assumptions!$B$7),12)</f>
        <v>12</v>
      </c>
      <c r="AN9" s="22" t="n">
        <f aca="false">IF(AN4=YEAR(Assumptions!$B$7),13-MONTH(Assumptions!$B$7),12)</f>
        <v>12</v>
      </c>
      <c r="AO9" s="22" t="n">
        <f aca="false">IF(AO4=YEAR(Assumptions!$B$7),13-MONTH(Assumptions!$B$7),12)</f>
        <v>12</v>
      </c>
      <c r="AP9" s="22" t="n">
        <f aca="false">IF(AP4=YEAR(Assumptions!$B$7),13-MONTH(Assumptions!$B$7),12)</f>
        <v>12</v>
      </c>
      <c r="AQ9" s="22" t="n">
        <f aca="false">IF(AQ4=YEAR(Assumptions!$B$7),13-MONTH(Assumptions!$B$7),12)</f>
        <v>12</v>
      </c>
    </row>
    <row r="10" customFormat="false" ht="15" hidden="false" customHeight="false" outlineLevel="0" collapsed="false">
      <c r="A10" s="12" t="s">
        <v>214</v>
      </c>
      <c r="B10" s="35" t="n">
        <f aca="false">B6+(B7-B6)*B8/B9</f>
        <v>0.333333333333333</v>
      </c>
      <c r="C10" s="35" t="n">
        <f aca="false">C6+(C7-C6)*C8/C9</f>
        <v>0.666666666666667</v>
      </c>
      <c r="D10" s="35" t="n">
        <f aca="false">D6+(D7-D6)*D8/D9</f>
        <v>1</v>
      </c>
      <c r="E10" s="35" t="n">
        <f aca="false">E6+(E7-E6)*E8/E9</f>
        <v>1.33333333333333</v>
      </c>
      <c r="F10" s="35" t="n">
        <f aca="false">F6+(F7-F6)*F8/F9</f>
        <v>1.66666666666667</v>
      </c>
      <c r="G10" s="35" t="n">
        <f aca="false">G6+(G7-G6)*G8/G9</f>
        <v>2</v>
      </c>
      <c r="H10" s="35" t="n">
        <f aca="false">H6+(H7-H6)*H8/H9</f>
        <v>2.41666666666667</v>
      </c>
      <c r="I10" s="35" t="n">
        <f aca="false">I6+(I7-I6)*I8/I9</f>
        <v>2.83333333333333</v>
      </c>
      <c r="J10" s="35" t="n">
        <f aca="false">J6+(J7-J6)*J8/J9</f>
        <v>3.25</v>
      </c>
      <c r="K10" s="35" t="n">
        <f aca="false">K6+(K7-K6)*K8/K9</f>
        <v>3.66666666666667</v>
      </c>
      <c r="L10" s="35" t="n">
        <f aca="false">L6+(L7-L6)*L8/L9</f>
        <v>4.08333333333333</v>
      </c>
      <c r="M10" s="35" t="n">
        <f aca="false">M6+(M7-M6)*M8/M9</f>
        <v>4.5</v>
      </c>
      <c r="N10" s="35" t="n">
        <f aca="false">N6+(N7-N6)*N8/N9</f>
        <v>4.91666666666667</v>
      </c>
      <c r="O10" s="35" t="n">
        <f aca="false">O6+(O7-O6)*O8/O9</f>
        <v>5.33333333333333</v>
      </c>
      <c r="P10" s="35" t="n">
        <f aca="false">P6+(P7-P6)*P8/P9</f>
        <v>5.75</v>
      </c>
      <c r="Q10" s="35" t="n">
        <f aca="false">Q6+(Q7-Q6)*Q8/Q9</f>
        <v>6.16666666666667</v>
      </c>
      <c r="R10" s="35" t="n">
        <f aca="false">R6+(R7-R6)*R8/R9</f>
        <v>6.58333333333333</v>
      </c>
      <c r="S10" s="35" t="n">
        <f aca="false">S6+(S7-S6)*S8/S9</f>
        <v>7</v>
      </c>
      <c r="T10" s="35" t="n">
        <f aca="false">T6+(T7-T6)*T8/T9</f>
        <v>7.83333333333333</v>
      </c>
      <c r="U10" s="35" t="n">
        <f aca="false">U6+(U7-U6)*U8/U9</f>
        <v>8.66666666666667</v>
      </c>
      <c r="V10" s="35" t="n">
        <f aca="false">V6+(V7-V6)*V8/V9</f>
        <v>9.5</v>
      </c>
      <c r="W10" s="35" t="n">
        <f aca="false">W6+(W7-W6)*W8/W9</f>
        <v>10.3333333333333</v>
      </c>
      <c r="X10" s="35" t="n">
        <f aca="false">X6+(X7-X6)*X8/X9</f>
        <v>11.1666666666667</v>
      </c>
      <c r="Y10" s="35" t="n">
        <f aca="false">Y6+(Y7-Y6)*Y8/Y9</f>
        <v>12</v>
      </c>
      <c r="Z10" s="35" t="n">
        <f aca="false">Z6+(Z7-Z6)*Z8/Z9</f>
        <v>12.8333333333333</v>
      </c>
      <c r="AA10" s="35" t="n">
        <f aca="false">AA6+(AA7-AA6)*AA8/AA9</f>
        <v>13.6666666666667</v>
      </c>
      <c r="AB10" s="35" t="n">
        <f aca="false">AB6+(AB7-AB6)*AB8/AB9</f>
        <v>14.5</v>
      </c>
      <c r="AC10" s="35" t="n">
        <f aca="false">AC6+(AC7-AC6)*AC8/AC9</f>
        <v>15.3333333333333</v>
      </c>
      <c r="AD10" s="35" t="n">
        <f aca="false">AD6+(AD7-AD6)*AD8/AD9</f>
        <v>16.1666666666667</v>
      </c>
      <c r="AE10" s="35" t="n">
        <f aca="false">AE6+(AE7-AE6)*AE8/AE9</f>
        <v>17</v>
      </c>
      <c r="AF10" s="35" t="n">
        <f aca="false">AF6+(AF7-AF6)*AF8/AF9</f>
        <v>18.5</v>
      </c>
      <c r="AG10" s="35" t="n">
        <f aca="false">AG6+(AG7-AG6)*AG8/AG9</f>
        <v>20</v>
      </c>
      <c r="AH10" s="35" t="n">
        <f aca="false">AH6+(AH7-AH6)*AH8/AH9</f>
        <v>21.5</v>
      </c>
      <c r="AI10" s="35" t="n">
        <f aca="false">AI6+(AI7-AI6)*AI8/AI9</f>
        <v>23</v>
      </c>
      <c r="AJ10" s="35" t="n">
        <f aca="false">AJ6+(AJ7-AJ6)*AJ8/AJ9</f>
        <v>24.5</v>
      </c>
      <c r="AK10" s="35" t="n">
        <f aca="false">AK6+(AK7-AK6)*AK8/AK9</f>
        <v>26</v>
      </c>
      <c r="AL10" s="35" t="n">
        <f aca="false">AL6+(AL7-AL6)*AL8/AL9</f>
        <v>27.5</v>
      </c>
      <c r="AM10" s="35" t="n">
        <f aca="false">AM6+(AM7-AM6)*AM8/AM9</f>
        <v>29</v>
      </c>
      <c r="AN10" s="35" t="n">
        <f aca="false">AN6+(AN7-AN6)*AN8/AN9</f>
        <v>30.5</v>
      </c>
      <c r="AO10" s="35" t="n">
        <f aca="false">AO6+(AO7-AO6)*AO8/AO9</f>
        <v>32</v>
      </c>
      <c r="AP10" s="35" t="n">
        <f aca="false">AP6+(AP7-AP6)*AP8/AP9</f>
        <v>33.5</v>
      </c>
      <c r="AQ10" s="35" t="n">
        <f aca="false">AQ6+(AQ7-AQ6)*AQ8/AQ9</f>
        <v>35</v>
      </c>
    </row>
    <row r="11" customFormat="false" ht="15" hidden="false" customHeight="false" outlineLevel="0" collapsed="false">
      <c r="A11" s="5" t="s">
        <v>215</v>
      </c>
      <c r="B11" s="36" t="n">
        <f aca="false">0</f>
        <v>0</v>
      </c>
      <c r="C11" s="36" t="n">
        <f aca="false">B10*Assumptions!$E$30/12</f>
        <v>0.00277777777777778</v>
      </c>
      <c r="D11" s="36" t="n">
        <f aca="false">C10*Assumptions!$E$30/12</f>
        <v>0.00555555555555556</v>
      </c>
      <c r="E11" s="36" t="n">
        <f aca="false">D10*Assumptions!$E$30/12</f>
        <v>0.00833333333333333</v>
      </c>
      <c r="F11" s="36" t="n">
        <f aca="false">E10*Assumptions!$E$30/12</f>
        <v>0.0111111111111111</v>
      </c>
      <c r="G11" s="36" t="n">
        <f aca="false">F10*Assumptions!$E$30/12</f>
        <v>0.0138888888888889</v>
      </c>
      <c r="H11" s="36" t="n">
        <f aca="false">G10*Assumptions!$E$30/12</f>
        <v>0.0166666666666667</v>
      </c>
      <c r="I11" s="36" t="n">
        <f aca="false">H10*Assumptions!$E$30/12</f>
        <v>0.0201388888888889</v>
      </c>
      <c r="J11" s="36" t="n">
        <f aca="false">I10*Assumptions!$E$30/12</f>
        <v>0.0236111111111111</v>
      </c>
      <c r="K11" s="36" t="n">
        <f aca="false">J10*Assumptions!$E$30/12</f>
        <v>0.0270833333333333</v>
      </c>
      <c r="L11" s="36" t="n">
        <f aca="false">K10*Assumptions!$E$30/12</f>
        <v>0.0305555555555556</v>
      </c>
      <c r="M11" s="36" t="n">
        <f aca="false">L10*Assumptions!$E$30/12</f>
        <v>0.0340277777777778</v>
      </c>
      <c r="N11" s="36" t="n">
        <f aca="false">M10*Assumptions!$E$30/12</f>
        <v>0.0375</v>
      </c>
      <c r="O11" s="36" t="n">
        <f aca="false">N10*Assumptions!$E$30/12</f>
        <v>0.0409722222222222</v>
      </c>
      <c r="P11" s="36" t="n">
        <f aca="false">O10*Assumptions!$E$30/12</f>
        <v>0.0444444444444445</v>
      </c>
      <c r="Q11" s="36" t="n">
        <f aca="false">P10*Assumptions!$E$30/12</f>
        <v>0.0479166666666667</v>
      </c>
      <c r="R11" s="36" t="n">
        <f aca="false">Q10*Assumptions!$E$30/12</f>
        <v>0.0513888888888889</v>
      </c>
      <c r="S11" s="36" t="n">
        <f aca="false">R10*Assumptions!$E$30/12</f>
        <v>0.0548611111111111</v>
      </c>
      <c r="T11" s="36" t="n">
        <f aca="false">S10*Assumptions!$E$30/12</f>
        <v>0.0583333333333333</v>
      </c>
      <c r="U11" s="36" t="n">
        <f aca="false">T10*Assumptions!$E$30/12</f>
        <v>0.0652777777777778</v>
      </c>
      <c r="V11" s="36" t="n">
        <f aca="false">U10*Assumptions!$E$30/12</f>
        <v>0.0722222222222222</v>
      </c>
      <c r="W11" s="36" t="n">
        <f aca="false">V10*Assumptions!$E$30/12</f>
        <v>0.0791666666666667</v>
      </c>
      <c r="X11" s="36" t="n">
        <f aca="false">W10*Assumptions!$E$30/12</f>
        <v>0.0861111111111111</v>
      </c>
      <c r="Y11" s="36" t="n">
        <f aca="false">X10*Assumptions!$E$30/12</f>
        <v>0.0930555555555556</v>
      </c>
      <c r="Z11" s="36" t="n">
        <f aca="false">Y10*Assumptions!$E$30/12</f>
        <v>0.1</v>
      </c>
      <c r="AA11" s="36" t="n">
        <f aca="false">Z10*Assumptions!$E$30/12</f>
        <v>0.106944444444444</v>
      </c>
      <c r="AB11" s="36" t="n">
        <f aca="false">AA10*Assumptions!$E$30/12</f>
        <v>0.113888888888889</v>
      </c>
      <c r="AC11" s="36" t="n">
        <f aca="false">AB10*Assumptions!$E$30/12</f>
        <v>0.120833333333333</v>
      </c>
      <c r="AD11" s="36" t="n">
        <f aca="false">AC10*Assumptions!$E$30/12</f>
        <v>0.127777777777778</v>
      </c>
      <c r="AE11" s="36" t="n">
        <f aca="false">AD10*Assumptions!$E$30/12</f>
        <v>0.134722222222222</v>
      </c>
      <c r="AF11" s="36" t="n">
        <f aca="false">AE10*Assumptions!$E$30/12</f>
        <v>0.141666666666667</v>
      </c>
      <c r="AG11" s="36" t="n">
        <f aca="false">AF10*Assumptions!$E$30/12</f>
        <v>0.154166666666667</v>
      </c>
      <c r="AH11" s="36" t="n">
        <f aca="false">AG10*Assumptions!$E$30/12</f>
        <v>0.166666666666667</v>
      </c>
      <c r="AI11" s="36" t="n">
        <f aca="false">AH10*Assumptions!$E$30/12</f>
        <v>0.179166666666667</v>
      </c>
      <c r="AJ11" s="36" t="n">
        <f aca="false">AI10*Assumptions!$E$30/12</f>
        <v>0.191666666666667</v>
      </c>
      <c r="AK11" s="36" t="n">
        <f aca="false">AJ10*Assumptions!$E$30/12</f>
        <v>0.204166666666667</v>
      </c>
      <c r="AL11" s="36" t="n">
        <f aca="false">AK10*Assumptions!$E$30/12</f>
        <v>0.216666666666667</v>
      </c>
      <c r="AM11" s="36" t="n">
        <f aca="false">AL10*Assumptions!$E$30/12</f>
        <v>0.229166666666667</v>
      </c>
      <c r="AN11" s="36" t="n">
        <f aca="false">AM10*Assumptions!$E$30/12</f>
        <v>0.241666666666667</v>
      </c>
      <c r="AO11" s="36" t="n">
        <f aca="false">AN10*Assumptions!$E$30/12</f>
        <v>0.254166666666667</v>
      </c>
      <c r="AP11" s="36" t="n">
        <f aca="false">AO10*Assumptions!$E$30/12</f>
        <v>0.266666666666667</v>
      </c>
      <c r="AQ11" s="36" t="n">
        <f aca="false">AP10*Assumptions!$E$30/12</f>
        <v>0.279166666666667</v>
      </c>
    </row>
    <row r="12" customFormat="false" ht="15" hidden="false" customHeight="false" outlineLevel="0" collapsed="false">
      <c r="A12" s="5" t="s">
        <v>216</v>
      </c>
      <c r="B12" s="36" t="n">
        <f aca="false">B10</f>
        <v>0.333333333333333</v>
      </c>
      <c r="C12" s="36" t="n">
        <f aca="false">C10-B10+C11</f>
        <v>0.336111111111111</v>
      </c>
      <c r="D12" s="36" t="n">
        <f aca="false">D10-C10+D11</f>
        <v>0.338888888888889</v>
      </c>
      <c r="E12" s="36" t="n">
        <f aca="false">E10-D10+E11</f>
        <v>0.341666666666667</v>
      </c>
      <c r="F12" s="36" t="n">
        <f aca="false">F10-E10+F11</f>
        <v>0.344444444444445</v>
      </c>
      <c r="G12" s="36" t="n">
        <f aca="false">G10-F10+G11</f>
        <v>0.347222222222222</v>
      </c>
      <c r="H12" s="36" t="n">
        <f aca="false">H10-G10+H11</f>
        <v>0.433333333333333</v>
      </c>
      <c r="I12" s="36" t="n">
        <f aca="false">I10-H10+I11</f>
        <v>0.436805555555556</v>
      </c>
      <c r="J12" s="36" t="n">
        <f aca="false">J10-I10+J11</f>
        <v>0.440277777777778</v>
      </c>
      <c r="K12" s="36" t="n">
        <f aca="false">K10-J10+K11</f>
        <v>0.44375</v>
      </c>
      <c r="L12" s="36" t="n">
        <f aca="false">L10-K10+L11</f>
        <v>0.447222222222223</v>
      </c>
      <c r="M12" s="36" t="n">
        <f aca="false">M10-L10+M11</f>
        <v>0.450694444444444</v>
      </c>
      <c r="N12" s="36" t="n">
        <f aca="false">N10-M10+N11</f>
        <v>0.454166666666666</v>
      </c>
      <c r="O12" s="36" t="n">
        <f aca="false">O10-N10+O11</f>
        <v>0.45763888888889</v>
      </c>
      <c r="P12" s="36" t="n">
        <f aca="false">P10-O10+P11</f>
        <v>0.461111111111111</v>
      </c>
      <c r="Q12" s="36" t="n">
        <f aca="false">Q10-P10+Q11</f>
        <v>0.464583333333334</v>
      </c>
      <c r="R12" s="36" t="n">
        <f aca="false">R10-Q10+R11</f>
        <v>0.468055555555555</v>
      </c>
      <c r="S12" s="36" t="n">
        <f aca="false">S10-R10+S11</f>
        <v>0.471527777777778</v>
      </c>
      <c r="T12" s="36" t="n">
        <f aca="false">T10-S10+T11</f>
        <v>0.891666666666666</v>
      </c>
      <c r="U12" s="36" t="n">
        <f aca="false">U10-T10+U11</f>
        <v>0.898611111111111</v>
      </c>
      <c r="V12" s="36" t="n">
        <f aca="false">V10-U10+V11</f>
        <v>0.905555555555556</v>
      </c>
      <c r="W12" s="36" t="n">
        <f aca="false">W10-V10+W11</f>
        <v>0.912500000000001</v>
      </c>
      <c r="X12" s="36" t="n">
        <f aca="false">X10-W10+X11</f>
        <v>0.919444444444445</v>
      </c>
      <c r="Y12" s="36" t="n">
        <f aca="false">Y10-X10+Y11</f>
        <v>0.926388888888888</v>
      </c>
      <c r="Z12" s="36" t="n">
        <f aca="false">Z10-Y10+Z11</f>
        <v>0.933333333333332</v>
      </c>
      <c r="AA12" s="36" t="n">
        <f aca="false">AA10-Z10+AA11</f>
        <v>0.94027777777778</v>
      </c>
      <c r="AB12" s="36" t="n">
        <f aca="false">AB10-AA10+AB11</f>
        <v>0.947222222222221</v>
      </c>
      <c r="AC12" s="36" t="n">
        <f aca="false">AC10-AB10+AC11</f>
        <v>0.954166666666667</v>
      </c>
      <c r="AD12" s="36" t="n">
        <f aca="false">AD10-AC10+AD11</f>
        <v>0.961111111111108</v>
      </c>
      <c r="AE12" s="36" t="n">
        <f aca="false">AE10-AD10+AE11</f>
        <v>0.968055555555558</v>
      </c>
      <c r="AF12" s="36" t="n">
        <f aca="false">AF10-AE10+AF11</f>
        <v>1.64166666666667</v>
      </c>
      <c r="AG12" s="36" t="n">
        <f aca="false">AG10-AF10+AG11</f>
        <v>1.65416666666667</v>
      </c>
      <c r="AH12" s="36" t="n">
        <f aca="false">AH10-AG10+AH11</f>
        <v>1.66666666666667</v>
      </c>
      <c r="AI12" s="36" t="n">
        <f aca="false">AI10-AH10+AI11</f>
        <v>1.67916666666667</v>
      </c>
      <c r="AJ12" s="36" t="n">
        <f aca="false">AJ10-AI10+AJ11</f>
        <v>1.69166666666667</v>
      </c>
      <c r="AK12" s="36" t="n">
        <f aca="false">AK10-AJ10+AK11</f>
        <v>1.70416666666667</v>
      </c>
      <c r="AL12" s="36" t="n">
        <f aca="false">AL10-AK10+AL11</f>
        <v>1.71666666666667</v>
      </c>
      <c r="AM12" s="36" t="n">
        <f aca="false">AM10-AL10+AM11</f>
        <v>1.72916666666667</v>
      </c>
      <c r="AN12" s="36" t="n">
        <f aca="false">AN10-AM10+AN11</f>
        <v>1.74166666666667</v>
      </c>
      <c r="AO12" s="36" t="n">
        <f aca="false">AO10-AN10+AO11</f>
        <v>1.75416666666667</v>
      </c>
      <c r="AP12" s="36" t="n">
        <f aca="false">AP10-AO10+AP11</f>
        <v>1.76666666666667</v>
      </c>
      <c r="AQ12" s="36" t="n">
        <f aca="false">AQ10-AP10+AQ11</f>
        <v>1.77916666666667</v>
      </c>
    </row>
    <row r="13" customFormat="false" ht="15" hidden="false" customHeight="false" outlineLevel="0" collapsed="false">
      <c r="A13" s="3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customFormat="false" ht="15" hidden="false" customHeight="false" outlineLevel="0" collapsed="false">
      <c r="A14" s="5" t="s">
        <v>218</v>
      </c>
      <c r="B14" s="17" t="n">
        <f aca="false">B12*Assumptions!$D$17*INDEX(Assumptions!$B$22:$E$22,MATCH(B4,Assumptions!$B$21:$E$21,0))</f>
        <v>873.75</v>
      </c>
      <c r="C14" s="17" t="n">
        <f aca="false">C12*Assumptions!$D$17*INDEX(Assumptions!$B$22:$E$22,MATCH(C4,Assumptions!$B$21:$E$21,0))</f>
        <v>881.03125</v>
      </c>
      <c r="D14" s="17" t="n">
        <f aca="false">D12*Assumptions!$D$17*INDEX(Assumptions!$B$22:$E$22,MATCH(D4,Assumptions!$B$21:$E$21,0))</f>
        <v>888.3125</v>
      </c>
      <c r="E14" s="17" t="n">
        <f aca="false">E12*Assumptions!$D$17*INDEX(Assumptions!$B$22:$E$22,MATCH(E4,Assumptions!$B$21:$E$21,0))</f>
        <v>895.59375</v>
      </c>
      <c r="F14" s="17" t="n">
        <f aca="false">F12*Assumptions!$D$17*INDEX(Assumptions!$B$22:$E$22,MATCH(F4,Assumptions!$B$21:$E$21,0))</f>
        <v>902.875000000001</v>
      </c>
      <c r="G14" s="17" t="n">
        <f aca="false">G12*Assumptions!$D$17*INDEX(Assumptions!$B$22:$E$22,MATCH(G4,Assumptions!$B$21:$E$21,0))</f>
        <v>910.15625</v>
      </c>
      <c r="H14" s="17" t="n">
        <f aca="false">H12*Assumptions!$D$17*INDEX(Assumptions!$B$22:$E$22,MATCH(H4,Assumptions!$B$21:$E$21,0))</f>
        <v>1930.9875</v>
      </c>
      <c r="I14" s="17" t="n">
        <f aca="false">I12*Assumptions!$D$17*INDEX(Assumptions!$B$22:$E$22,MATCH(I4,Assumptions!$B$21:$E$21,0))</f>
        <v>1946.46015625</v>
      </c>
      <c r="J14" s="17" t="n">
        <f aca="false">J12*Assumptions!$D$17*INDEX(Assumptions!$B$22:$E$22,MATCH(J4,Assumptions!$B$21:$E$21,0))</f>
        <v>1961.9328125</v>
      </c>
      <c r="K14" s="17" t="n">
        <f aca="false">K12*Assumptions!$D$17*INDEX(Assumptions!$B$22:$E$22,MATCH(K4,Assumptions!$B$21:$E$21,0))</f>
        <v>1977.40546875</v>
      </c>
      <c r="L14" s="17" t="n">
        <f aca="false">L12*Assumptions!$D$17*INDEX(Assumptions!$B$22:$E$22,MATCH(L4,Assumptions!$B$21:$E$21,0))</f>
        <v>1992.878125</v>
      </c>
      <c r="M14" s="17" t="n">
        <f aca="false">M12*Assumptions!$D$17*INDEX(Assumptions!$B$22:$E$22,MATCH(M4,Assumptions!$B$21:$E$21,0))</f>
        <v>2008.35078125</v>
      </c>
      <c r="N14" s="17" t="n">
        <f aca="false">N12*Assumptions!$D$17*INDEX(Assumptions!$B$22:$E$22,MATCH(N4,Assumptions!$B$21:$E$21,0))</f>
        <v>2023.8234375</v>
      </c>
      <c r="O14" s="17" t="n">
        <f aca="false">O12*Assumptions!$D$17*INDEX(Assumptions!$B$22:$E$22,MATCH(O4,Assumptions!$B$21:$E$21,0))</f>
        <v>2039.29609375001</v>
      </c>
      <c r="P14" s="17" t="n">
        <f aca="false">P12*Assumptions!$D$17*INDEX(Assumptions!$B$22:$E$22,MATCH(P4,Assumptions!$B$21:$E$21,0))</f>
        <v>2054.76875</v>
      </c>
      <c r="Q14" s="17" t="n">
        <f aca="false">Q12*Assumptions!$D$17*INDEX(Assumptions!$B$22:$E$22,MATCH(Q4,Assumptions!$B$21:$E$21,0))</f>
        <v>2070.24140625</v>
      </c>
      <c r="R14" s="17" t="n">
        <f aca="false">R12*Assumptions!$D$17*INDEX(Assumptions!$B$22:$E$22,MATCH(R4,Assumptions!$B$21:$E$21,0))</f>
        <v>2085.7140625</v>
      </c>
      <c r="S14" s="17" t="n">
        <f aca="false">S12*Assumptions!$D$17*INDEX(Assumptions!$B$22:$E$22,MATCH(S4,Assumptions!$B$21:$E$21,0))</f>
        <v>2101.18671875</v>
      </c>
      <c r="T14" s="17" t="n">
        <f aca="false">T12*Assumptions!$D$17*INDEX(Assumptions!$B$22:$E$22,MATCH(T4,Assumptions!$B$21:$E$21,0))</f>
        <v>4674.5625</v>
      </c>
      <c r="U14" s="17" t="n">
        <f aca="false">U12*Assumptions!$D$17*INDEX(Assumptions!$B$22:$E$22,MATCH(U4,Assumptions!$B$21:$E$21,0))</f>
        <v>4710.96875</v>
      </c>
      <c r="V14" s="17" t="n">
        <f aca="false">V12*Assumptions!$D$17*INDEX(Assumptions!$B$22:$E$22,MATCH(V4,Assumptions!$B$21:$E$21,0))</f>
        <v>4747.375</v>
      </c>
      <c r="W14" s="17" t="n">
        <f aca="false">W12*Assumptions!$D$17*INDEX(Assumptions!$B$22:$E$22,MATCH(W4,Assumptions!$B$21:$E$21,0))</f>
        <v>4783.78125</v>
      </c>
      <c r="X14" s="17" t="n">
        <f aca="false">X12*Assumptions!$D$17*INDEX(Assumptions!$B$22:$E$22,MATCH(X4,Assumptions!$B$21:$E$21,0))</f>
        <v>4820.1875</v>
      </c>
      <c r="Y14" s="17" t="n">
        <f aca="false">Y12*Assumptions!$D$17*INDEX(Assumptions!$B$22:$E$22,MATCH(Y4,Assumptions!$B$21:$E$21,0))</f>
        <v>4856.59374999999</v>
      </c>
      <c r="Z14" s="17" t="n">
        <f aca="false">Z12*Assumptions!$D$17*INDEX(Assumptions!$B$22:$E$22,MATCH(Z4,Assumptions!$B$21:$E$21,0))</f>
        <v>4892.99999999999</v>
      </c>
      <c r="AA14" s="17" t="n">
        <f aca="false">AA12*Assumptions!$D$17*INDEX(Assumptions!$B$22:$E$22,MATCH(AA4,Assumptions!$B$21:$E$21,0))</f>
        <v>4929.40625000001</v>
      </c>
      <c r="AB14" s="17" t="n">
        <f aca="false">AB12*Assumptions!$D$17*INDEX(Assumptions!$B$22:$E$22,MATCH(AB4,Assumptions!$B$21:$E$21,0))</f>
        <v>4965.81249999999</v>
      </c>
      <c r="AC14" s="17" t="n">
        <f aca="false">AC12*Assumptions!$D$17*INDEX(Assumptions!$B$22:$E$22,MATCH(AC4,Assumptions!$B$21:$E$21,0))</f>
        <v>5002.21875</v>
      </c>
      <c r="AD14" s="17" t="n">
        <f aca="false">AD12*Assumptions!$D$17*INDEX(Assumptions!$B$22:$E$22,MATCH(AD4,Assumptions!$B$21:$E$21,0))</f>
        <v>5038.62499999998</v>
      </c>
      <c r="AE14" s="17" t="n">
        <f aca="false">AE12*Assumptions!$D$17*INDEX(Assumptions!$B$22:$E$22,MATCH(AE4,Assumptions!$B$21:$E$21,0))</f>
        <v>5075.03125000001</v>
      </c>
      <c r="AF14" s="17" t="n">
        <f aca="false">AF12*Assumptions!$D$17*INDEX(Assumptions!$B$22:$E$22,MATCH(AF4,Assumptions!$B$21:$E$21,0))</f>
        <v>8606.4375</v>
      </c>
      <c r="AG14" s="17" t="n">
        <f aca="false">AG12*Assumptions!$D$17*INDEX(Assumptions!$B$22:$E$22,MATCH(AG4,Assumptions!$B$21:$E$21,0))</f>
        <v>8671.96875</v>
      </c>
      <c r="AH14" s="17" t="n">
        <f aca="false">AH12*Assumptions!$D$17*INDEX(Assumptions!$B$22:$E$22,MATCH(AH4,Assumptions!$B$21:$E$21,0))</f>
        <v>8737.5</v>
      </c>
      <c r="AI14" s="17" t="n">
        <f aca="false">AI12*Assumptions!$D$17*INDEX(Assumptions!$B$22:$E$22,MATCH(AI4,Assumptions!$B$21:$E$21,0))</f>
        <v>8803.03125</v>
      </c>
      <c r="AJ14" s="17" t="n">
        <f aca="false">AJ12*Assumptions!$D$17*INDEX(Assumptions!$B$22:$E$22,MATCH(AJ4,Assumptions!$B$21:$E$21,0))</f>
        <v>8868.5625</v>
      </c>
      <c r="AK14" s="17" t="n">
        <f aca="false">AK12*Assumptions!$D$17*INDEX(Assumptions!$B$22:$E$22,MATCH(AK4,Assumptions!$B$21:$E$21,0))</f>
        <v>8934.09375</v>
      </c>
      <c r="AL14" s="17" t="n">
        <f aca="false">AL12*Assumptions!$D$17*INDEX(Assumptions!$B$22:$E$22,MATCH(AL4,Assumptions!$B$21:$E$21,0))</f>
        <v>8999.625</v>
      </c>
      <c r="AM14" s="17" t="n">
        <f aca="false">AM12*Assumptions!$D$17*INDEX(Assumptions!$B$22:$E$22,MATCH(AM4,Assumptions!$B$21:$E$21,0))</f>
        <v>9065.15625</v>
      </c>
      <c r="AN14" s="17" t="n">
        <f aca="false">AN12*Assumptions!$D$17*INDEX(Assumptions!$B$22:$E$22,MATCH(AN4,Assumptions!$B$21:$E$21,0))</f>
        <v>9130.6875</v>
      </c>
      <c r="AO14" s="17" t="n">
        <f aca="false">AO12*Assumptions!$D$17*INDEX(Assumptions!$B$22:$E$22,MATCH(AO4,Assumptions!$B$21:$E$21,0))</f>
        <v>9196.21875</v>
      </c>
      <c r="AP14" s="17" t="n">
        <f aca="false">AP12*Assumptions!$D$17*INDEX(Assumptions!$B$22:$E$22,MATCH(AP4,Assumptions!$B$21:$E$21,0))</f>
        <v>9261.75</v>
      </c>
      <c r="AQ14" s="17" t="n">
        <f aca="false">AQ12*Assumptions!$D$17*INDEX(Assumptions!$B$22:$E$22,MATCH(AQ4,Assumptions!$B$21:$E$21,0))</f>
        <v>9327.28125</v>
      </c>
    </row>
    <row r="15" customFormat="false" ht="15" hidden="false" customHeight="false" outlineLevel="0" collapsed="false">
      <c r="A15" s="5" t="s">
        <v>219</v>
      </c>
      <c r="B15" s="17" t="n">
        <f aca="false">B10/2*Assumptions!$G$17</f>
        <v>185.416666666667</v>
      </c>
      <c r="C15" s="17" t="n">
        <f aca="false">(B10+C10)/2*Assumptions!$G$17</f>
        <v>556.25</v>
      </c>
      <c r="D15" s="17" t="n">
        <f aca="false">(C10+D10)/2*Assumptions!$G$17</f>
        <v>927.083333333333</v>
      </c>
      <c r="E15" s="17" t="n">
        <f aca="false">(D10+E10)/2*Assumptions!$G$17</f>
        <v>1297.91666666667</v>
      </c>
      <c r="F15" s="17" t="n">
        <f aca="false">(E10+F10)/2*Assumptions!$G$17</f>
        <v>1668.75</v>
      </c>
      <c r="G15" s="17" t="n">
        <f aca="false">(F10+G10)/2*Assumptions!$G$17</f>
        <v>2039.58333333333</v>
      </c>
      <c r="H15" s="17" t="n">
        <f aca="false">(G10+H10)/2*Assumptions!$G$17</f>
        <v>2456.77083333333</v>
      </c>
      <c r="I15" s="17" t="n">
        <f aca="false">(H10+I10)/2*Assumptions!$G$17</f>
        <v>2920.3125</v>
      </c>
      <c r="J15" s="17" t="n">
        <f aca="false">(I10+J10)/2*Assumptions!$G$17</f>
        <v>3383.85416666667</v>
      </c>
      <c r="K15" s="17" t="n">
        <f aca="false">(J10+K10)/2*Assumptions!$G$17</f>
        <v>3847.39583333333</v>
      </c>
      <c r="L15" s="17" t="n">
        <f aca="false">(K10+L10)/2*Assumptions!$G$17</f>
        <v>4310.9375</v>
      </c>
      <c r="M15" s="17" t="n">
        <f aca="false">(L10+M10)/2*Assumptions!$G$17</f>
        <v>4774.47916666667</v>
      </c>
      <c r="N15" s="17" t="n">
        <f aca="false">(M10+N10)/2*Assumptions!$G$17</f>
        <v>5238.02083333333</v>
      </c>
      <c r="O15" s="17" t="n">
        <f aca="false">(N10+O10)/2*Assumptions!$G$17</f>
        <v>5701.5625</v>
      </c>
      <c r="P15" s="17" t="n">
        <f aca="false">(O10+P10)/2*Assumptions!$G$17</f>
        <v>6165.10416666667</v>
      </c>
      <c r="Q15" s="17" t="n">
        <f aca="false">(P10+Q10)/2*Assumptions!$G$17</f>
        <v>6628.64583333333</v>
      </c>
      <c r="R15" s="17" t="n">
        <f aca="false">(Q10+R10)/2*Assumptions!$G$17</f>
        <v>7092.1875</v>
      </c>
      <c r="S15" s="17" t="n">
        <f aca="false">(R10+S10)/2*Assumptions!$G$17</f>
        <v>7555.72916666667</v>
      </c>
      <c r="T15" s="17" t="n">
        <f aca="false">(S10+T10)/2*Assumptions!$G$17</f>
        <v>8251.04166666667</v>
      </c>
      <c r="U15" s="17" t="n">
        <f aca="false">(T10+U10)/2*Assumptions!$G$17</f>
        <v>9178.125</v>
      </c>
      <c r="V15" s="17" t="n">
        <f aca="false">(U10+V10)/2*Assumptions!$G$17</f>
        <v>10105.2083333333</v>
      </c>
      <c r="W15" s="17" t="n">
        <f aca="false">(V10+W10)/2*Assumptions!$G$17</f>
        <v>11032.2916666667</v>
      </c>
      <c r="X15" s="17" t="n">
        <f aca="false">(W10+X10)/2*Assumptions!$G$17</f>
        <v>11959.375</v>
      </c>
      <c r="Y15" s="17" t="n">
        <f aca="false">(X10+Y10)/2*Assumptions!$G$17</f>
        <v>12886.4583333333</v>
      </c>
      <c r="Z15" s="17" t="n">
        <f aca="false">(Y10+Z10)/2*Assumptions!$G$17</f>
        <v>13813.5416666667</v>
      </c>
      <c r="AA15" s="17" t="n">
        <f aca="false">(Z10+AA10)/2*Assumptions!$G$17</f>
        <v>14740.625</v>
      </c>
      <c r="AB15" s="17" t="n">
        <f aca="false">(AA10+AB10)/2*Assumptions!$G$17</f>
        <v>15667.7083333333</v>
      </c>
      <c r="AC15" s="17" t="n">
        <f aca="false">(AB10+AC10)/2*Assumptions!$G$17</f>
        <v>16594.7916666667</v>
      </c>
      <c r="AD15" s="17" t="n">
        <f aca="false">(AC10+AD10)/2*Assumptions!$G$17</f>
        <v>17521.875</v>
      </c>
      <c r="AE15" s="17" t="n">
        <f aca="false">(AD10+AE10)/2*Assumptions!$G$17</f>
        <v>18448.9583333333</v>
      </c>
      <c r="AF15" s="17" t="n">
        <f aca="false">(AE10+AF10)/2*Assumptions!$G$17</f>
        <v>19746.875</v>
      </c>
      <c r="AG15" s="17" t="n">
        <f aca="false">(AF10+AG10)/2*Assumptions!$G$17</f>
        <v>21415.625</v>
      </c>
      <c r="AH15" s="17" t="n">
        <f aca="false">(AG10+AH10)/2*Assumptions!$G$17</f>
        <v>23084.375</v>
      </c>
      <c r="AI15" s="17" t="n">
        <f aca="false">(AH10+AI10)/2*Assumptions!$G$17</f>
        <v>24753.125</v>
      </c>
      <c r="AJ15" s="17" t="n">
        <f aca="false">(AI10+AJ10)/2*Assumptions!$G$17</f>
        <v>26421.875</v>
      </c>
      <c r="AK15" s="17" t="n">
        <f aca="false">(AJ10+AK10)/2*Assumptions!$G$17</f>
        <v>28090.625</v>
      </c>
      <c r="AL15" s="17" t="n">
        <f aca="false">(AK10+AL10)/2*Assumptions!$G$17</f>
        <v>29759.375</v>
      </c>
      <c r="AM15" s="17" t="n">
        <f aca="false">(AL10+AM10)/2*Assumptions!$G$17</f>
        <v>31428.125</v>
      </c>
      <c r="AN15" s="17" t="n">
        <f aca="false">(AM10+AN10)/2*Assumptions!$G$17</f>
        <v>33096.875</v>
      </c>
      <c r="AO15" s="17" t="n">
        <f aca="false">(AN10+AO10)/2*Assumptions!$G$17</f>
        <v>34765.625</v>
      </c>
      <c r="AP15" s="17" t="n">
        <f aca="false">(AO10+AP10)/2*Assumptions!$G$17</f>
        <v>36434.375</v>
      </c>
      <c r="AQ15" s="17" t="n">
        <f aca="false">(AP10+AQ10)/2*Assumptions!$G$17</f>
        <v>38103.125</v>
      </c>
    </row>
    <row r="16" customFormat="false" ht="15" hidden="false" customHeight="false" outlineLevel="0" collapsed="false">
      <c r="A16" s="12" t="s">
        <v>220</v>
      </c>
      <c r="B16" s="19" t="n">
        <f aca="false">B14+B15</f>
        <v>1059.16666666667</v>
      </c>
      <c r="C16" s="19" t="n">
        <f aca="false">C14+C15</f>
        <v>1437.28125</v>
      </c>
      <c r="D16" s="19" t="n">
        <f aca="false">D14+D15</f>
        <v>1815.39583333333</v>
      </c>
      <c r="E16" s="19" t="n">
        <f aca="false">E14+E15</f>
        <v>2193.51041666667</v>
      </c>
      <c r="F16" s="19" t="n">
        <f aca="false">F14+F15</f>
        <v>2571.625</v>
      </c>
      <c r="G16" s="19" t="n">
        <f aca="false">G14+G15</f>
        <v>2949.73958333333</v>
      </c>
      <c r="H16" s="19" t="n">
        <f aca="false">H14+H15</f>
        <v>4387.75833333333</v>
      </c>
      <c r="I16" s="19" t="n">
        <f aca="false">I14+I15</f>
        <v>4866.77265625</v>
      </c>
      <c r="J16" s="19" t="n">
        <f aca="false">J14+J15</f>
        <v>5345.78697916667</v>
      </c>
      <c r="K16" s="19" t="n">
        <f aca="false">K14+K15</f>
        <v>5824.80130208334</v>
      </c>
      <c r="L16" s="19" t="n">
        <f aca="false">L14+L15</f>
        <v>6303.815625</v>
      </c>
      <c r="M16" s="19" t="n">
        <f aca="false">M14+M15</f>
        <v>6782.82994791666</v>
      </c>
      <c r="N16" s="19" t="n">
        <f aca="false">N14+N15</f>
        <v>7261.84427083333</v>
      </c>
      <c r="O16" s="19" t="n">
        <f aca="false">O14+O15</f>
        <v>7740.85859375001</v>
      </c>
      <c r="P16" s="19" t="n">
        <f aca="false">P14+P15</f>
        <v>8219.87291666666</v>
      </c>
      <c r="Q16" s="19" t="n">
        <f aca="false">Q14+Q15</f>
        <v>8698.88723958334</v>
      </c>
      <c r="R16" s="19" t="n">
        <f aca="false">R14+R15</f>
        <v>9177.9015625</v>
      </c>
      <c r="S16" s="19" t="n">
        <f aca="false">S14+S15</f>
        <v>9656.91588541667</v>
      </c>
      <c r="T16" s="19" t="n">
        <f aca="false">T14+T15</f>
        <v>12925.6041666667</v>
      </c>
      <c r="U16" s="19" t="n">
        <f aca="false">U14+U15</f>
        <v>13889.09375</v>
      </c>
      <c r="V16" s="19" t="n">
        <f aca="false">V14+V15</f>
        <v>14852.5833333333</v>
      </c>
      <c r="W16" s="19" t="n">
        <f aca="false">W14+W15</f>
        <v>15816.0729166667</v>
      </c>
      <c r="X16" s="19" t="n">
        <f aca="false">X14+X15</f>
        <v>16779.5625</v>
      </c>
      <c r="Y16" s="19" t="n">
        <f aca="false">Y14+Y15</f>
        <v>17743.0520833333</v>
      </c>
      <c r="Z16" s="19" t="n">
        <f aca="false">Z14+Z15</f>
        <v>18706.5416666667</v>
      </c>
      <c r="AA16" s="19" t="n">
        <f aca="false">AA14+AA15</f>
        <v>19670.03125</v>
      </c>
      <c r="AB16" s="19" t="n">
        <f aca="false">AB14+AB15</f>
        <v>20633.5208333333</v>
      </c>
      <c r="AC16" s="19" t="n">
        <f aca="false">AC14+AC15</f>
        <v>21597.0104166667</v>
      </c>
      <c r="AD16" s="19" t="n">
        <f aca="false">AD14+AD15</f>
        <v>22560.5</v>
      </c>
      <c r="AE16" s="19" t="n">
        <f aca="false">AE14+AE15</f>
        <v>23523.9895833333</v>
      </c>
      <c r="AF16" s="19" t="n">
        <f aca="false">AF14+AF15</f>
        <v>28353.3125</v>
      </c>
      <c r="AG16" s="19" t="n">
        <f aca="false">AG14+AG15</f>
        <v>30087.59375</v>
      </c>
      <c r="AH16" s="19" t="n">
        <f aca="false">AH14+AH15</f>
        <v>31821.875</v>
      </c>
      <c r="AI16" s="19" t="n">
        <f aca="false">AI14+AI15</f>
        <v>33556.15625</v>
      </c>
      <c r="AJ16" s="19" t="n">
        <f aca="false">AJ14+AJ15</f>
        <v>35290.4375</v>
      </c>
      <c r="AK16" s="19" t="n">
        <f aca="false">AK14+AK15</f>
        <v>37024.71875</v>
      </c>
      <c r="AL16" s="19" t="n">
        <f aca="false">AL14+AL15</f>
        <v>38759</v>
      </c>
      <c r="AM16" s="19" t="n">
        <f aca="false">AM14+AM15</f>
        <v>40493.28125</v>
      </c>
      <c r="AN16" s="19" t="n">
        <f aca="false">AN14+AN15</f>
        <v>42227.5625</v>
      </c>
      <c r="AO16" s="19" t="n">
        <f aca="false">AO14+AO15</f>
        <v>43961.84375</v>
      </c>
      <c r="AP16" s="19" t="n">
        <f aca="false">AP14+AP15</f>
        <v>45696.125</v>
      </c>
      <c r="AQ16" s="19" t="n">
        <f aca="false">AQ14+AQ15</f>
        <v>47430.40625</v>
      </c>
    </row>
    <row r="17" customFormat="false" ht="15" hidden="false" customHeight="false" outlineLevel="0" collapsed="false">
      <c r="A17" s="3" t="s">
        <v>221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customFormat="false" ht="15" hidden="false" customHeight="false" outlineLevel="0" collapsed="false">
      <c r="A18" s="5" t="s">
        <v>222</v>
      </c>
      <c r="B18" s="17" t="n">
        <f aca="false">B10*Assumptions!$B$33</f>
        <v>20</v>
      </c>
      <c r="C18" s="17" t="n">
        <f aca="false">C10*Assumptions!$B$33</f>
        <v>40</v>
      </c>
      <c r="D18" s="17" t="n">
        <f aca="false">D10*Assumptions!$B$33</f>
        <v>60</v>
      </c>
      <c r="E18" s="17" t="n">
        <f aca="false">E10*Assumptions!$B$33</f>
        <v>80</v>
      </c>
      <c r="F18" s="17" t="n">
        <f aca="false">F10*Assumptions!$B$33</f>
        <v>100</v>
      </c>
      <c r="G18" s="17" t="n">
        <f aca="false">G10*Assumptions!$B$33</f>
        <v>120</v>
      </c>
      <c r="H18" s="17" t="n">
        <f aca="false">H10*Assumptions!$B$33</f>
        <v>145</v>
      </c>
      <c r="I18" s="17" t="n">
        <f aca="false">I10*Assumptions!$B$33</f>
        <v>170</v>
      </c>
      <c r="J18" s="17" t="n">
        <f aca="false">J10*Assumptions!$B$33</f>
        <v>195</v>
      </c>
      <c r="K18" s="17" t="n">
        <f aca="false">K10*Assumptions!$B$33</f>
        <v>220</v>
      </c>
      <c r="L18" s="17" t="n">
        <f aca="false">L10*Assumptions!$B$33</f>
        <v>245</v>
      </c>
      <c r="M18" s="17" t="n">
        <f aca="false">M10*Assumptions!$B$33</f>
        <v>270</v>
      </c>
      <c r="N18" s="17" t="n">
        <f aca="false">N10*Assumptions!$B$33</f>
        <v>295</v>
      </c>
      <c r="O18" s="17" t="n">
        <f aca="false">O10*Assumptions!$B$33</f>
        <v>320</v>
      </c>
      <c r="P18" s="17" t="n">
        <f aca="false">P10*Assumptions!$B$33</f>
        <v>345</v>
      </c>
      <c r="Q18" s="17" t="n">
        <f aca="false">Q10*Assumptions!$B$33</f>
        <v>370</v>
      </c>
      <c r="R18" s="17" t="n">
        <f aca="false">R10*Assumptions!$B$33</f>
        <v>395</v>
      </c>
      <c r="S18" s="17" t="n">
        <f aca="false">S10*Assumptions!$B$33</f>
        <v>420</v>
      </c>
      <c r="T18" s="17" t="n">
        <f aca="false">T10*Assumptions!$B$33</f>
        <v>470</v>
      </c>
      <c r="U18" s="17" t="n">
        <f aca="false">U10*Assumptions!$B$33</f>
        <v>520</v>
      </c>
      <c r="V18" s="17" t="n">
        <f aca="false">V10*Assumptions!$B$33</f>
        <v>570</v>
      </c>
      <c r="W18" s="17" t="n">
        <f aca="false">W10*Assumptions!$B$33</f>
        <v>620</v>
      </c>
      <c r="X18" s="17" t="n">
        <f aca="false">X10*Assumptions!$B$33</f>
        <v>670</v>
      </c>
      <c r="Y18" s="17" t="n">
        <f aca="false">Y10*Assumptions!$B$33</f>
        <v>720</v>
      </c>
      <c r="Z18" s="17" t="n">
        <f aca="false">Z10*Assumptions!$B$33</f>
        <v>770</v>
      </c>
      <c r="AA18" s="17" t="n">
        <f aca="false">AA10*Assumptions!$B$33</f>
        <v>820</v>
      </c>
      <c r="AB18" s="17" t="n">
        <f aca="false">AB10*Assumptions!$B$33</f>
        <v>870</v>
      </c>
      <c r="AC18" s="17" t="n">
        <f aca="false">AC10*Assumptions!$B$33</f>
        <v>920</v>
      </c>
      <c r="AD18" s="17" t="n">
        <f aca="false">AD10*Assumptions!$B$33</f>
        <v>970</v>
      </c>
      <c r="AE18" s="17" t="n">
        <f aca="false">AE10*Assumptions!$B$33</f>
        <v>1020</v>
      </c>
      <c r="AF18" s="17" t="n">
        <f aca="false">AF10*Assumptions!$B$33</f>
        <v>1110</v>
      </c>
      <c r="AG18" s="17" t="n">
        <f aca="false">AG10*Assumptions!$B$33</f>
        <v>1200</v>
      </c>
      <c r="AH18" s="17" t="n">
        <f aca="false">AH10*Assumptions!$B$33</f>
        <v>1290</v>
      </c>
      <c r="AI18" s="17" t="n">
        <f aca="false">AI10*Assumptions!$B$33</f>
        <v>1380</v>
      </c>
      <c r="AJ18" s="17" t="n">
        <f aca="false">AJ10*Assumptions!$B$33</f>
        <v>1470</v>
      </c>
      <c r="AK18" s="17" t="n">
        <f aca="false">AK10*Assumptions!$B$33</f>
        <v>1560</v>
      </c>
      <c r="AL18" s="17" t="n">
        <f aca="false">AL10*Assumptions!$B$33</f>
        <v>1650</v>
      </c>
      <c r="AM18" s="17" t="n">
        <f aca="false">AM10*Assumptions!$B$33</f>
        <v>1740</v>
      </c>
      <c r="AN18" s="17" t="n">
        <f aca="false">AN10*Assumptions!$B$33</f>
        <v>1830</v>
      </c>
      <c r="AO18" s="17" t="n">
        <f aca="false">AO10*Assumptions!$B$33</f>
        <v>1920</v>
      </c>
      <c r="AP18" s="17" t="n">
        <f aca="false">AP10*Assumptions!$B$33</f>
        <v>2010</v>
      </c>
      <c r="AQ18" s="17" t="n">
        <f aca="false">AQ10*Assumptions!$B$33</f>
        <v>2100</v>
      </c>
    </row>
    <row r="19" customFormat="false" ht="15" hidden="false" customHeight="false" outlineLevel="0" collapsed="false">
      <c r="A19" s="5" t="s">
        <v>223</v>
      </c>
      <c r="B19" s="17" t="n">
        <f aca="false">Assumptions!$B$34</f>
        <v>150</v>
      </c>
      <c r="C19" s="17" t="n">
        <f aca="false">Assumptions!$B$34</f>
        <v>150</v>
      </c>
      <c r="D19" s="17" t="n">
        <f aca="false">Assumptions!$B$34</f>
        <v>150</v>
      </c>
      <c r="E19" s="17" t="n">
        <f aca="false">Assumptions!$B$34</f>
        <v>150</v>
      </c>
      <c r="F19" s="17" t="n">
        <f aca="false">Assumptions!$B$34</f>
        <v>150</v>
      </c>
      <c r="G19" s="17" t="n">
        <f aca="false">Assumptions!$B$34</f>
        <v>150</v>
      </c>
      <c r="H19" s="17" t="n">
        <f aca="false">Assumptions!$B$34</f>
        <v>150</v>
      </c>
      <c r="I19" s="17" t="n">
        <f aca="false">Assumptions!$B$34</f>
        <v>150</v>
      </c>
      <c r="J19" s="17" t="n">
        <f aca="false">Assumptions!$B$34</f>
        <v>150</v>
      </c>
      <c r="K19" s="17" t="n">
        <f aca="false">Assumptions!$B$34</f>
        <v>150</v>
      </c>
      <c r="L19" s="17" t="n">
        <f aca="false">Assumptions!$B$34</f>
        <v>150</v>
      </c>
      <c r="M19" s="17" t="n">
        <f aca="false">Assumptions!$B$34</f>
        <v>150</v>
      </c>
      <c r="N19" s="17" t="n">
        <f aca="false">Assumptions!$B$34</f>
        <v>150</v>
      </c>
      <c r="O19" s="17" t="n">
        <f aca="false">Assumptions!$B$34</f>
        <v>150</v>
      </c>
      <c r="P19" s="17" t="n">
        <f aca="false">Assumptions!$B$34</f>
        <v>150</v>
      </c>
      <c r="Q19" s="17" t="n">
        <f aca="false">Assumptions!$B$34</f>
        <v>150</v>
      </c>
      <c r="R19" s="17" t="n">
        <f aca="false">Assumptions!$B$34</f>
        <v>150</v>
      </c>
      <c r="S19" s="17" t="n">
        <f aca="false">Assumptions!$B$34</f>
        <v>150</v>
      </c>
      <c r="T19" s="17" t="n">
        <f aca="false">Assumptions!$B$34</f>
        <v>150</v>
      </c>
      <c r="U19" s="17" t="n">
        <f aca="false">Assumptions!$B$34</f>
        <v>150</v>
      </c>
      <c r="V19" s="17" t="n">
        <f aca="false">Assumptions!$B$34</f>
        <v>150</v>
      </c>
      <c r="W19" s="17" t="n">
        <f aca="false">Assumptions!$B$34</f>
        <v>150</v>
      </c>
      <c r="X19" s="17" t="n">
        <f aca="false">Assumptions!$B$34</f>
        <v>150</v>
      </c>
      <c r="Y19" s="17" t="n">
        <f aca="false">Assumptions!$B$34</f>
        <v>150</v>
      </c>
      <c r="Z19" s="17" t="n">
        <f aca="false">Assumptions!$B$34</f>
        <v>150</v>
      </c>
      <c r="AA19" s="17" t="n">
        <f aca="false">Assumptions!$B$34</f>
        <v>150</v>
      </c>
      <c r="AB19" s="17" t="n">
        <f aca="false">Assumptions!$B$34</f>
        <v>150</v>
      </c>
      <c r="AC19" s="17" t="n">
        <f aca="false">Assumptions!$B$34</f>
        <v>150</v>
      </c>
      <c r="AD19" s="17" t="n">
        <f aca="false">Assumptions!$B$34</f>
        <v>150</v>
      </c>
      <c r="AE19" s="17" t="n">
        <f aca="false">Assumptions!$B$34</f>
        <v>150</v>
      </c>
      <c r="AF19" s="17" t="n">
        <f aca="false">Assumptions!$B$34</f>
        <v>150</v>
      </c>
      <c r="AG19" s="17" t="n">
        <f aca="false">Assumptions!$B$34</f>
        <v>150</v>
      </c>
      <c r="AH19" s="17" t="n">
        <f aca="false">Assumptions!$B$34</f>
        <v>150</v>
      </c>
      <c r="AI19" s="17" t="n">
        <f aca="false">Assumptions!$B$34</f>
        <v>150</v>
      </c>
      <c r="AJ19" s="17" t="n">
        <f aca="false">Assumptions!$B$34</f>
        <v>150</v>
      </c>
      <c r="AK19" s="17" t="n">
        <f aca="false">Assumptions!$B$34</f>
        <v>150</v>
      </c>
      <c r="AL19" s="17" t="n">
        <f aca="false">Assumptions!$B$34</f>
        <v>150</v>
      </c>
      <c r="AM19" s="17" t="n">
        <f aca="false">Assumptions!$B$34</f>
        <v>150</v>
      </c>
      <c r="AN19" s="17" t="n">
        <f aca="false">Assumptions!$B$34</f>
        <v>150</v>
      </c>
      <c r="AO19" s="17" t="n">
        <f aca="false">Assumptions!$B$34</f>
        <v>150</v>
      </c>
      <c r="AP19" s="17" t="n">
        <f aca="false">Assumptions!$B$34</f>
        <v>150</v>
      </c>
      <c r="AQ19" s="17" t="n">
        <f aca="false">Assumptions!$B$34</f>
        <v>150</v>
      </c>
    </row>
    <row r="20" customFormat="false" ht="15" hidden="false" customHeight="false" outlineLevel="0" collapsed="false">
      <c r="A20" s="5" t="s">
        <v>224</v>
      </c>
      <c r="B20" s="17" t="n">
        <f aca="false">B14*Assumptions!$B$35</f>
        <v>87.375</v>
      </c>
      <c r="C20" s="17" t="n">
        <f aca="false">C14*Assumptions!$B$35</f>
        <v>88.103125</v>
      </c>
      <c r="D20" s="17" t="n">
        <f aca="false">D14*Assumptions!$B$35</f>
        <v>88.83125</v>
      </c>
      <c r="E20" s="17" t="n">
        <f aca="false">E14*Assumptions!$B$35</f>
        <v>89.559375</v>
      </c>
      <c r="F20" s="17" t="n">
        <f aca="false">F14*Assumptions!$B$35</f>
        <v>90.2875000000001</v>
      </c>
      <c r="G20" s="17" t="n">
        <f aca="false">G14*Assumptions!$B$35</f>
        <v>91.015625</v>
      </c>
      <c r="H20" s="17" t="n">
        <f aca="false">H14*Assumptions!$B$35</f>
        <v>193.09875</v>
      </c>
      <c r="I20" s="17" t="n">
        <f aca="false">I14*Assumptions!$B$35</f>
        <v>194.646015625</v>
      </c>
      <c r="J20" s="17" t="n">
        <f aca="false">J14*Assumptions!$B$35</f>
        <v>196.19328125</v>
      </c>
      <c r="K20" s="17" t="n">
        <f aca="false">K14*Assumptions!$B$35</f>
        <v>197.740546875</v>
      </c>
      <c r="L20" s="17" t="n">
        <f aca="false">L14*Assumptions!$B$35</f>
        <v>199.2878125</v>
      </c>
      <c r="M20" s="17" t="n">
        <f aca="false">M14*Assumptions!$B$35</f>
        <v>200.835078125</v>
      </c>
      <c r="N20" s="17" t="n">
        <f aca="false">N14*Assumptions!$B$35</f>
        <v>202.38234375</v>
      </c>
      <c r="O20" s="17" t="n">
        <f aca="false">O14*Assumptions!$B$35</f>
        <v>203.929609375001</v>
      </c>
      <c r="P20" s="17" t="n">
        <f aca="false">P14*Assumptions!$B$35</f>
        <v>205.476875</v>
      </c>
      <c r="Q20" s="17" t="n">
        <f aca="false">Q14*Assumptions!$B$35</f>
        <v>207.024140625</v>
      </c>
      <c r="R20" s="17" t="n">
        <f aca="false">R14*Assumptions!$B$35</f>
        <v>208.57140625</v>
      </c>
      <c r="S20" s="17" t="n">
        <f aca="false">S14*Assumptions!$B$35</f>
        <v>210.118671875</v>
      </c>
      <c r="T20" s="17" t="n">
        <f aca="false">T14*Assumptions!$B$35</f>
        <v>467.45625</v>
      </c>
      <c r="U20" s="17" t="n">
        <f aca="false">U14*Assumptions!$B$35</f>
        <v>471.096875</v>
      </c>
      <c r="V20" s="17" t="n">
        <f aca="false">V14*Assumptions!$B$35</f>
        <v>474.7375</v>
      </c>
      <c r="W20" s="17" t="n">
        <f aca="false">W14*Assumptions!$B$35</f>
        <v>478.378125</v>
      </c>
      <c r="X20" s="17" t="n">
        <f aca="false">X14*Assumptions!$B$35</f>
        <v>482.01875</v>
      </c>
      <c r="Y20" s="17" t="n">
        <f aca="false">Y14*Assumptions!$B$35</f>
        <v>485.659374999999</v>
      </c>
      <c r="Z20" s="17" t="n">
        <f aca="false">Z14*Assumptions!$B$35</f>
        <v>489.299999999999</v>
      </c>
      <c r="AA20" s="17" t="n">
        <f aca="false">AA14*Assumptions!$B$35</f>
        <v>492.940625000001</v>
      </c>
      <c r="AB20" s="17" t="n">
        <f aca="false">AB14*Assumptions!$B$35</f>
        <v>496.581249999999</v>
      </c>
      <c r="AC20" s="17" t="n">
        <f aca="false">AC14*Assumptions!$B$35</f>
        <v>500.221875</v>
      </c>
      <c r="AD20" s="17" t="n">
        <f aca="false">AD14*Assumptions!$B$35</f>
        <v>503.862499999999</v>
      </c>
      <c r="AE20" s="17" t="n">
        <f aca="false">AE14*Assumptions!$B$35</f>
        <v>507.503125000001</v>
      </c>
      <c r="AF20" s="17" t="n">
        <f aca="false">AF14*Assumptions!$B$35</f>
        <v>860.64375</v>
      </c>
      <c r="AG20" s="17" t="n">
        <f aca="false">AG14*Assumptions!$B$35</f>
        <v>867.196875</v>
      </c>
      <c r="AH20" s="17" t="n">
        <f aca="false">AH14*Assumptions!$B$35</f>
        <v>873.75</v>
      </c>
      <c r="AI20" s="17" t="n">
        <f aca="false">AI14*Assumptions!$B$35</f>
        <v>880.303125</v>
      </c>
      <c r="AJ20" s="17" t="n">
        <f aca="false">AJ14*Assumptions!$B$35</f>
        <v>886.85625</v>
      </c>
      <c r="AK20" s="17" t="n">
        <f aca="false">AK14*Assumptions!$B$35</f>
        <v>893.409375</v>
      </c>
      <c r="AL20" s="17" t="n">
        <f aca="false">AL14*Assumptions!$B$35</f>
        <v>899.9625</v>
      </c>
      <c r="AM20" s="17" t="n">
        <f aca="false">AM14*Assumptions!$B$35</f>
        <v>906.515625</v>
      </c>
      <c r="AN20" s="17" t="n">
        <f aca="false">AN14*Assumptions!$B$35</f>
        <v>913.06875</v>
      </c>
      <c r="AO20" s="17" t="n">
        <f aca="false">AO14*Assumptions!$B$35</f>
        <v>919.621875</v>
      </c>
      <c r="AP20" s="17" t="n">
        <f aca="false">AP14*Assumptions!$B$35</f>
        <v>926.175</v>
      </c>
      <c r="AQ20" s="17" t="n">
        <f aca="false">AQ14*Assumptions!$B$35</f>
        <v>932.728125</v>
      </c>
    </row>
    <row r="21" customFormat="false" ht="15" hidden="false" customHeight="false" outlineLevel="0" collapsed="false">
      <c r="A21" s="5" t="s">
        <v>225</v>
      </c>
      <c r="B21" s="17" t="n">
        <f aca="false">B16*Assumptions!$B$36</f>
        <v>21.1833333333333</v>
      </c>
      <c r="C21" s="17" t="n">
        <f aca="false">C16*Assumptions!$B$36</f>
        <v>28.745625</v>
      </c>
      <c r="D21" s="17" t="n">
        <f aca="false">D16*Assumptions!$B$36</f>
        <v>36.3079166666667</v>
      </c>
      <c r="E21" s="17" t="n">
        <f aca="false">E16*Assumptions!$B$36</f>
        <v>43.8702083333333</v>
      </c>
      <c r="F21" s="17" t="n">
        <f aca="false">F16*Assumptions!$B$36</f>
        <v>51.4325</v>
      </c>
      <c r="G21" s="17" t="n">
        <f aca="false">G16*Assumptions!$B$36</f>
        <v>58.9947916666667</v>
      </c>
      <c r="H21" s="17" t="n">
        <f aca="false">H16*Assumptions!$B$36</f>
        <v>87.7551666666667</v>
      </c>
      <c r="I21" s="17" t="n">
        <f aca="false">I16*Assumptions!$B$36</f>
        <v>97.335453125</v>
      </c>
      <c r="J21" s="17" t="n">
        <f aca="false">J16*Assumptions!$B$36</f>
        <v>106.915739583333</v>
      </c>
      <c r="K21" s="17" t="n">
        <f aca="false">K16*Assumptions!$B$36</f>
        <v>116.496026041667</v>
      </c>
      <c r="L21" s="17" t="n">
        <f aca="false">L16*Assumptions!$B$36</f>
        <v>126.0763125</v>
      </c>
      <c r="M21" s="17" t="n">
        <f aca="false">M16*Assumptions!$B$36</f>
        <v>135.656598958333</v>
      </c>
      <c r="N21" s="17" t="n">
        <f aca="false">N16*Assumptions!$B$36</f>
        <v>145.236885416667</v>
      </c>
      <c r="O21" s="17" t="n">
        <f aca="false">O16*Assumptions!$B$36</f>
        <v>154.817171875</v>
      </c>
      <c r="P21" s="17" t="n">
        <f aca="false">P16*Assumptions!$B$36</f>
        <v>164.397458333333</v>
      </c>
      <c r="Q21" s="17" t="n">
        <f aca="false">Q16*Assumptions!$B$36</f>
        <v>173.977744791667</v>
      </c>
      <c r="R21" s="17" t="n">
        <f aca="false">R16*Assumptions!$B$36</f>
        <v>183.55803125</v>
      </c>
      <c r="S21" s="17" t="n">
        <f aca="false">S16*Assumptions!$B$36</f>
        <v>193.138317708333</v>
      </c>
      <c r="T21" s="17" t="n">
        <f aca="false">T16*Assumptions!$B$36</f>
        <v>258.512083333333</v>
      </c>
      <c r="U21" s="17" t="n">
        <f aca="false">U16*Assumptions!$B$36</f>
        <v>277.781875</v>
      </c>
      <c r="V21" s="17" t="n">
        <f aca="false">V16*Assumptions!$B$36</f>
        <v>297.051666666667</v>
      </c>
      <c r="W21" s="17" t="n">
        <f aca="false">W16*Assumptions!$B$36</f>
        <v>316.321458333333</v>
      </c>
      <c r="X21" s="17" t="n">
        <f aca="false">X16*Assumptions!$B$36</f>
        <v>335.59125</v>
      </c>
      <c r="Y21" s="17" t="n">
        <f aca="false">Y16*Assumptions!$B$36</f>
        <v>354.861041666667</v>
      </c>
      <c r="Z21" s="17" t="n">
        <f aca="false">Z16*Assumptions!$B$36</f>
        <v>374.130833333333</v>
      </c>
      <c r="AA21" s="17" t="n">
        <f aca="false">AA16*Assumptions!$B$36</f>
        <v>393.400625</v>
      </c>
      <c r="AB21" s="17" t="n">
        <f aca="false">AB16*Assumptions!$B$36</f>
        <v>412.670416666667</v>
      </c>
      <c r="AC21" s="17" t="n">
        <f aca="false">AC16*Assumptions!$B$36</f>
        <v>431.940208333333</v>
      </c>
      <c r="AD21" s="17" t="n">
        <f aca="false">AD16*Assumptions!$B$36</f>
        <v>451.21</v>
      </c>
      <c r="AE21" s="17" t="n">
        <f aca="false">AE16*Assumptions!$B$36</f>
        <v>470.479791666667</v>
      </c>
      <c r="AF21" s="17" t="n">
        <f aca="false">AF16*Assumptions!$B$36</f>
        <v>567.06625</v>
      </c>
      <c r="AG21" s="17" t="n">
        <f aca="false">AG16*Assumptions!$B$36</f>
        <v>601.751875</v>
      </c>
      <c r="AH21" s="17" t="n">
        <f aca="false">AH16*Assumptions!$B$36</f>
        <v>636.4375</v>
      </c>
      <c r="AI21" s="17" t="n">
        <f aca="false">AI16*Assumptions!$B$36</f>
        <v>671.123125</v>
      </c>
      <c r="AJ21" s="17" t="n">
        <f aca="false">AJ16*Assumptions!$B$36</f>
        <v>705.80875</v>
      </c>
      <c r="AK21" s="17" t="n">
        <f aca="false">AK16*Assumptions!$B$36</f>
        <v>740.494375</v>
      </c>
      <c r="AL21" s="17" t="n">
        <f aca="false">AL16*Assumptions!$B$36</f>
        <v>775.18</v>
      </c>
      <c r="AM21" s="17" t="n">
        <f aca="false">AM16*Assumptions!$B$36</f>
        <v>809.865625</v>
      </c>
      <c r="AN21" s="17" t="n">
        <f aca="false">AN16*Assumptions!$B$36</f>
        <v>844.55125</v>
      </c>
      <c r="AO21" s="17" t="n">
        <f aca="false">AO16*Assumptions!$B$36</f>
        <v>879.236875</v>
      </c>
      <c r="AP21" s="17" t="n">
        <f aca="false">AP16*Assumptions!$B$36</f>
        <v>913.9225</v>
      </c>
      <c r="AQ21" s="17" t="n">
        <f aca="false">AQ16*Assumptions!$B$36</f>
        <v>948.608125</v>
      </c>
    </row>
    <row r="22" customFormat="false" ht="15" hidden="false" customHeight="false" outlineLevel="0" collapsed="false">
      <c r="A22" s="5" t="s">
        <v>226</v>
      </c>
      <c r="B22" s="17" t="n">
        <f aca="false">SUM(B18:B21)</f>
        <v>278.558333333333</v>
      </c>
      <c r="C22" s="17" t="n">
        <f aca="false">SUM(C18:C21)</f>
        <v>306.84875</v>
      </c>
      <c r="D22" s="17" t="n">
        <f aca="false">SUM(D18:D21)</f>
        <v>335.139166666667</v>
      </c>
      <c r="E22" s="17" t="n">
        <f aca="false">SUM(E18:E21)</f>
        <v>363.429583333333</v>
      </c>
      <c r="F22" s="17" t="n">
        <f aca="false">SUM(F18:F21)</f>
        <v>391.72</v>
      </c>
      <c r="G22" s="17" t="n">
        <f aca="false">SUM(G18:G21)</f>
        <v>420.010416666667</v>
      </c>
      <c r="H22" s="17" t="n">
        <f aca="false">SUM(H18:H21)</f>
        <v>575.853916666667</v>
      </c>
      <c r="I22" s="17" t="n">
        <f aca="false">SUM(I18:I21)</f>
        <v>611.98146875</v>
      </c>
      <c r="J22" s="17" t="n">
        <f aca="false">SUM(J18:J21)</f>
        <v>648.109020833333</v>
      </c>
      <c r="K22" s="17" t="n">
        <f aca="false">SUM(K18:K21)</f>
        <v>684.236572916667</v>
      </c>
      <c r="L22" s="17" t="n">
        <f aca="false">SUM(L18:L21)</f>
        <v>720.364125</v>
      </c>
      <c r="M22" s="17" t="n">
        <f aca="false">SUM(M18:M21)</f>
        <v>756.491677083333</v>
      </c>
      <c r="N22" s="17" t="n">
        <f aca="false">SUM(N18:N21)</f>
        <v>792.619229166666</v>
      </c>
      <c r="O22" s="17" t="n">
        <f aca="false">SUM(O18:O21)</f>
        <v>828.746781250001</v>
      </c>
      <c r="P22" s="17" t="n">
        <f aca="false">SUM(P18:P21)</f>
        <v>864.874333333333</v>
      </c>
      <c r="Q22" s="17" t="n">
        <f aca="false">SUM(Q18:Q21)</f>
        <v>901.001885416667</v>
      </c>
      <c r="R22" s="17" t="n">
        <f aca="false">SUM(R18:R21)</f>
        <v>937.1294375</v>
      </c>
      <c r="S22" s="17" t="n">
        <f aca="false">SUM(S18:S21)</f>
        <v>973.256989583334</v>
      </c>
      <c r="T22" s="17" t="n">
        <f aca="false">SUM(T18:T21)</f>
        <v>1345.96833333333</v>
      </c>
      <c r="U22" s="17" t="n">
        <f aca="false">SUM(U18:U21)</f>
        <v>1418.87875</v>
      </c>
      <c r="V22" s="17" t="n">
        <f aca="false">SUM(V18:V21)</f>
        <v>1491.78916666667</v>
      </c>
      <c r="W22" s="17" t="n">
        <f aca="false">SUM(W18:W21)</f>
        <v>1564.69958333333</v>
      </c>
      <c r="X22" s="17" t="n">
        <f aca="false">SUM(X18:X21)</f>
        <v>1637.61</v>
      </c>
      <c r="Y22" s="17" t="n">
        <f aca="false">SUM(Y18:Y21)</f>
        <v>1710.52041666667</v>
      </c>
      <c r="Z22" s="17" t="n">
        <f aca="false">SUM(Z18:Z21)</f>
        <v>1783.43083333333</v>
      </c>
      <c r="AA22" s="17" t="n">
        <f aca="false">SUM(AA18:AA21)</f>
        <v>1856.34125</v>
      </c>
      <c r="AB22" s="17" t="n">
        <f aca="false">SUM(AB18:AB21)</f>
        <v>1929.25166666667</v>
      </c>
      <c r="AC22" s="17" t="n">
        <f aca="false">SUM(AC18:AC21)</f>
        <v>2002.16208333333</v>
      </c>
      <c r="AD22" s="17" t="n">
        <f aca="false">SUM(AD18:AD21)</f>
        <v>2075.0725</v>
      </c>
      <c r="AE22" s="17" t="n">
        <f aca="false">SUM(AE18:AE21)</f>
        <v>2147.98291666667</v>
      </c>
      <c r="AF22" s="17" t="n">
        <f aca="false">SUM(AF18:AF21)</f>
        <v>2687.71</v>
      </c>
      <c r="AG22" s="17" t="n">
        <f aca="false">SUM(AG18:AG21)</f>
        <v>2818.94875</v>
      </c>
      <c r="AH22" s="17" t="n">
        <f aca="false">SUM(AH18:AH21)</f>
        <v>2950.1875</v>
      </c>
      <c r="AI22" s="17" t="n">
        <f aca="false">SUM(AI18:AI21)</f>
        <v>3081.42625</v>
      </c>
      <c r="AJ22" s="17" t="n">
        <f aca="false">SUM(AJ18:AJ21)</f>
        <v>3212.665</v>
      </c>
      <c r="AK22" s="17" t="n">
        <f aca="false">SUM(AK18:AK21)</f>
        <v>3343.90375</v>
      </c>
      <c r="AL22" s="17" t="n">
        <f aca="false">SUM(AL18:AL21)</f>
        <v>3475.1425</v>
      </c>
      <c r="AM22" s="17" t="n">
        <f aca="false">SUM(AM18:AM21)</f>
        <v>3606.38125</v>
      </c>
      <c r="AN22" s="17" t="n">
        <f aca="false">SUM(AN18:AN21)</f>
        <v>3737.62</v>
      </c>
      <c r="AO22" s="17" t="n">
        <f aca="false">SUM(AO18:AO21)</f>
        <v>3868.85875</v>
      </c>
      <c r="AP22" s="17" t="n">
        <f aca="false">SUM(AP18:AP21)</f>
        <v>4000.0975</v>
      </c>
      <c r="AQ22" s="17" t="n">
        <f aca="false">SUM(AQ18:AQ21)</f>
        <v>4131.33625</v>
      </c>
    </row>
    <row r="23" customFormat="false" ht="15" hidden="false" customHeight="false" outlineLevel="0" collapsed="false">
      <c r="A23" s="12" t="s">
        <v>227</v>
      </c>
      <c r="B23" s="19" t="n">
        <f aca="false">B16-B22</f>
        <v>780.608333333333</v>
      </c>
      <c r="C23" s="19" t="n">
        <f aca="false">C16-C22</f>
        <v>1130.4325</v>
      </c>
      <c r="D23" s="19" t="n">
        <f aca="false">D16-D22</f>
        <v>1480.25666666667</v>
      </c>
      <c r="E23" s="19" t="n">
        <f aca="false">E16-E22</f>
        <v>1830.08083333333</v>
      </c>
      <c r="F23" s="19" t="n">
        <f aca="false">F16-F22</f>
        <v>2179.905</v>
      </c>
      <c r="G23" s="19" t="n">
        <f aca="false">G16-G22</f>
        <v>2529.72916666667</v>
      </c>
      <c r="H23" s="19" t="n">
        <f aca="false">H16-H22</f>
        <v>3811.90441666667</v>
      </c>
      <c r="I23" s="19" t="n">
        <f aca="false">I16-I22</f>
        <v>4254.7911875</v>
      </c>
      <c r="J23" s="19" t="n">
        <f aca="false">J16-J22</f>
        <v>4697.67795833333</v>
      </c>
      <c r="K23" s="19" t="n">
        <f aca="false">K16-K22</f>
        <v>5140.56472916667</v>
      </c>
      <c r="L23" s="19" t="n">
        <f aca="false">L16-L22</f>
        <v>5583.4515</v>
      </c>
      <c r="M23" s="19" t="n">
        <f aca="false">M16-M22</f>
        <v>6026.33827083333</v>
      </c>
      <c r="N23" s="19" t="n">
        <f aca="false">N16-N22</f>
        <v>6469.22504166666</v>
      </c>
      <c r="O23" s="19" t="n">
        <f aca="false">O16-O22</f>
        <v>6912.11181250001</v>
      </c>
      <c r="P23" s="19" t="n">
        <f aca="false">P16-P22</f>
        <v>7354.99858333333</v>
      </c>
      <c r="Q23" s="19" t="n">
        <f aca="false">Q16-Q22</f>
        <v>7797.88535416667</v>
      </c>
      <c r="R23" s="19" t="n">
        <f aca="false">R16-R22</f>
        <v>8240.772125</v>
      </c>
      <c r="S23" s="19" t="n">
        <f aca="false">S16-S22</f>
        <v>8683.65889583333</v>
      </c>
      <c r="T23" s="19" t="n">
        <f aca="false">T16-T22</f>
        <v>11579.6358333333</v>
      </c>
      <c r="U23" s="19" t="n">
        <f aca="false">U16-U22</f>
        <v>12470.215</v>
      </c>
      <c r="V23" s="19" t="n">
        <f aca="false">V16-V22</f>
        <v>13360.7941666667</v>
      </c>
      <c r="W23" s="19" t="n">
        <f aca="false">W16-W22</f>
        <v>14251.3733333333</v>
      </c>
      <c r="X23" s="19" t="n">
        <f aca="false">X16-X22</f>
        <v>15141.9525</v>
      </c>
      <c r="Y23" s="19" t="n">
        <f aca="false">Y16-Y22</f>
        <v>16032.5316666667</v>
      </c>
      <c r="Z23" s="19" t="n">
        <f aca="false">Z16-Z22</f>
        <v>16923.1108333333</v>
      </c>
      <c r="AA23" s="19" t="n">
        <f aca="false">AA16-AA22</f>
        <v>17813.69</v>
      </c>
      <c r="AB23" s="19" t="n">
        <f aca="false">AB16-AB22</f>
        <v>18704.2691666667</v>
      </c>
      <c r="AC23" s="19" t="n">
        <f aca="false">AC16-AC22</f>
        <v>19594.8483333333</v>
      </c>
      <c r="AD23" s="19" t="n">
        <f aca="false">AD16-AD22</f>
        <v>20485.4275</v>
      </c>
      <c r="AE23" s="19" t="n">
        <f aca="false">AE16-AE22</f>
        <v>21376.0066666667</v>
      </c>
      <c r="AF23" s="19" t="n">
        <f aca="false">AF16-AF22</f>
        <v>25665.6025</v>
      </c>
      <c r="AG23" s="19" t="n">
        <f aca="false">AG16-AG22</f>
        <v>27268.645</v>
      </c>
      <c r="AH23" s="19" t="n">
        <f aca="false">AH16-AH22</f>
        <v>28871.6875</v>
      </c>
      <c r="AI23" s="19" t="n">
        <f aca="false">AI16-AI22</f>
        <v>30474.73</v>
      </c>
      <c r="AJ23" s="19" t="n">
        <f aca="false">AJ16-AJ22</f>
        <v>32077.7725</v>
      </c>
      <c r="AK23" s="19" t="n">
        <f aca="false">AK16-AK22</f>
        <v>33680.815</v>
      </c>
      <c r="AL23" s="19" t="n">
        <f aca="false">AL16-AL22</f>
        <v>35283.8575</v>
      </c>
      <c r="AM23" s="19" t="n">
        <f aca="false">AM16-AM22</f>
        <v>36886.9</v>
      </c>
      <c r="AN23" s="19" t="n">
        <f aca="false">AN16-AN22</f>
        <v>38489.9425</v>
      </c>
      <c r="AO23" s="19" t="n">
        <f aca="false">AO16-AO22</f>
        <v>40092.985</v>
      </c>
      <c r="AP23" s="19" t="n">
        <f aca="false">AP16-AP22</f>
        <v>41696.0275</v>
      </c>
      <c r="AQ23" s="19" t="n">
        <f aca="false">AQ16-AQ22</f>
        <v>43299.07</v>
      </c>
    </row>
    <row r="24" customFormat="false" ht="15" hidden="false" customHeight="false" outlineLevel="0" collapsed="false">
      <c r="A24" s="3" t="s">
        <v>228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customFormat="false" ht="15" hidden="false" customHeight="false" outlineLevel="0" collapsed="false">
      <c r="A25" s="5" t="s">
        <v>229</v>
      </c>
      <c r="B25" s="17" t="n">
        <f aca="false">INDEX(Assumptions!$B$40:$E$40,MATCH(B4,Assumptions!$B$39:$E$39,0))/12*(1+Assumptions!$B$44)</f>
        <v>0</v>
      </c>
      <c r="C25" s="17" t="n">
        <f aca="false">INDEX(Assumptions!$B$40:$E$40,MATCH(C4,Assumptions!$B$39:$E$39,0))/12*(1+Assumptions!$B$44)</f>
        <v>0</v>
      </c>
      <c r="D25" s="17" t="n">
        <f aca="false">INDEX(Assumptions!$B$40:$E$40,MATCH(D4,Assumptions!$B$39:$E$39,0))/12*(1+Assumptions!$B$44)</f>
        <v>0</v>
      </c>
      <c r="E25" s="17" t="n">
        <f aca="false">INDEX(Assumptions!$B$40:$E$40,MATCH(E4,Assumptions!$B$39:$E$39,0))/12*(1+Assumptions!$B$44)</f>
        <v>0</v>
      </c>
      <c r="F25" s="17" t="n">
        <f aca="false">INDEX(Assumptions!$B$40:$E$40,MATCH(F4,Assumptions!$B$39:$E$39,0))/12*(1+Assumptions!$B$44)</f>
        <v>0</v>
      </c>
      <c r="G25" s="17" t="n">
        <f aca="false">INDEX(Assumptions!$B$40:$E$40,MATCH(G4,Assumptions!$B$39:$E$39,0))/12*(1+Assumptions!$B$44)</f>
        <v>0</v>
      </c>
      <c r="H25" s="17" t="n">
        <f aca="false">INDEX(Assumptions!$B$40:$E$40,MATCH(H4,Assumptions!$B$39:$E$39,0))/12*(1+Assumptions!$B$44)</f>
        <v>2875</v>
      </c>
      <c r="I25" s="17" t="n">
        <f aca="false">INDEX(Assumptions!$B$40:$E$40,MATCH(I4,Assumptions!$B$39:$E$39,0))/12*(1+Assumptions!$B$44)</f>
        <v>2875</v>
      </c>
      <c r="J25" s="17" t="n">
        <f aca="false">INDEX(Assumptions!$B$40:$E$40,MATCH(J4,Assumptions!$B$39:$E$39,0))/12*(1+Assumptions!$B$44)</f>
        <v>2875</v>
      </c>
      <c r="K25" s="17" t="n">
        <f aca="false">INDEX(Assumptions!$B$40:$E$40,MATCH(K4,Assumptions!$B$39:$E$39,0))/12*(1+Assumptions!$B$44)</f>
        <v>2875</v>
      </c>
      <c r="L25" s="17" t="n">
        <f aca="false">INDEX(Assumptions!$B$40:$E$40,MATCH(L4,Assumptions!$B$39:$E$39,0))/12*(1+Assumptions!$B$44)</f>
        <v>2875</v>
      </c>
      <c r="M25" s="17" t="n">
        <f aca="false">INDEX(Assumptions!$B$40:$E$40,MATCH(M4,Assumptions!$B$39:$E$39,0))/12*(1+Assumptions!$B$44)</f>
        <v>2875</v>
      </c>
      <c r="N25" s="17" t="n">
        <f aca="false">INDEX(Assumptions!$B$40:$E$40,MATCH(N4,Assumptions!$B$39:$E$39,0))/12*(1+Assumptions!$B$44)</f>
        <v>2875</v>
      </c>
      <c r="O25" s="17" t="n">
        <f aca="false">INDEX(Assumptions!$B$40:$E$40,MATCH(O4,Assumptions!$B$39:$E$39,0))/12*(1+Assumptions!$B$44)</f>
        <v>2875</v>
      </c>
      <c r="P25" s="17" t="n">
        <f aca="false">INDEX(Assumptions!$B$40:$E$40,MATCH(P4,Assumptions!$B$39:$E$39,0))/12*(1+Assumptions!$B$44)</f>
        <v>2875</v>
      </c>
      <c r="Q25" s="17" t="n">
        <f aca="false">INDEX(Assumptions!$B$40:$E$40,MATCH(Q4,Assumptions!$B$39:$E$39,0))/12*(1+Assumptions!$B$44)</f>
        <v>2875</v>
      </c>
      <c r="R25" s="17" t="n">
        <f aca="false">INDEX(Assumptions!$B$40:$E$40,MATCH(R4,Assumptions!$B$39:$E$39,0))/12*(1+Assumptions!$B$44)</f>
        <v>2875</v>
      </c>
      <c r="S25" s="17" t="n">
        <f aca="false">INDEX(Assumptions!$B$40:$E$40,MATCH(S4,Assumptions!$B$39:$E$39,0))/12*(1+Assumptions!$B$44)</f>
        <v>2875</v>
      </c>
      <c r="T25" s="17" t="n">
        <f aca="false">INDEX(Assumptions!$B$40:$E$40,MATCH(T4,Assumptions!$B$39:$E$39,0))/12*(1+Assumptions!$B$44)</f>
        <v>5750</v>
      </c>
      <c r="U25" s="17" t="n">
        <f aca="false">INDEX(Assumptions!$B$40:$E$40,MATCH(U4,Assumptions!$B$39:$E$39,0))/12*(1+Assumptions!$B$44)</f>
        <v>5750</v>
      </c>
      <c r="V25" s="17" t="n">
        <f aca="false">INDEX(Assumptions!$B$40:$E$40,MATCH(V4,Assumptions!$B$39:$E$39,0))/12*(1+Assumptions!$B$44)</f>
        <v>5750</v>
      </c>
      <c r="W25" s="17" t="n">
        <f aca="false">INDEX(Assumptions!$B$40:$E$40,MATCH(W4,Assumptions!$B$39:$E$39,0))/12*(1+Assumptions!$B$44)</f>
        <v>5750</v>
      </c>
      <c r="X25" s="17" t="n">
        <f aca="false">INDEX(Assumptions!$B$40:$E$40,MATCH(X4,Assumptions!$B$39:$E$39,0))/12*(1+Assumptions!$B$44)</f>
        <v>5750</v>
      </c>
      <c r="Y25" s="17" t="n">
        <f aca="false">INDEX(Assumptions!$B$40:$E$40,MATCH(Y4,Assumptions!$B$39:$E$39,0))/12*(1+Assumptions!$B$44)</f>
        <v>5750</v>
      </c>
      <c r="Z25" s="17" t="n">
        <f aca="false">INDEX(Assumptions!$B$40:$E$40,MATCH(Z4,Assumptions!$B$39:$E$39,0))/12*(1+Assumptions!$B$44)</f>
        <v>5750</v>
      </c>
      <c r="AA25" s="17" t="n">
        <f aca="false">INDEX(Assumptions!$B$40:$E$40,MATCH(AA4,Assumptions!$B$39:$E$39,0))/12*(1+Assumptions!$B$44)</f>
        <v>5750</v>
      </c>
      <c r="AB25" s="17" t="n">
        <f aca="false">INDEX(Assumptions!$B$40:$E$40,MATCH(AB4,Assumptions!$B$39:$E$39,0))/12*(1+Assumptions!$B$44)</f>
        <v>5750</v>
      </c>
      <c r="AC25" s="17" t="n">
        <f aca="false">INDEX(Assumptions!$B$40:$E$40,MATCH(AC4,Assumptions!$B$39:$E$39,0))/12*(1+Assumptions!$B$44)</f>
        <v>5750</v>
      </c>
      <c r="AD25" s="17" t="n">
        <f aca="false">INDEX(Assumptions!$B$40:$E$40,MATCH(AD4,Assumptions!$B$39:$E$39,0))/12*(1+Assumptions!$B$44)</f>
        <v>5750</v>
      </c>
      <c r="AE25" s="17" t="n">
        <f aca="false">INDEX(Assumptions!$B$40:$E$40,MATCH(AE4,Assumptions!$B$39:$E$39,0))/12*(1+Assumptions!$B$44)</f>
        <v>5750</v>
      </c>
      <c r="AF25" s="17" t="n">
        <f aca="false">INDEX(Assumptions!$B$40:$E$40,MATCH(AF4,Assumptions!$B$39:$E$39,0))/12*(1+Assumptions!$B$44)</f>
        <v>8050</v>
      </c>
      <c r="AG25" s="17" t="n">
        <f aca="false">INDEX(Assumptions!$B$40:$E$40,MATCH(AG4,Assumptions!$B$39:$E$39,0))/12*(1+Assumptions!$B$44)</f>
        <v>8050</v>
      </c>
      <c r="AH25" s="17" t="n">
        <f aca="false">INDEX(Assumptions!$B$40:$E$40,MATCH(AH4,Assumptions!$B$39:$E$39,0))/12*(1+Assumptions!$B$44)</f>
        <v>8050</v>
      </c>
      <c r="AI25" s="17" t="n">
        <f aca="false">INDEX(Assumptions!$B$40:$E$40,MATCH(AI4,Assumptions!$B$39:$E$39,0))/12*(1+Assumptions!$B$44)</f>
        <v>8050</v>
      </c>
      <c r="AJ25" s="17" t="n">
        <f aca="false">INDEX(Assumptions!$B$40:$E$40,MATCH(AJ4,Assumptions!$B$39:$E$39,0))/12*(1+Assumptions!$B$44)</f>
        <v>8050</v>
      </c>
      <c r="AK25" s="17" t="n">
        <f aca="false">INDEX(Assumptions!$B$40:$E$40,MATCH(AK4,Assumptions!$B$39:$E$39,0))/12*(1+Assumptions!$B$44)</f>
        <v>8050</v>
      </c>
      <c r="AL25" s="17" t="n">
        <f aca="false">INDEX(Assumptions!$B$40:$E$40,MATCH(AL4,Assumptions!$B$39:$E$39,0))/12*(1+Assumptions!$B$44)</f>
        <v>8050</v>
      </c>
      <c r="AM25" s="17" t="n">
        <f aca="false">INDEX(Assumptions!$B$40:$E$40,MATCH(AM4,Assumptions!$B$39:$E$39,0))/12*(1+Assumptions!$B$44)</f>
        <v>8050</v>
      </c>
      <c r="AN25" s="17" t="n">
        <f aca="false">INDEX(Assumptions!$B$40:$E$40,MATCH(AN4,Assumptions!$B$39:$E$39,0))/12*(1+Assumptions!$B$44)</f>
        <v>8050</v>
      </c>
      <c r="AO25" s="17" t="n">
        <f aca="false">INDEX(Assumptions!$B$40:$E$40,MATCH(AO4,Assumptions!$B$39:$E$39,0))/12*(1+Assumptions!$B$44)</f>
        <v>8050</v>
      </c>
      <c r="AP25" s="17" t="n">
        <f aca="false">INDEX(Assumptions!$B$40:$E$40,MATCH(AP4,Assumptions!$B$39:$E$39,0))/12*(1+Assumptions!$B$44)</f>
        <v>8050</v>
      </c>
      <c r="AQ25" s="17" t="n">
        <f aca="false">INDEX(Assumptions!$B$40:$E$40,MATCH(AQ4,Assumptions!$B$39:$E$39,0))/12*(1+Assumptions!$B$44)</f>
        <v>8050</v>
      </c>
    </row>
    <row r="26" customFormat="false" ht="15" hidden="false" customHeight="false" outlineLevel="0" collapsed="false">
      <c r="A26" s="5" t="s">
        <v>230</v>
      </c>
      <c r="B26" s="17" t="n">
        <f aca="false">INDEX(Assumptions!$B$41:$E$41,MATCH(B4,Assumptions!$B$39:$E$39,0))/12*(1+Assumptions!$B$44)</f>
        <v>0</v>
      </c>
      <c r="C26" s="17" t="n">
        <f aca="false">INDEX(Assumptions!$B$41:$E$41,MATCH(C4,Assumptions!$B$39:$E$39,0))/12*(1+Assumptions!$B$44)</f>
        <v>0</v>
      </c>
      <c r="D26" s="17" t="n">
        <f aca="false">INDEX(Assumptions!$B$41:$E$41,MATCH(D4,Assumptions!$B$39:$E$39,0))/12*(1+Assumptions!$B$44)</f>
        <v>0</v>
      </c>
      <c r="E26" s="17" t="n">
        <f aca="false">INDEX(Assumptions!$B$41:$E$41,MATCH(E4,Assumptions!$B$39:$E$39,0))/12*(1+Assumptions!$B$44)</f>
        <v>0</v>
      </c>
      <c r="F26" s="17" t="n">
        <f aca="false">INDEX(Assumptions!$B$41:$E$41,MATCH(F4,Assumptions!$B$39:$E$39,0))/12*(1+Assumptions!$B$44)</f>
        <v>0</v>
      </c>
      <c r="G26" s="17" t="n">
        <f aca="false">INDEX(Assumptions!$B$41:$E$41,MATCH(G4,Assumptions!$B$39:$E$39,0))/12*(1+Assumptions!$B$44)</f>
        <v>0</v>
      </c>
      <c r="H26" s="17" t="n">
        <f aca="false">INDEX(Assumptions!$B$41:$E$41,MATCH(H4,Assumptions!$B$39:$E$39,0))/12*(1+Assumptions!$B$44)</f>
        <v>0</v>
      </c>
      <c r="I26" s="17" t="n">
        <f aca="false">INDEX(Assumptions!$B$41:$E$41,MATCH(I4,Assumptions!$B$39:$E$39,0))/12*(1+Assumptions!$B$44)</f>
        <v>0</v>
      </c>
      <c r="J26" s="17" t="n">
        <f aca="false">INDEX(Assumptions!$B$41:$E$41,MATCH(J4,Assumptions!$B$39:$E$39,0))/12*(1+Assumptions!$B$44)</f>
        <v>0</v>
      </c>
      <c r="K26" s="17" t="n">
        <f aca="false">INDEX(Assumptions!$B$41:$E$41,MATCH(K4,Assumptions!$B$39:$E$39,0))/12*(1+Assumptions!$B$44)</f>
        <v>0</v>
      </c>
      <c r="L26" s="17" t="n">
        <f aca="false">INDEX(Assumptions!$B$41:$E$41,MATCH(L4,Assumptions!$B$39:$E$39,0))/12*(1+Assumptions!$B$44)</f>
        <v>0</v>
      </c>
      <c r="M26" s="17" t="n">
        <f aca="false">INDEX(Assumptions!$B$41:$E$41,MATCH(M4,Assumptions!$B$39:$E$39,0))/12*(1+Assumptions!$B$44)</f>
        <v>0</v>
      </c>
      <c r="N26" s="17" t="n">
        <f aca="false">INDEX(Assumptions!$B$41:$E$41,MATCH(N4,Assumptions!$B$39:$E$39,0))/12*(1+Assumptions!$B$44)</f>
        <v>0</v>
      </c>
      <c r="O26" s="17" t="n">
        <f aca="false">INDEX(Assumptions!$B$41:$E$41,MATCH(O4,Assumptions!$B$39:$E$39,0))/12*(1+Assumptions!$B$44)</f>
        <v>0</v>
      </c>
      <c r="P26" s="17" t="n">
        <f aca="false">INDEX(Assumptions!$B$41:$E$41,MATCH(P4,Assumptions!$B$39:$E$39,0))/12*(1+Assumptions!$B$44)</f>
        <v>0</v>
      </c>
      <c r="Q26" s="17" t="n">
        <f aca="false">INDEX(Assumptions!$B$41:$E$41,MATCH(Q4,Assumptions!$B$39:$E$39,0))/12*(1+Assumptions!$B$44)</f>
        <v>0</v>
      </c>
      <c r="R26" s="17" t="n">
        <f aca="false">INDEX(Assumptions!$B$41:$E$41,MATCH(R4,Assumptions!$B$39:$E$39,0))/12*(1+Assumptions!$B$44)</f>
        <v>0</v>
      </c>
      <c r="S26" s="17" t="n">
        <f aca="false">INDEX(Assumptions!$B$41:$E$41,MATCH(S4,Assumptions!$B$39:$E$39,0))/12*(1+Assumptions!$B$44)</f>
        <v>0</v>
      </c>
      <c r="T26" s="17" t="n">
        <f aca="false">INDEX(Assumptions!$B$41:$E$41,MATCH(T4,Assumptions!$B$39:$E$39,0))/12*(1+Assumptions!$B$44)</f>
        <v>4600</v>
      </c>
      <c r="U26" s="17" t="n">
        <f aca="false">INDEX(Assumptions!$B$41:$E$41,MATCH(U4,Assumptions!$B$39:$E$39,0))/12*(1+Assumptions!$B$44)</f>
        <v>4600</v>
      </c>
      <c r="V26" s="17" t="n">
        <f aca="false">INDEX(Assumptions!$B$41:$E$41,MATCH(V4,Assumptions!$B$39:$E$39,0))/12*(1+Assumptions!$B$44)</f>
        <v>4600</v>
      </c>
      <c r="W26" s="17" t="n">
        <f aca="false">INDEX(Assumptions!$B$41:$E$41,MATCH(W4,Assumptions!$B$39:$E$39,0))/12*(1+Assumptions!$B$44)</f>
        <v>4600</v>
      </c>
      <c r="X26" s="17" t="n">
        <f aca="false">INDEX(Assumptions!$B$41:$E$41,MATCH(X4,Assumptions!$B$39:$E$39,0))/12*(1+Assumptions!$B$44)</f>
        <v>4600</v>
      </c>
      <c r="Y26" s="17" t="n">
        <f aca="false">INDEX(Assumptions!$B$41:$E$41,MATCH(Y4,Assumptions!$B$39:$E$39,0))/12*(1+Assumptions!$B$44)</f>
        <v>4600</v>
      </c>
      <c r="Z26" s="17" t="n">
        <f aca="false">INDEX(Assumptions!$B$41:$E$41,MATCH(Z4,Assumptions!$B$39:$E$39,0))/12*(1+Assumptions!$B$44)</f>
        <v>4600</v>
      </c>
      <c r="AA26" s="17" t="n">
        <f aca="false">INDEX(Assumptions!$B$41:$E$41,MATCH(AA4,Assumptions!$B$39:$E$39,0))/12*(1+Assumptions!$B$44)</f>
        <v>4600</v>
      </c>
      <c r="AB26" s="17" t="n">
        <f aca="false">INDEX(Assumptions!$B$41:$E$41,MATCH(AB4,Assumptions!$B$39:$E$39,0))/12*(1+Assumptions!$B$44)</f>
        <v>4600</v>
      </c>
      <c r="AC26" s="17" t="n">
        <f aca="false">INDEX(Assumptions!$B$41:$E$41,MATCH(AC4,Assumptions!$B$39:$E$39,0))/12*(1+Assumptions!$B$44)</f>
        <v>4600</v>
      </c>
      <c r="AD26" s="17" t="n">
        <f aca="false">INDEX(Assumptions!$B$41:$E$41,MATCH(AD4,Assumptions!$B$39:$E$39,0))/12*(1+Assumptions!$B$44)</f>
        <v>4600</v>
      </c>
      <c r="AE26" s="17" t="n">
        <f aca="false">INDEX(Assumptions!$B$41:$E$41,MATCH(AE4,Assumptions!$B$39:$E$39,0))/12*(1+Assumptions!$B$44)</f>
        <v>4600</v>
      </c>
      <c r="AF26" s="17" t="n">
        <f aca="false">INDEX(Assumptions!$B$41:$E$41,MATCH(AF4,Assumptions!$B$39:$E$39,0))/12*(1+Assumptions!$B$44)</f>
        <v>6900</v>
      </c>
      <c r="AG26" s="17" t="n">
        <f aca="false">INDEX(Assumptions!$B$41:$E$41,MATCH(AG4,Assumptions!$B$39:$E$39,0))/12*(1+Assumptions!$B$44)</f>
        <v>6900</v>
      </c>
      <c r="AH26" s="17" t="n">
        <f aca="false">INDEX(Assumptions!$B$41:$E$41,MATCH(AH4,Assumptions!$B$39:$E$39,0))/12*(1+Assumptions!$B$44)</f>
        <v>6900</v>
      </c>
      <c r="AI26" s="17" t="n">
        <f aca="false">INDEX(Assumptions!$B$41:$E$41,MATCH(AI4,Assumptions!$B$39:$E$39,0))/12*(1+Assumptions!$B$44)</f>
        <v>6900</v>
      </c>
      <c r="AJ26" s="17" t="n">
        <f aca="false">INDEX(Assumptions!$B$41:$E$41,MATCH(AJ4,Assumptions!$B$39:$E$39,0))/12*(1+Assumptions!$B$44)</f>
        <v>6900</v>
      </c>
      <c r="AK26" s="17" t="n">
        <f aca="false">INDEX(Assumptions!$B$41:$E$41,MATCH(AK4,Assumptions!$B$39:$E$39,0))/12*(1+Assumptions!$B$44)</f>
        <v>6900</v>
      </c>
      <c r="AL26" s="17" t="n">
        <f aca="false">INDEX(Assumptions!$B$41:$E$41,MATCH(AL4,Assumptions!$B$39:$E$39,0))/12*(1+Assumptions!$B$44)</f>
        <v>6900</v>
      </c>
      <c r="AM26" s="17" t="n">
        <f aca="false">INDEX(Assumptions!$B$41:$E$41,MATCH(AM4,Assumptions!$B$39:$E$39,0))/12*(1+Assumptions!$B$44)</f>
        <v>6900</v>
      </c>
      <c r="AN26" s="17" t="n">
        <f aca="false">INDEX(Assumptions!$B$41:$E$41,MATCH(AN4,Assumptions!$B$39:$E$39,0))/12*(1+Assumptions!$B$44)</f>
        <v>6900</v>
      </c>
      <c r="AO26" s="17" t="n">
        <f aca="false">INDEX(Assumptions!$B$41:$E$41,MATCH(AO4,Assumptions!$B$39:$E$39,0))/12*(1+Assumptions!$B$44)</f>
        <v>6900</v>
      </c>
      <c r="AP26" s="17" t="n">
        <f aca="false">INDEX(Assumptions!$B$41:$E$41,MATCH(AP4,Assumptions!$B$39:$E$39,0))/12*(1+Assumptions!$B$44)</f>
        <v>6900</v>
      </c>
      <c r="AQ26" s="17" t="n">
        <f aca="false">INDEX(Assumptions!$B$41:$E$41,MATCH(AQ4,Assumptions!$B$39:$E$39,0))/12*(1+Assumptions!$B$44)</f>
        <v>6900</v>
      </c>
    </row>
    <row r="27" customFormat="false" ht="15" hidden="false" customHeight="false" outlineLevel="0" collapsed="false">
      <c r="A27" s="5" t="s">
        <v>231</v>
      </c>
      <c r="B27" s="17" t="n">
        <f aca="false">INDEX(Assumptions!$B$42:$E$42,MATCH(B4,Assumptions!$B$39:$E$39,0))/12*(1+Assumptions!$B$44)</f>
        <v>0</v>
      </c>
      <c r="C27" s="17" t="n">
        <f aca="false">INDEX(Assumptions!$B$42:$E$42,MATCH(C4,Assumptions!$B$39:$E$39,0))/12*(1+Assumptions!$B$44)</f>
        <v>0</v>
      </c>
      <c r="D27" s="17" t="n">
        <f aca="false">INDEX(Assumptions!$B$42:$E$42,MATCH(D4,Assumptions!$B$39:$E$39,0))/12*(1+Assumptions!$B$44)</f>
        <v>0</v>
      </c>
      <c r="E27" s="17" t="n">
        <f aca="false">INDEX(Assumptions!$B$42:$E$42,MATCH(E4,Assumptions!$B$39:$E$39,0))/12*(1+Assumptions!$B$44)</f>
        <v>0</v>
      </c>
      <c r="F27" s="17" t="n">
        <f aca="false">INDEX(Assumptions!$B$42:$E$42,MATCH(F4,Assumptions!$B$39:$E$39,0))/12*(1+Assumptions!$B$44)</f>
        <v>0</v>
      </c>
      <c r="G27" s="17" t="n">
        <f aca="false">INDEX(Assumptions!$B$42:$E$42,MATCH(G4,Assumptions!$B$39:$E$39,0))/12*(1+Assumptions!$B$44)</f>
        <v>0</v>
      </c>
      <c r="H27" s="17" t="n">
        <f aca="false">INDEX(Assumptions!$B$42:$E$42,MATCH(H4,Assumptions!$B$39:$E$39,0))/12*(1+Assumptions!$B$44)</f>
        <v>0</v>
      </c>
      <c r="I27" s="17" t="n">
        <f aca="false">INDEX(Assumptions!$B$42:$E$42,MATCH(I4,Assumptions!$B$39:$E$39,0))/12*(1+Assumptions!$B$44)</f>
        <v>0</v>
      </c>
      <c r="J27" s="17" t="n">
        <f aca="false">INDEX(Assumptions!$B$42:$E$42,MATCH(J4,Assumptions!$B$39:$E$39,0))/12*(1+Assumptions!$B$44)</f>
        <v>0</v>
      </c>
      <c r="K27" s="17" t="n">
        <f aca="false">INDEX(Assumptions!$B$42:$E$42,MATCH(K4,Assumptions!$B$39:$E$39,0))/12*(1+Assumptions!$B$44)</f>
        <v>0</v>
      </c>
      <c r="L27" s="17" t="n">
        <f aca="false">INDEX(Assumptions!$B$42:$E$42,MATCH(L4,Assumptions!$B$39:$E$39,0))/12*(1+Assumptions!$B$44)</f>
        <v>0</v>
      </c>
      <c r="M27" s="17" t="n">
        <f aca="false">INDEX(Assumptions!$B$42:$E$42,MATCH(M4,Assumptions!$B$39:$E$39,0))/12*(1+Assumptions!$B$44)</f>
        <v>0</v>
      </c>
      <c r="N27" s="17" t="n">
        <f aca="false">INDEX(Assumptions!$B$42:$E$42,MATCH(N4,Assumptions!$B$39:$E$39,0))/12*(1+Assumptions!$B$44)</f>
        <v>0</v>
      </c>
      <c r="O27" s="17" t="n">
        <f aca="false">INDEX(Assumptions!$B$42:$E$42,MATCH(O4,Assumptions!$B$39:$E$39,0))/12*(1+Assumptions!$B$44)</f>
        <v>0</v>
      </c>
      <c r="P27" s="17" t="n">
        <f aca="false">INDEX(Assumptions!$B$42:$E$42,MATCH(P4,Assumptions!$B$39:$E$39,0))/12*(1+Assumptions!$B$44)</f>
        <v>0</v>
      </c>
      <c r="Q27" s="17" t="n">
        <f aca="false">INDEX(Assumptions!$B$42:$E$42,MATCH(Q4,Assumptions!$B$39:$E$39,0))/12*(1+Assumptions!$B$44)</f>
        <v>0</v>
      </c>
      <c r="R27" s="17" t="n">
        <f aca="false">INDEX(Assumptions!$B$42:$E$42,MATCH(R4,Assumptions!$B$39:$E$39,0))/12*(1+Assumptions!$B$44)</f>
        <v>0</v>
      </c>
      <c r="S27" s="17" t="n">
        <f aca="false">INDEX(Assumptions!$B$42:$E$42,MATCH(S4,Assumptions!$B$39:$E$39,0))/12*(1+Assumptions!$B$44)</f>
        <v>0</v>
      </c>
      <c r="T27" s="17" t="n">
        <f aca="false">INDEX(Assumptions!$B$42:$E$42,MATCH(T4,Assumptions!$B$39:$E$39,0))/12*(1+Assumptions!$B$44)</f>
        <v>2875</v>
      </c>
      <c r="U27" s="17" t="n">
        <f aca="false">INDEX(Assumptions!$B$42:$E$42,MATCH(U4,Assumptions!$B$39:$E$39,0))/12*(1+Assumptions!$B$44)</f>
        <v>2875</v>
      </c>
      <c r="V27" s="17" t="n">
        <f aca="false">INDEX(Assumptions!$B$42:$E$42,MATCH(V4,Assumptions!$B$39:$E$39,0))/12*(1+Assumptions!$B$44)</f>
        <v>2875</v>
      </c>
      <c r="W27" s="17" t="n">
        <f aca="false">INDEX(Assumptions!$B$42:$E$42,MATCH(W4,Assumptions!$B$39:$E$39,0))/12*(1+Assumptions!$B$44)</f>
        <v>2875</v>
      </c>
      <c r="X27" s="17" t="n">
        <f aca="false">INDEX(Assumptions!$B$42:$E$42,MATCH(X4,Assumptions!$B$39:$E$39,0))/12*(1+Assumptions!$B$44)</f>
        <v>2875</v>
      </c>
      <c r="Y27" s="17" t="n">
        <f aca="false">INDEX(Assumptions!$B$42:$E$42,MATCH(Y4,Assumptions!$B$39:$E$39,0))/12*(1+Assumptions!$B$44)</f>
        <v>2875</v>
      </c>
      <c r="Z27" s="17" t="n">
        <f aca="false">INDEX(Assumptions!$B$42:$E$42,MATCH(Z4,Assumptions!$B$39:$E$39,0))/12*(1+Assumptions!$B$44)</f>
        <v>2875</v>
      </c>
      <c r="AA27" s="17" t="n">
        <f aca="false">INDEX(Assumptions!$B$42:$E$42,MATCH(AA4,Assumptions!$B$39:$E$39,0))/12*(1+Assumptions!$B$44)</f>
        <v>2875</v>
      </c>
      <c r="AB27" s="17" t="n">
        <f aca="false">INDEX(Assumptions!$B$42:$E$42,MATCH(AB4,Assumptions!$B$39:$E$39,0))/12*(1+Assumptions!$B$44)</f>
        <v>2875</v>
      </c>
      <c r="AC27" s="17" t="n">
        <f aca="false">INDEX(Assumptions!$B$42:$E$42,MATCH(AC4,Assumptions!$B$39:$E$39,0))/12*(1+Assumptions!$B$44)</f>
        <v>2875</v>
      </c>
      <c r="AD27" s="17" t="n">
        <f aca="false">INDEX(Assumptions!$B$42:$E$42,MATCH(AD4,Assumptions!$B$39:$E$39,0))/12*(1+Assumptions!$B$44)</f>
        <v>2875</v>
      </c>
      <c r="AE27" s="17" t="n">
        <f aca="false">INDEX(Assumptions!$B$42:$E$42,MATCH(AE4,Assumptions!$B$39:$E$39,0))/12*(1+Assumptions!$B$44)</f>
        <v>2875</v>
      </c>
      <c r="AF27" s="17" t="n">
        <f aca="false">INDEX(Assumptions!$B$42:$E$42,MATCH(AF4,Assumptions!$B$39:$E$39,0))/12*(1+Assumptions!$B$44)</f>
        <v>6900</v>
      </c>
      <c r="AG27" s="17" t="n">
        <f aca="false">INDEX(Assumptions!$B$42:$E$42,MATCH(AG4,Assumptions!$B$39:$E$39,0))/12*(1+Assumptions!$B$44)</f>
        <v>6900</v>
      </c>
      <c r="AH27" s="17" t="n">
        <f aca="false">INDEX(Assumptions!$B$42:$E$42,MATCH(AH4,Assumptions!$B$39:$E$39,0))/12*(1+Assumptions!$B$44)</f>
        <v>6900</v>
      </c>
      <c r="AI27" s="17" t="n">
        <f aca="false">INDEX(Assumptions!$B$42:$E$42,MATCH(AI4,Assumptions!$B$39:$E$39,0))/12*(1+Assumptions!$B$44)</f>
        <v>6900</v>
      </c>
      <c r="AJ27" s="17" t="n">
        <f aca="false">INDEX(Assumptions!$B$42:$E$42,MATCH(AJ4,Assumptions!$B$39:$E$39,0))/12*(1+Assumptions!$B$44)</f>
        <v>6900</v>
      </c>
      <c r="AK27" s="17" t="n">
        <f aca="false">INDEX(Assumptions!$B$42:$E$42,MATCH(AK4,Assumptions!$B$39:$E$39,0))/12*(1+Assumptions!$B$44)</f>
        <v>6900</v>
      </c>
      <c r="AL27" s="17" t="n">
        <f aca="false">INDEX(Assumptions!$B$42:$E$42,MATCH(AL4,Assumptions!$B$39:$E$39,0))/12*(1+Assumptions!$B$44)</f>
        <v>6900</v>
      </c>
      <c r="AM27" s="17" t="n">
        <f aca="false">INDEX(Assumptions!$B$42:$E$42,MATCH(AM4,Assumptions!$B$39:$E$39,0))/12*(1+Assumptions!$B$44)</f>
        <v>6900</v>
      </c>
      <c r="AN27" s="17" t="n">
        <f aca="false">INDEX(Assumptions!$B$42:$E$42,MATCH(AN4,Assumptions!$B$39:$E$39,0))/12*(1+Assumptions!$B$44)</f>
        <v>6900</v>
      </c>
      <c r="AO27" s="17" t="n">
        <f aca="false">INDEX(Assumptions!$B$42:$E$42,MATCH(AO4,Assumptions!$B$39:$E$39,0))/12*(1+Assumptions!$B$44)</f>
        <v>6900</v>
      </c>
      <c r="AP27" s="17" t="n">
        <f aca="false">INDEX(Assumptions!$B$42:$E$42,MATCH(AP4,Assumptions!$B$39:$E$39,0))/12*(1+Assumptions!$B$44)</f>
        <v>6900</v>
      </c>
      <c r="AQ27" s="17" t="n">
        <f aca="false">INDEX(Assumptions!$B$42:$E$42,MATCH(AQ4,Assumptions!$B$39:$E$39,0))/12*(1+Assumptions!$B$44)</f>
        <v>6900</v>
      </c>
    </row>
    <row r="28" customFormat="false" ht="15" hidden="false" customHeight="false" outlineLevel="0" collapsed="false">
      <c r="A28" s="5" t="s">
        <v>232</v>
      </c>
      <c r="B28" s="17" t="n">
        <f aca="false">INDEX(Assumptions!$B$43:$E$43,MATCH(B4,Assumptions!$B$39:$E$39,0))/12*(1+Assumptions!$B$44)</f>
        <v>0</v>
      </c>
      <c r="C28" s="17" t="n">
        <f aca="false">INDEX(Assumptions!$B$43:$E$43,MATCH(C4,Assumptions!$B$39:$E$39,0))/12*(1+Assumptions!$B$44)</f>
        <v>0</v>
      </c>
      <c r="D28" s="17" t="n">
        <f aca="false">INDEX(Assumptions!$B$43:$E$43,MATCH(D4,Assumptions!$B$39:$E$39,0))/12*(1+Assumptions!$B$44)</f>
        <v>0</v>
      </c>
      <c r="E28" s="17" t="n">
        <f aca="false">INDEX(Assumptions!$B$43:$E$43,MATCH(E4,Assumptions!$B$39:$E$39,0))/12*(1+Assumptions!$B$44)</f>
        <v>0</v>
      </c>
      <c r="F28" s="17" t="n">
        <f aca="false">INDEX(Assumptions!$B$43:$E$43,MATCH(F4,Assumptions!$B$39:$E$39,0))/12*(1+Assumptions!$B$44)</f>
        <v>0</v>
      </c>
      <c r="G28" s="17" t="n">
        <f aca="false">INDEX(Assumptions!$B$43:$E$43,MATCH(G4,Assumptions!$B$39:$E$39,0))/12*(1+Assumptions!$B$44)</f>
        <v>0</v>
      </c>
      <c r="H28" s="17" t="n">
        <f aca="false">INDEX(Assumptions!$B$43:$E$43,MATCH(H4,Assumptions!$B$39:$E$39,0))/12*(1+Assumptions!$B$44)</f>
        <v>0</v>
      </c>
      <c r="I28" s="17" t="n">
        <f aca="false">INDEX(Assumptions!$B$43:$E$43,MATCH(I4,Assumptions!$B$39:$E$39,0))/12*(1+Assumptions!$B$44)</f>
        <v>0</v>
      </c>
      <c r="J28" s="17" t="n">
        <f aca="false">INDEX(Assumptions!$B$43:$E$43,MATCH(J4,Assumptions!$B$39:$E$39,0))/12*(1+Assumptions!$B$44)</f>
        <v>0</v>
      </c>
      <c r="K28" s="17" t="n">
        <f aca="false">INDEX(Assumptions!$B$43:$E$43,MATCH(K4,Assumptions!$B$39:$E$39,0))/12*(1+Assumptions!$B$44)</f>
        <v>0</v>
      </c>
      <c r="L28" s="17" t="n">
        <f aca="false">INDEX(Assumptions!$B$43:$E$43,MATCH(L4,Assumptions!$B$39:$E$39,0))/12*(1+Assumptions!$B$44)</f>
        <v>0</v>
      </c>
      <c r="M28" s="17" t="n">
        <f aca="false">INDEX(Assumptions!$B$43:$E$43,MATCH(M4,Assumptions!$B$39:$E$39,0))/12*(1+Assumptions!$B$44)</f>
        <v>0</v>
      </c>
      <c r="N28" s="17" t="n">
        <f aca="false">INDEX(Assumptions!$B$43:$E$43,MATCH(N4,Assumptions!$B$39:$E$39,0))/12*(1+Assumptions!$B$44)</f>
        <v>0</v>
      </c>
      <c r="O28" s="17" t="n">
        <f aca="false">INDEX(Assumptions!$B$43:$E$43,MATCH(O4,Assumptions!$B$39:$E$39,0))/12*(1+Assumptions!$B$44)</f>
        <v>0</v>
      </c>
      <c r="P28" s="17" t="n">
        <f aca="false">INDEX(Assumptions!$B$43:$E$43,MATCH(P4,Assumptions!$B$39:$E$39,0))/12*(1+Assumptions!$B$44)</f>
        <v>0</v>
      </c>
      <c r="Q28" s="17" t="n">
        <f aca="false">INDEX(Assumptions!$B$43:$E$43,MATCH(Q4,Assumptions!$B$39:$E$39,0))/12*(1+Assumptions!$B$44)</f>
        <v>0</v>
      </c>
      <c r="R28" s="17" t="n">
        <f aca="false">INDEX(Assumptions!$B$43:$E$43,MATCH(R4,Assumptions!$B$39:$E$39,0))/12*(1+Assumptions!$B$44)</f>
        <v>0</v>
      </c>
      <c r="S28" s="17" t="n">
        <f aca="false">INDEX(Assumptions!$B$43:$E$43,MATCH(S4,Assumptions!$B$39:$E$39,0))/12*(1+Assumptions!$B$44)</f>
        <v>0</v>
      </c>
      <c r="T28" s="17" t="n">
        <f aca="false">INDEX(Assumptions!$B$43:$E$43,MATCH(T4,Assumptions!$B$39:$E$39,0))/12*(1+Assumptions!$B$44)</f>
        <v>0</v>
      </c>
      <c r="U28" s="17" t="n">
        <f aca="false">INDEX(Assumptions!$B$43:$E$43,MATCH(U4,Assumptions!$B$39:$E$39,0))/12*(1+Assumptions!$B$44)</f>
        <v>0</v>
      </c>
      <c r="V28" s="17" t="n">
        <f aca="false">INDEX(Assumptions!$B$43:$E$43,MATCH(V4,Assumptions!$B$39:$E$39,0))/12*(1+Assumptions!$B$44)</f>
        <v>0</v>
      </c>
      <c r="W28" s="17" t="n">
        <f aca="false">INDEX(Assumptions!$B$43:$E$43,MATCH(W4,Assumptions!$B$39:$E$39,0))/12*(1+Assumptions!$B$44)</f>
        <v>0</v>
      </c>
      <c r="X28" s="17" t="n">
        <f aca="false">INDEX(Assumptions!$B$43:$E$43,MATCH(X4,Assumptions!$B$39:$E$39,0))/12*(1+Assumptions!$B$44)</f>
        <v>0</v>
      </c>
      <c r="Y28" s="17" t="n">
        <f aca="false">INDEX(Assumptions!$B$43:$E$43,MATCH(Y4,Assumptions!$B$39:$E$39,0))/12*(1+Assumptions!$B$44)</f>
        <v>0</v>
      </c>
      <c r="Z28" s="17" t="n">
        <f aca="false">INDEX(Assumptions!$B$43:$E$43,MATCH(Z4,Assumptions!$B$39:$E$39,0))/12*(1+Assumptions!$B$44)</f>
        <v>0</v>
      </c>
      <c r="AA28" s="17" t="n">
        <f aca="false">INDEX(Assumptions!$B$43:$E$43,MATCH(AA4,Assumptions!$B$39:$E$39,0))/12*(1+Assumptions!$B$44)</f>
        <v>0</v>
      </c>
      <c r="AB28" s="17" t="n">
        <f aca="false">INDEX(Assumptions!$B$43:$E$43,MATCH(AB4,Assumptions!$B$39:$E$39,0))/12*(1+Assumptions!$B$44)</f>
        <v>0</v>
      </c>
      <c r="AC28" s="17" t="n">
        <f aca="false">INDEX(Assumptions!$B$43:$E$43,MATCH(AC4,Assumptions!$B$39:$E$39,0))/12*(1+Assumptions!$B$44)</f>
        <v>0</v>
      </c>
      <c r="AD28" s="17" t="n">
        <f aca="false">INDEX(Assumptions!$B$43:$E$43,MATCH(AD4,Assumptions!$B$39:$E$39,0))/12*(1+Assumptions!$B$44)</f>
        <v>0</v>
      </c>
      <c r="AE28" s="17" t="n">
        <f aca="false">INDEX(Assumptions!$B$43:$E$43,MATCH(AE4,Assumptions!$B$39:$E$39,0))/12*(1+Assumptions!$B$44)</f>
        <v>0</v>
      </c>
      <c r="AF28" s="17" t="n">
        <f aca="false">INDEX(Assumptions!$B$43:$E$43,MATCH(AF4,Assumptions!$B$39:$E$39,0))/12*(1+Assumptions!$B$44)</f>
        <v>7666.66666666667</v>
      </c>
      <c r="AG28" s="17" t="n">
        <f aca="false">INDEX(Assumptions!$B$43:$E$43,MATCH(AG4,Assumptions!$B$39:$E$39,0))/12*(1+Assumptions!$B$44)</f>
        <v>7666.66666666667</v>
      </c>
      <c r="AH28" s="17" t="n">
        <f aca="false">INDEX(Assumptions!$B$43:$E$43,MATCH(AH4,Assumptions!$B$39:$E$39,0))/12*(1+Assumptions!$B$44)</f>
        <v>7666.66666666667</v>
      </c>
      <c r="AI28" s="17" t="n">
        <f aca="false">INDEX(Assumptions!$B$43:$E$43,MATCH(AI4,Assumptions!$B$39:$E$39,0))/12*(1+Assumptions!$B$44)</f>
        <v>7666.66666666667</v>
      </c>
      <c r="AJ28" s="17" t="n">
        <f aca="false">INDEX(Assumptions!$B$43:$E$43,MATCH(AJ4,Assumptions!$B$39:$E$39,0))/12*(1+Assumptions!$B$44)</f>
        <v>7666.66666666667</v>
      </c>
      <c r="AK28" s="17" t="n">
        <f aca="false">INDEX(Assumptions!$B$43:$E$43,MATCH(AK4,Assumptions!$B$39:$E$39,0))/12*(1+Assumptions!$B$44)</f>
        <v>7666.66666666667</v>
      </c>
      <c r="AL28" s="17" t="n">
        <f aca="false">INDEX(Assumptions!$B$43:$E$43,MATCH(AL4,Assumptions!$B$39:$E$39,0))/12*(1+Assumptions!$B$44)</f>
        <v>7666.66666666667</v>
      </c>
      <c r="AM28" s="17" t="n">
        <f aca="false">INDEX(Assumptions!$B$43:$E$43,MATCH(AM4,Assumptions!$B$39:$E$39,0))/12*(1+Assumptions!$B$44)</f>
        <v>7666.66666666667</v>
      </c>
      <c r="AN28" s="17" t="n">
        <f aca="false">INDEX(Assumptions!$B$43:$E$43,MATCH(AN4,Assumptions!$B$39:$E$39,0))/12*(1+Assumptions!$B$44)</f>
        <v>7666.66666666667</v>
      </c>
      <c r="AO28" s="17" t="n">
        <f aca="false">INDEX(Assumptions!$B$43:$E$43,MATCH(AO4,Assumptions!$B$39:$E$39,0))/12*(1+Assumptions!$B$44)</f>
        <v>7666.66666666667</v>
      </c>
      <c r="AP28" s="17" t="n">
        <f aca="false">INDEX(Assumptions!$B$43:$E$43,MATCH(AP4,Assumptions!$B$39:$E$39,0))/12*(1+Assumptions!$B$44)</f>
        <v>7666.66666666667</v>
      </c>
      <c r="AQ28" s="17" t="n">
        <f aca="false">INDEX(Assumptions!$B$43:$E$43,MATCH(AQ4,Assumptions!$B$39:$E$39,0))/12*(1+Assumptions!$B$44)</f>
        <v>7666.66666666667</v>
      </c>
    </row>
    <row r="29" customFormat="false" ht="15" hidden="false" customHeight="false" outlineLevel="0" collapsed="false">
      <c r="A29" s="5" t="s">
        <v>233</v>
      </c>
      <c r="B29" s="17" t="n">
        <f aca="false">SUM(B25:B28)</f>
        <v>0</v>
      </c>
      <c r="C29" s="17" t="n">
        <f aca="false">SUM(C25:C28)</f>
        <v>0</v>
      </c>
      <c r="D29" s="17" t="n">
        <f aca="false">SUM(D25:D28)</f>
        <v>0</v>
      </c>
      <c r="E29" s="17" t="n">
        <f aca="false">SUM(E25:E28)</f>
        <v>0</v>
      </c>
      <c r="F29" s="17" t="n">
        <f aca="false">SUM(F25:F28)</f>
        <v>0</v>
      </c>
      <c r="G29" s="17" t="n">
        <f aca="false">SUM(G25:G28)</f>
        <v>0</v>
      </c>
      <c r="H29" s="17" t="n">
        <f aca="false">SUM(H25:H28)</f>
        <v>2875</v>
      </c>
      <c r="I29" s="17" t="n">
        <f aca="false">SUM(I25:I28)</f>
        <v>2875</v>
      </c>
      <c r="J29" s="17" t="n">
        <f aca="false">SUM(J25:J28)</f>
        <v>2875</v>
      </c>
      <c r="K29" s="17" t="n">
        <f aca="false">SUM(K25:K28)</f>
        <v>2875</v>
      </c>
      <c r="L29" s="17" t="n">
        <f aca="false">SUM(L25:L28)</f>
        <v>2875</v>
      </c>
      <c r="M29" s="17" t="n">
        <f aca="false">SUM(M25:M28)</f>
        <v>2875</v>
      </c>
      <c r="N29" s="17" t="n">
        <f aca="false">SUM(N25:N28)</f>
        <v>2875</v>
      </c>
      <c r="O29" s="17" t="n">
        <f aca="false">SUM(O25:O28)</f>
        <v>2875</v>
      </c>
      <c r="P29" s="17" t="n">
        <f aca="false">SUM(P25:P28)</f>
        <v>2875</v>
      </c>
      <c r="Q29" s="17" t="n">
        <f aca="false">SUM(Q25:Q28)</f>
        <v>2875</v>
      </c>
      <c r="R29" s="17" t="n">
        <f aca="false">SUM(R25:R28)</f>
        <v>2875</v>
      </c>
      <c r="S29" s="17" t="n">
        <f aca="false">SUM(S25:S28)</f>
        <v>2875</v>
      </c>
      <c r="T29" s="17" t="n">
        <f aca="false">SUM(T25:T28)</f>
        <v>13225</v>
      </c>
      <c r="U29" s="17" t="n">
        <f aca="false">SUM(U25:U28)</f>
        <v>13225</v>
      </c>
      <c r="V29" s="17" t="n">
        <f aca="false">SUM(V25:V28)</f>
        <v>13225</v>
      </c>
      <c r="W29" s="17" t="n">
        <f aca="false">SUM(W25:W28)</f>
        <v>13225</v>
      </c>
      <c r="X29" s="17" t="n">
        <f aca="false">SUM(X25:X28)</f>
        <v>13225</v>
      </c>
      <c r="Y29" s="17" t="n">
        <f aca="false">SUM(Y25:Y28)</f>
        <v>13225</v>
      </c>
      <c r="Z29" s="17" t="n">
        <f aca="false">SUM(Z25:Z28)</f>
        <v>13225</v>
      </c>
      <c r="AA29" s="17" t="n">
        <f aca="false">SUM(AA25:AA28)</f>
        <v>13225</v>
      </c>
      <c r="AB29" s="17" t="n">
        <f aca="false">SUM(AB25:AB28)</f>
        <v>13225</v>
      </c>
      <c r="AC29" s="17" t="n">
        <f aca="false">SUM(AC25:AC28)</f>
        <v>13225</v>
      </c>
      <c r="AD29" s="17" t="n">
        <f aca="false">SUM(AD25:AD28)</f>
        <v>13225</v>
      </c>
      <c r="AE29" s="17" t="n">
        <f aca="false">SUM(AE25:AE28)</f>
        <v>13225</v>
      </c>
      <c r="AF29" s="17" t="n">
        <f aca="false">SUM(AF25:AF28)</f>
        <v>29516.6666666667</v>
      </c>
      <c r="AG29" s="17" t="n">
        <f aca="false">SUM(AG25:AG28)</f>
        <v>29516.6666666667</v>
      </c>
      <c r="AH29" s="17" t="n">
        <f aca="false">SUM(AH25:AH28)</f>
        <v>29516.6666666667</v>
      </c>
      <c r="AI29" s="17" t="n">
        <f aca="false">SUM(AI25:AI28)</f>
        <v>29516.6666666667</v>
      </c>
      <c r="AJ29" s="17" t="n">
        <f aca="false">SUM(AJ25:AJ28)</f>
        <v>29516.6666666667</v>
      </c>
      <c r="AK29" s="17" t="n">
        <f aca="false">SUM(AK25:AK28)</f>
        <v>29516.6666666667</v>
      </c>
      <c r="AL29" s="17" t="n">
        <f aca="false">SUM(AL25:AL28)</f>
        <v>29516.6666666667</v>
      </c>
      <c r="AM29" s="17" t="n">
        <f aca="false">SUM(AM25:AM28)</f>
        <v>29516.6666666667</v>
      </c>
      <c r="AN29" s="17" t="n">
        <f aca="false">SUM(AN25:AN28)</f>
        <v>29516.6666666667</v>
      </c>
      <c r="AO29" s="17" t="n">
        <f aca="false">SUM(AO25:AO28)</f>
        <v>29516.6666666667</v>
      </c>
      <c r="AP29" s="17" t="n">
        <f aca="false">SUM(AP25:AP28)</f>
        <v>29516.6666666667</v>
      </c>
      <c r="AQ29" s="17" t="n">
        <f aca="false">SUM(AQ25:AQ28)</f>
        <v>29516.6666666667</v>
      </c>
    </row>
    <row r="30" customFormat="false" ht="15" hidden="false" customHeight="false" outlineLevel="0" collapsed="false">
      <c r="A30" s="5" t="s">
        <v>234</v>
      </c>
      <c r="B30" s="17" t="n">
        <f aca="false">INDEX(Assumptions!$B$55:$E$55,MATCH(B4,Assumptions!$B$47:$E$47,0))/12</f>
        <v>833.333333333333</v>
      </c>
      <c r="C30" s="17" t="n">
        <f aca="false">INDEX(Assumptions!$B$55:$E$55,MATCH(C4,Assumptions!$B$47:$E$47,0))/12</f>
        <v>833.333333333333</v>
      </c>
      <c r="D30" s="17" t="n">
        <f aca="false">INDEX(Assumptions!$B$55:$E$55,MATCH(D4,Assumptions!$B$47:$E$47,0))/12</f>
        <v>833.333333333333</v>
      </c>
      <c r="E30" s="17" t="n">
        <f aca="false">INDEX(Assumptions!$B$55:$E$55,MATCH(E4,Assumptions!$B$47:$E$47,0))/12</f>
        <v>833.333333333333</v>
      </c>
      <c r="F30" s="17" t="n">
        <f aca="false">INDEX(Assumptions!$B$55:$E$55,MATCH(F4,Assumptions!$B$47:$E$47,0))/12</f>
        <v>833.333333333333</v>
      </c>
      <c r="G30" s="17" t="n">
        <f aca="false">INDEX(Assumptions!$B$55:$E$55,MATCH(G4,Assumptions!$B$47:$E$47,0))/12</f>
        <v>833.333333333333</v>
      </c>
      <c r="H30" s="17" t="n">
        <f aca="false">INDEX(Assumptions!$B$55:$E$55,MATCH(H4,Assumptions!$B$47:$E$47,0))/12</f>
        <v>2000</v>
      </c>
      <c r="I30" s="17" t="n">
        <f aca="false">INDEX(Assumptions!$B$55:$E$55,MATCH(I4,Assumptions!$B$47:$E$47,0))/12</f>
        <v>2000</v>
      </c>
      <c r="J30" s="17" t="n">
        <f aca="false">INDEX(Assumptions!$B$55:$E$55,MATCH(J4,Assumptions!$B$47:$E$47,0))/12</f>
        <v>2000</v>
      </c>
      <c r="K30" s="17" t="n">
        <f aca="false">INDEX(Assumptions!$B$55:$E$55,MATCH(K4,Assumptions!$B$47:$E$47,0))/12</f>
        <v>2000</v>
      </c>
      <c r="L30" s="17" t="n">
        <f aca="false">INDEX(Assumptions!$B$55:$E$55,MATCH(L4,Assumptions!$B$47:$E$47,0))/12</f>
        <v>2000</v>
      </c>
      <c r="M30" s="17" t="n">
        <f aca="false">INDEX(Assumptions!$B$55:$E$55,MATCH(M4,Assumptions!$B$47:$E$47,0))/12</f>
        <v>2000</v>
      </c>
      <c r="N30" s="17" t="n">
        <f aca="false">INDEX(Assumptions!$B$55:$E$55,MATCH(N4,Assumptions!$B$47:$E$47,0))/12</f>
        <v>2000</v>
      </c>
      <c r="O30" s="17" t="n">
        <f aca="false">INDEX(Assumptions!$B$55:$E$55,MATCH(O4,Assumptions!$B$47:$E$47,0))/12</f>
        <v>2000</v>
      </c>
      <c r="P30" s="17" t="n">
        <f aca="false">INDEX(Assumptions!$B$55:$E$55,MATCH(P4,Assumptions!$B$47:$E$47,0))/12</f>
        <v>2000</v>
      </c>
      <c r="Q30" s="17" t="n">
        <f aca="false">INDEX(Assumptions!$B$55:$E$55,MATCH(Q4,Assumptions!$B$47:$E$47,0))/12</f>
        <v>2000</v>
      </c>
      <c r="R30" s="17" t="n">
        <f aca="false">INDEX(Assumptions!$B$55:$E$55,MATCH(R4,Assumptions!$B$47:$E$47,0))/12</f>
        <v>2000</v>
      </c>
      <c r="S30" s="17" t="n">
        <f aca="false">INDEX(Assumptions!$B$55:$E$55,MATCH(S4,Assumptions!$B$47:$E$47,0))/12</f>
        <v>2000</v>
      </c>
      <c r="T30" s="17" t="n">
        <f aca="false">INDEX(Assumptions!$B$55:$E$55,MATCH(T4,Assumptions!$B$47:$E$47,0))/12</f>
        <v>3750</v>
      </c>
      <c r="U30" s="17" t="n">
        <f aca="false">INDEX(Assumptions!$B$55:$E$55,MATCH(U4,Assumptions!$B$47:$E$47,0))/12</f>
        <v>3750</v>
      </c>
      <c r="V30" s="17" t="n">
        <f aca="false">INDEX(Assumptions!$B$55:$E$55,MATCH(V4,Assumptions!$B$47:$E$47,0))/12</f>
        <v>3750</v>
      </c>
      <c r="W30" s="17" t="n">
        <f aca="false">INDEX(Assumptions!$B$55:$E$55,MATCH(W4,Assumptions!$B$47:$E$47,0))/12</f>
        <v>3750</v>
      </c>
      <c r="X30" s="17" t="n">
        <f aca="false">INDEX(Assumptions!$B$55:$E$55,MATCH(X4,Assumptions!$B$47:$E$47,0))/12</f>
        <v>3750</v>
      </c>
      <c r="Y30" s="17" t="n">
        <f aca="false">INDEX(Assumptions!$B$55:$E$55,MATCH(Y4,Assumptions!$B$47:$E$47,0))/12</f>
        <v>3750</v>
      </c>
      <c r="Z30" s="17" t="n">
        <f aca="false">INDEX(Assumptions!$B$55:$E$55,MATCH(Z4,Assumptions!$B$47:$E$47,0))/12</f>
        <v>3750</v>
      </c>
      <c r="AA30" s="17" t="n">
        <f aca="false">INDEX(Assumptions!$B$55:$E$55,MATCH(AA4,Assumptions!$B$47:$E$47,0))/12</f>
        <v>3750</v>
      </c>
      <c r="AB30" s="17" t="n">
        <f aca="false">INDEX(Assumptions!$B$55:$E$55,MATCH(AB4,Assumptions!$B$47:$E$47,0))/12</f>
        <v>3750</v>
      </c>
      <c r="AC30" s="17" t="n">
        <f aca="false">INDEX(Assumptions!$B$55:$E$55,MATCH(AC4,Assumptions!$B$47:$E$47,0))/12</f>
        <v>3750</v>
      </c>
      <c r="AD30" s="17" t="n">
        <f aca="false">INDEX(Assumptions!$B$55:$E$55,MATCH(AD4,Assumptions!$B$47:$E$47,0))/12</f>
        <v>3750</v>
      </c>
      <c r="AE30" s="17" t="n">
        <f aca="false">INDEX(Assumptions!$B$55:$E$55,MATCH(AE4,Assumptions!$B$47:$E$47,0))/12</f>
        <v>3750</v>
      </c>
      <c r="AF30" s="17" t="n">
        <f aca="false">INDEX(Assumptions!$B$55:$E$55,MATCH(AF4,Assumptions!$B$47:$E$47,0))/12</f>
        <v>5833.33333333333</v>
      </c>
      <c r="AG30" s="17" t="n">
        <f aca="false">INDEX(Assumptions!$B$55:$E$55,MATCH(AG4,Assumptions!$B$47:$E$47,0))/12</f>
        <v>5833.33333333333</v>
      </c>
      <c r="AH30" s="17" t="n">
        <f aca="false">INDEX(Assumptions!$B$55:$E$55,MATCH(AH4,Assumptions!$B$47:$E$47,0))/12</f>
        <v>5833.33333333333</v>
      </c>
      <c r="AI30" s="17" t="n">
        <f aca="false">INDEX(Assumptions!$B$55:$E$55,MATCH(AI4,Assumptions!$B$47:$E$47,0))/12</f>
        <v>5833.33333333333</v>
      </c>
      <c r="AJ30" s="17" t="n">
        <f aca="false">INDEX(Assumptions!$B$55:$E$55,MATCH(AJ4,Assumptions!$B$47:$E$47,0))/12</f>
        <v>5833.33333333333</v>
      </c>
      <c r="AK30" s="17" t="n">
        <f aca="false">INDEX(Assumptions!$B$55:$E$55,MATCH(AK4,Assumptions!$B$47:$E$47,0))/12</f>
        <v>5833.33333333333</v>
      </c>
      <c r="AL30" s="17" t="n">
        <f aca="false">INDEX(Assumptions!$B$55:$E$55,MATCH(AL4,Assumptions!$B$47:$E$47,0))/12</f>
        <v>5833.33333333333</v>
      </c>
      <c r="AM30" s="17" t="n">
        <f aca="false">INDEX(Assumptions!$B$55:$E$55,MATCH(AM4,Assumptions!$B$47:$E$47,0))/12</f>
        <v>5833.33333333333</v>
      </c>
      <c r="AN30" s="17" t="n">
        <f aca="false">INDEX(Assumptions!$B$55:$E$55,MATCH(AN4,Assumptions!$B$47:$E$47,0))/12</f>
        <v>5833.33333333333</v>
      </c>
      <c r="AO30" s="17" t="n">
        <f aca="false">INDEX(Assumptions!$B$55:$E$55,MATCH(AO4,Assumptions!$B$47:$E$47,0))/12</f>
        <v>5833.33333333333</v>
      </c>
      <c r="AP30" s="17" t="n">
        <f aca="false">INDEX(Assumptions!$B$55:$E$55,MATCH(AP4,Assumptions!$B$47:$E$47,0))/12</f>
        <v>5833.33333333333</v>
      </c>
      <c r="AQ30" s="17" t="n">
        <f aca="false">INDEX(Assumptions!$B$55:$E$55,MATCH(AQ4,Assumptions!$B$47:$E$47,0))/12</f>
        <v>5833.33333333333</v>
      </c>
    </row>
    <row r="31" customFormat="false" ht="15" hidden="false" customHeight="false" outlineLevel="0" collapsed="false">
      <c r="A31" s="12" t="s">
        <v>235</v>
      </c>
      <c r="B31" s="19" t="n">
        <f aca="false">B23-B29-B30</f>
        <v>-52.725</v>
      </c>
      <c r="C31" s="19" t="n">
        <f aca="false">C23-C29-C30</f>
        <v>297.099166666667</v>
      </c>
      <c r="D31" s="19" t="n">
        <f aca="false">D23-D29-D30</f>
        <v>646.923333333333</v>
      </c>
      <c r="E31" s="19" t="n">
        <f aca="false">E23-E29-E30</f>
        <v>996.7475</v>
      </c>
      <c r="F31" s="19" t="n">
        <f aca="false">F23-F29-F30</f>
        <v>1346.57166666667</v>
      </c>
      <c r="G31" s="19" t="n">
        <f aca="false">G23-G29-G30</f>
        <v>1696.39583333333</v>
      </c>
      <c r="H31" s="19" t="n">
        <f aca="false">H23-H29-H30</f>
        <v>-1063.09558333333</v>
      </c>
      <c r="I31" s="19" t="n">
        <f aca="false">I23-I29-I30</f>
        <v>-620.208812499999</v>
      </c>
      <c r="J31" s="19" t="n">
        <f aca="false">J23-J29-J30</f>
        <v>-177.322041666667</v>
      </c>
      <c r="K31" s="19" t="n">
        <f aca="false">K23-K29-K30</f>
        <v>265.564729166668</v>
      </c>
      <c r="L31" s="19" t="n">
        <f aca="false">L23-L29-L30</f>
        <v>708.451500000002</v>
      </c>
      <c r="M31" s="19" t="n">
        <f aca="false">M23-M29-M30</f>
        <v>1151.33827083333</v>
      </c>
      <c r="N31" s="19" t="n">
        <f aca="false">N23-N29-N30</f>
        <v>1594.22504166666</v>
      </c>
      <c r="O31" s="19" t="n">
        <f aca="false">O23-O29-O30</f>
        <v>2037.1118125</v>
      </c>
      <c r="P31" s="19" t="n">
        <f aca="false">P23-P29-P30</f>
        <v>2479.99858333333</v>
      </c>
      <c r="Q31" s="19" t="n">
        <f aca="false">Q23-Q29-Q30</f>
        <v>2922.88535416667</v>
      </c>
      <c r="R31" s="19" t="n">
        <f aca="false">R23-R29-R30</f>
        <v>3365.772125</v>
      </c>
      <c r="S31" s="19" t="n">
        <f aca="false">S23-S29-S30</f>
        <v>3808.65889583333</v>
      </c>
      <c r="T31" s="19" t="n">
        <f aca="false">T23-T29-T30</f>
        <v>-5395.36416666667</v>
      </c>
      <c r="U31" s="19" t="n">
        <f aca="false">U23-U29-U30</f>
        <v>-4504.785</v>
      </c>
      <c r="V31" s="19" t="n">
        <f aca="false">V23-V29-V30</f>
        <v>-3614.20583333333</v>
      </c>
      <c r="W31" s="19" t="n">
        <f aca="false">W23-W29-W30</f>
        <v>-2723.62666666666</v>
      </c>
      <c r="X31" s="19" t="n">
        <f aca="false">X23-X29-X30</f>
        <v>-1833.0475</v>
      </c>
      <c r="Y31" s="19" t="n">
        <f aca="false">Y23-Y29-Y30</f>
        <v>-942.468333333338</v>
      </c>
      <c r="Z31" s="19" t="n">
        <f aca="false">Z23-Z29-Z30</f>
        <v>-51.8891666666714</v>
      </c>
      <c r="AA31" s="19" t="n">
        <f aca="false">AA23-AA29-AA30</f>
        <v>838.69000000001</v>
      </c>
      <c r="AB31" s="19" t="n">
        <f aca="false">AB23-AB29-AB30</f>
        <v>1729.26916666666</v>
      </c>
      <c r="AC31" s="19" t="n">
        <f aca="false">AC23-AC29-AC30</f>
        <v>2619.84833333334</v>
      </c>
      <c r="AD31" s="19" t="n">
        <f aca="false">AD23-AD29-AD30</f>
        <v>3510.42749999999</v>
      </c>
      <c r="AE31" s="19" t="n">
        <f aca="false">AE23-AE29-AE30</f>
        <v>4401.00666666668</v>
      </c>
      <c r="AF31" s="19" t="n">
        <f aca="false">AF23-AF29-AF30</f>
        <v>-9684.3975</v>
      </c>
      <c r="AG31" s="19" t="n">
        <f aca="false">AG23-AG29-AG30</f>
        <v>-8081.355</v>
      </c>
      <c r="AH31" s="19" t="n">
        <f aca="false">AH23-AH29-AH30</f>
        <v>-6478.3125</v>
      </c>
      <c r="AI31" s="19" t="n">
        <f aca="false">AI23-AI29-AI30</f>
        <v>-4875.27</v>
      </c>
      <c r="AJ31" s="19" t="n">
        <f aca="false">AJ23-AJ29-AJ30</f>
        <v>-3272.2275</v>
      </c>
      <c r="AK31" s="19" t="n">
        <f aca="false">AK23-AK29-AK30</f>
        <v>-1669.185</v>
      </c>
      <c r="AL31" s="19" t="n">
        <f aca="false">AL23-AL29-AL30</f>
        <v>-66.142499999999</v>
      </c>
      <c r="AM31" s="19" t="n">
        <f aca="false">AM23-AM29-AM30</f>
        <v>1536.9</v>
      </c>
      <c r="AN31" s="19" t="n">
        <f aca="false">AN23-AN29-AN30</f>
        <v>3139.9425</v>
      </c>
      <c r="AO31" s="19" t="n">
        <f aca="false">AO23-AO29-AO30</f>
        <v>4742.985</v>
      </c>
      <c r="AP31" s="19" t="n">
        <f aca="false">AP23-AP29-AP30</f>
        <v>6346.0275</v>
      </c>
      <c r="AQ31" s="19" t="n">
        <f aca="false">AQ23-AQ29-AQ30</f>
        <v>7949.07</v>
      </c>
    </row>
    <row r="32" customFormat="false" ht="15" hidden="false" customHeight="false" outlineLevel="0" collapsed="false">
      <c r="A32" s="5" t="s">
        <v>236</v>
      </c>
      <c r="B32" s="17" t="n">
        <f aca="false">IF(B5=12,MAX(0,SUMIFS($B$31:$AQ$31,$B$4:$AQ$4,B4))*Assumptions!$B$59,0)</f>
        <v>0</v>
      </c>
      <c r="C32" s="17" t="n">
        <f aca="false">IF(C5=12,MAX(0,SUMIFS($B$31:$AQ$31,$B$4:$AQ$4,C4))*Assumptions!$B$59,0)</f>
        <v>0</v>
      </c>
      <c r="D32" s="17" t="n">
        <f aca="false">IF(D5=12,MAX(0,SUMIFS($B$31:$AQ$31,$B$4:$AQ$4,D4))*Assumptions!$B$59,0)</f>
        <v>0</v>
      </c>
      <c r="E32" s="17" t="n">
        <f aca="false">IF(E5=12,MAX(0,SUMIFS($B$31:$AQ$31,$B$4:$AQ$4,E4))*Assumptions!$B$59,0)</f>
        <v>0</v>
      </c>
      <c r="F32" s="17" t="n">
        <f aca="false">IF(F5=12,MAX(0,SUMIFS($B$31:$AQ$31,$B$4:$AQ$4,F4))*Assumptions!$B$59,0)</f>
        <v>0</v>
      </c>
      <c r="G32" s="17" t="n">
        <f aca="false">IF(G5=12,MAX(0,SUMIFS($B$31:$AQ$31,$B$4:$AQ$4,G4))*Assumptions!$B$59,0)</f>
        <v>986.2025</v>
      </c>
      <c r="H32" s="17" t="n">
        <f aca="false">IF(H5=12,MAX(0,SUMIFS($B$31:$AQ$31,$B$4:$AQ$4,H4))*Assumptions!$B$59,0)</f>
        <v>0</v>
      </c>
      <c r="I32" s="17" t="n">
        <f aca="false">IF(I5=12,MAX(0,SUMIFS($B$31:$AQ$31,$B$4:$AQ$4,I4))*Assumptions!$B$59,0)</f>
        <v>0</v>
      </c>
      <c r="J32" s="17" t="n">
        <f aca="false">IF(J5=12,MAX(0,SUMIFS($B$31:$AQ$31,$B$4:$AQ$4,J4))*Assumptions!$B$59,0)</f>
        <v>0</v>
      </c>
      <c r="K32" s="17" t="n">
        <f aca="false">IF(K5=12,MAX(0,SUMIFS($B$31:$AQ$31,$B$4:$AQ$4,K4))*Assumptions!$B$59,0)</f>
        <v>0</v>
      </c>
      <c r="L32" s="17" t="n">
        <f aca="false">IF(L5=12,MAX(0,SUMIFS($B$31:$AQ$31,$B$4:$AQ$4,L4))*Assumptions!$B$59,0)</f>
        <v>0</v>
      </c>
      <c r="M32" s="17" t="n">
        <f aca="false">IF(M5=12,MAX(0,SUMIFS($B$31:$AQ$31,$B$4:$AQ$4,M4))*Assumptions!$B$59,0)</f>
        <v>0</v>
      </c>
      <c r="N32" s="17" t="n">
        <f aca="false">IF(N5=12,MAX(0,SUMIFS($B$31:$AQ$31,$B$4:$AQ$4,N4))*Assumptions!$B$59,0)</f>
        <v>0</v>
      </c>
      <c r="O32" s="17" t="n">
        <f aca="false">IF(O5=12,MAX(0,SUMIFS($B$31:$AQ$31,$B$4:$AQ$4,O4))*Assumptions!$B$59,0)</f>
        <v>0</v>
      </c>
      <c r="P32" s="17" t="n">
        <f aca="false">IF(P5=12,MAX(0,SUMIFS($B$31:$AQ$31,$B$4:$AQ$4,P4))*Assumptions!$B$59,0)</f>
        <v>0</v>
      </c>
      <c r="Q32" s="17" t="n">
        <f aca="false">IF(Q5=12,MAX(0,SUMIFS($B$31:$AQ$31,$B$4:$AQ$4,Q4))*Assumptions!$B$59,0)</f>
        <v>0</v>
      </c>
      <c r="R32" s="17" t="n">
        <f aca="false">IF(R5=12,MAX(0,SUMIFS($B$31:$AQ$31,$B$4:$AQ$4,R4))*Assumptions!$B$59,0)</f>
        <v>0</v>
      </c>
      <c r="S32" s="17" t="n">
        <f aca="false">IF(S5=12,MAX(0,SUMIFS($B$31:$AQ$31,$B$4:$AQ$4,S4))*Assumptions!$B$59,0)</f>
        <v>3294.675975</v>
      </c>
      <c r="T32" s="17" t="n">
        <f aca="false">IF(T5=12,MAX(0,SUMIFS($B$31:$AQ$31,$B$4:$AQ$4,T4))*Assumptions!$B$59,0)</f>
        <v>0</v>
      </c>
      <c r="U32" s="17" t="n">
        <f aca="false">IF(U5=12,MAX(0,SUMIFS($B$31:$AQ$31,$B$4:$AQ$4,U4))*Assumptions!$B$59,0)</f>
        <v>0</v>
      </c>
      <c r="V32" s="17" t="n">
        <f aca="false">IF(V5=12,MAX(0,SUMIFS($B$31:$AQ$31,$B$4:$AQ$4,V4))*Assumptions!$B$59,0)</f>
        <v>0</v>
      </c>
      <c r="W32" s="17" t="n">
        <f aca="false">IF(W5=12,MAX(0,SUMIFS($B$31:$AQ$31,$B$4:$AQ$4,W4))*Assumptions!$B$59,0)</f>
        <v>0</v>
      </c>
      <c r="X32" s="17" t="n">
        <f aca="false">IF(X5=12,MAX(0,SUMIFS($B$31:$AQ$31,$B$4:$AQ$4,X4))*Assumptions!$B$59,0)</f>
        <v>0</v>
      </c>
      <c r="Y32" s="17" t="n">
        <f aca="false">IF(Y5=12,MAX(0,SUMIFS($B$31:$AQ$31,$B$4:$AQ$4,Y4))*Assumptions!$B$59,0)</f>
        <v>0</v>
      </c>
      <c r="Z32" s="17" t="n">
        <f aca="false">IF(Z5=12,MAX(0,SUMIFS($B$31:$AQ$31,$B$4:$AQ$4,Z4))*Assumptions!$B$59,0)</f>
        <v>0</v>
      </c>
      <c r="AA32" s="17" t="n">
        <f aca="false">IF(AA5=12,MAX(0,SUMIFS($B$31:$AQ$31,$B$4:$AQ$4,AA4))*Assumptions!$B$59,0)</f>
        <v>0</v>
      </c>
      <c r="AB32" s="17" t="n">
        <f aca="false">IF(AB5=12,MAX(0,SUMIFS($B$31:$AQ$31,$B$4:$AQ$4,AB4))*Assumptions!$B$59,0)</f>
        <v>0</v>
      </c>
      <c r="AC32" s="17" t="n">
        <f aca="false">IF(AC5=12,MAX(0,SUMIFS($B$31:$AQ$31,$B$4:$AQ$4,AC4))*Assumptions!$B$59,0)</f>
        <v>0</v>
      </c>
      <c r="AD32" s="17" t="n">
        <f aca="false">IF(AD5=12,MAX(0,SUMIFS($B$31:$AQ$31,$B$4:$AQ$4,AD4))*Assumptions!$B$59,0)</f>
        <v>0</v>
      </c>
      <c r="AE32" s="17" t="n">
        <f aca="false">IF(AE5=12,MAX(0,SUMIFS($B$31:$AQ$31,$B$4:$AQ$4,AE4))*Assumptions!$B$59,0)</f>
        <v>0</v>
      </c>
      <c r="AF32" s="17" t="n">
        <f aca="false">IF(AF5=12,MAX(0,SUMIFS($B$31:$AQ$31,$B$4:$AQ$4,AF4))*Assumptions!$B$59,0)</f>
        <v>0</v>
      </c>
      <c r="AG32" s="17" t="n">
        <f aca="false">IF(AG5=12,MAX(0,SUMIFS($B$31:$AQ$31,$B$4:$AQ$4,AG4))*Assumptions!$B$59,0)</f>
        <v>0</v>
      </c>
      <c r="AH32" s="17" t="n">
        <f aca="false">IF(AH5=12,MAX(0,SUMIFS($B$31:$AQ$31,$B$4:$AQ$4,AH4))*Assumptions!$B$59,0)</f>
        <v>0</v>
      </c>
      <c r="AI32" s="17" t="n">
        <f aca="false">IF(AI5=12,MAX(0,SUMIFS($B$31:$AQ$31,$B$4:$AQ$4,AI4))*Assumptions!$B$59,0)</f>
        <v>0</v>
      </c>
      <c r="AJ32" s="17" t="n">
        <f aca="false">IF(AJ5=12,MAX(0,SUMIFS($B$31:$AQ$31,$B$4:$AQ$4,AJ4))*Assumptions!$B$59,0)</f>
        <v>0</v>
      </c>
      <c r="AK32" s="17" t="n">
        <f aca="false">IF(AK5=12,MAX(0,SUMIFS($B$31:$AQ$31,$B$4:$AQ$4,AK4))*Assumptions!$B$59,0)</f>
        <v>0</v>
      </c>
      <c r="AL32" s="17" t="n">
        <f aca="false">IF(AL5=12,MAX(0,SUMIFS($B$31:$AQ$31,$B$4:$AQ$4,AL4))*Assumptions!$B$59,0)</f>
        <v>0</v>
      </c>
      <c r="AM32" s="17" t="n">
        <f aca="false">IF(AM5=12,MAX(0,SUMIFS($B$31:$AQ$31,$B$4:$AQ$4,AM4))*Assumptions!$B$59,0)</f>
        <v>0</v>
      </c>
      <c r="AN32" s="17" t="n">
        <f aca="false">IF(AN5=12,MAX(0,SUMIFS($B$31:$AQ$31,$B$4:$AQ$4,AN4))*Assumptions!$B$59,0)</f>
        <v>0</v>
      </c>
      <c r="AO32" s="17" t="n">
        <f aca="false">IF(AO5=12,MAX(0,SUMIFS($B$31:$AQ$31,$B$4:$AQ$4,AO4))*Assumptions!$B$59,0)</f>
        <v>0</v>
      </c>
      <c r="AP32" s="17" t="n">
        <f aca="false">IF(AP5=12,MAX(0,SUMIFS($B$31:$AQ$31,$B$4:$AQ$4,AP4))*Assumptions!$B$59,0)</f>
        <v>0</v>
      </c>
      <c r="AQ32" s="17" t="n">
        <f aca="false">IF(AQ5=12,MAX(0,SUMIFS($B$31:$AQ$31,$B$4:$AQ$4,AQ4))*Assumptions!$B$59,0)</f>
        <v>0</v>
      </c>
    </row>
    <row r="33" customFormat="false" ht="15" hidden="false" customHeight="false" outlineLevel="0" collapsed="false">
      <c r="A33" s="12" t="s">
        <v>237</v>
      </c>
      <c r="B33" s="19" t="n">
        <f aca="false">B31-B32</f>
        <v>-52.725</v>
      </c>
      <c r="C33" s="19" t="n">
        <f aca="false">C31-C32</f>
        <v>297.099166666667</v>
      </c>
      <c r="D33" s="19" t="n">
        <f aca="false">D31-D32</f>
        <v>646.923333333333</v>
      </c>
      <c r="E33" s="19" t="n">
        <f aca="false">E31-E32</f>
        <v>996.7475</v>
      </c>
      <c r="F33" s="19" t="n">
        <f aca="false">F31-F32</f>
        <v>1346.57166666667</v>
      </c>
      <c r="G33" s="19" t="n">
        <f aca="false">G31-G32</f>
        <v>710.193333333333</v>
      </c>
      <c r="H33" s="19" t="n">
        <f aca="false">H31-H32</f>
        <v>-1063.09558333333</v>
      </c>
      <c r="I33" s="19" t="n">
        <f aca="false">I31-I32</f>
        <v>-620.208812499999</v>
      </c>
      <c r="J33" s="19" t="n">
        <f aca="false">J31-J32</f>
        <v>-177.322041666667</v>
      </c>
      <c r="K33" s="19" t="n">
        <f aca="false">K31-K32</f>
        <v>265.564729166668</v>
      </c>
      <c r="L33" s="19" t="n">
        <f aca="false">L31-L32</f>
        <v>708.451500000002</v>
      </c>
      <c r="M33" s="19" t="n">
        <f aca="false">M31-M32</f>
        <v>1151.33827083333</v>
      </c>
      <c r="N33" s="19" t="n">
        <f aca="false">N31-N32</f>
        <v>1594.22504166666</v>
      </c>
      <c r="O33" s="19" t="n">
        <f aca="false">O31-O32</f>
        <v>2037.1118125</v>
      </c>
      <c r="P33" s="19" t="n">
        <f aca="false">P31-P32</f>
        <v>2479.99858333333</v>
      </c>
      <c r="Q33" s="19" t="n">
        <f aca="false">Q31-Q32</f>
        <v>2922.88535416667</v>
      </c>
      <c r="R33" s="19" t="n">
        <f aca="false">R31-R32</f>
        <v>3365.772125</v>
      </c>
      <c r="S33" s="19" t="n">
        <f aca="false">S31-S32</f>
        <v>513.982920833334</v>
      </c>
      <c r="T33" s="19" t="n">
        <f aca="false">T31-T32</f>
        <v>-5395.36416666667</v>
      </c>
      <c r="U33" s="19" t="n">
        <f aca="false">U31-U32</f>
        <v>-4504.785</v>
      </c>
      <c r="V33" s="19" t="n">
        <f aca="false">V31-V32</f>
        <v>-3614.20583333333</v>
      </c>
      <c r="W33" s="19" t="n">
        <f aca="false">W31-W32</f>
        <v>-2723.62666666666</v>
      </c>
      <c r="X33" s="19" t="n">
        <f aca="false">X31-X32</f>
        <v>-1833.0475</v>
      </c>
      <c r="Y33" s="19" t="n">
        <f aca="false">Y31-Y32</f>
        <v>-942.468333333338</v>
      </c>
      <c r="Z33" s="19" t="n">
        <f aca="false">Z31-Z32</f>
        <v>-51.8891666666714</v>
      </c>
      <c r="AA33" s="19" t="n">
        <f aca="false">AA31-AA32</f>
        <v>838.69000000001</v>
      </c>
      <c r="AB33" s="19" t="n">
        <f aca="false">AB31-AB32</f>
        <v>1729.26916666666</v>
      </c>
      <c r="AC33" s="19" t="n">
        <f aca="false">AC31-AC32</f>
        <v>2619.84833333334</v>
      </c>
      <c r="AD33" s="19" t="n">
        <f aca="false">AD31-AD32</f>
        <v>3510.42749999999</v>
      </c>
      <c r="AE33" s="19" t="n">
        <f aca="false">AE31-AE32</f>
        <v>4401.00666666668</v>
      </c>
      <c r="AF33" s="19" t="n">
        <f aca="false">AF31-AF32</f>
        <v>-9684.3975</v>
      </c>
      <c r="AG33" s="19" t="n">
        <f aca="false">AG31-AG32</f>
        <v>-8081.355</v>
      </c>
      <c r="AH33" s="19" t="n">
        <f aca="false">AH31-AH32</f>
        <v>-6478.3125</v>
      </c>
      <c r="AI33" s="19" t="n">
        <f aca="false">AI31-AI32</f>
        <v>-4875.27</v>
      </c>
      <c r="AJ33" s="19" t="n">
        <f aca="false">AJ31-AJ32</f>
        <v>-3272.2275</v>
      </c>
      <c r="AK33" s="19" t="n">
        <f aca="false">AK31-AK32</f>
        <v>-1669.185</v>
      </c>
      <c r="AL33" s="19" t="n">
        <f aca="false">AL31-AL32</f>
        <v>-66.142499999999</v>
      </c>
      <c r="AM33" s="19" t="n">
        <f aca="false">AM31-AM32</f>
        <v>1536.9</v>
      </c>
      <c r="AN33" s="19" t="n">
        <f aca="false">AN31-AN32</f>
        <v>3139.9425</v>
      </c>
      <c r="AO33" s="19" t="n">
        <f aca="false">AO31-AO32</f>
        <v>4742.985</v>
      </c>
      <c r="AP33" s="19" t="n">
        <f aca="false">AP31-AP32</f>
        <v>6346.0275</v>
      </c>
      <c r="AQ33" s="19" t="n">
        <f aca="false">AQ31-AQ32</f>
        <v>7949.07</v>
      </c>
    </row>
    <row r="34" customFormat="false" ht="15" hidden="false" customHeight="false" outlineLevel="0" collapsed="false">
      <c r="A34" s="3" t="s">
        <v>238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customFormat="false" ht="15" hidden="false" customHeight="false" outlineLevel="0" collapsed="false">
      <c r="A35" s="5" t="s">
        <v>239</v>
      </c>
      <c r="B35" s="17" t="n">
        <f aca="false">B16*Assumptions!$B$58/30</f>
        <v>1059.16666666667</v>
      </c>
      <c r="C35" s="17" t="n">
        <f aca="false">C16*Assumptions!$B$58/30</f>
        <v>1437.28125</v>
      </c>
      <c r="D35" s="17" t="n">
        <f aca="false">D16*Assumptions!$B$58/30</f>
        <v>1815.39583333333</v>
      </c>
      <c r="E35" s="17" t="n">
        <f aca="false">E16*Assumptions!$B$58/30</f>
        <v>2193.51041666667</v>
      </c>
      <c r="F35" s="17" t="n">
        <f aca="false">F16*Assumptions!$B$58/30</f>
        <v>2571.625</v>
      </c>
      <c r="G35" s="17" t="n">
        <f aca="false">G16*Assumptions!$B$58/30</f>
        <v>2949.73958333333</v>
      </c>
      <c r="H35" s="17" t="n">
        <f aca="false">H16*Assumptions!$B$58/30</f>
        <v>4387.75833333333</v>
      </c>
      <c r="I35" s="17" t="n">
        <f aca="false">I16*Assumptions!$B$58/30</f>
        <v>4866.77265625</v>
      </c>
      <c r="J35" s="17" t="n">
        <f aca="false">J16*Assumptions!$B$58/30</f>
        <v>5345.78697916667</v>
      </c>
      <c r="K35" s="17" t="n">
        <f aca="false">K16*Assumptions!$B$58/30</f>
        <v>5824.80130208334</v>
      </c>
      <c r="L35" s="17" t="n">
        <f aca="false">L16*Assumptions!$B$58/30</f>
        <v>6303.815625</v>
      </c>
      <c r="M35" s="17" t="n">
        <f aca="false">M16*Assumptions!$B$58/30</f>
        <v>6782.82994791666</v>
      </c>
      <c r="N35" s="17" t="n">
        <f aca="false">N16*Assumptions!$B$58/30</f>
        <v>7261.84427083333</v>
      </c>
      <c r="O35" s="17" t="n">
        <f aca="false">O16*Assumptions!$B$58/30</f>
        <v>7740.85859375001</v>
      </c>
      <c r="P35" s="17" t="n">
        <f aca="false">P16*Assumptions!$B$58/30</f>
        <v>8219.87291666666</v>
      </c>
      <c r="Q35" s="17" t="n">
        <f aca="false">Q16*Assumptions!$B$58/30</f>
        <v>8698.88723958334</v>
      </c>
      <c r="R35" s="17" t="n">
        <f aca="false">R16*Assumptions!$B$58/30</f>
        <v>9177.9015625</v>
      </c>
      <c r="S35" s="17" t="n">
        <f aca="false">S16*Assumptions!$B$58/30</f>
        <v>9656.91588541667</v>
      </c>
      <c r="T35" s="17" t="n">
        <f aca="false">T16*Assumptions!$B$58/30</f>
        <v>12925.6041666667</v>
      </c>
      <c r="U35" s="17" t="n">
        <f aca="false">U16*Assumptions!$B$58/30</f>
        <v>13889.09375</v>
      </c>
      <c r="V35" s="17" t="n">
        <f aca="false">V16*Assumptions!$B$58/30</f>
        <v>14852.5833333333</v>
      </c>
      <c r="W35" s="17" t="n">
        <f aca="false">W16*Assumptions!$B$58/30</f>
        <v>15816.0729166667</v>
      </c>
      <c r="X35" s="17" t="n">
        <f aca="false">X16*Assumptions!$B$58/30</f>
        <v>16779.5625</v>
      </c>
      <c r="Y35" s="17" t="n">
        <f aca="false">Y16*Assumptions!$B$58/30</f>
        <v>17743.0520833333</v>
      </c>
      <c r="Z35" s="17" t="n">
        <f aca="false">Z16*Assumptions!$B$58/30</f>
        <v>18706.5416666667</v>
      </c>
      <c r="AA35" s="17" t="n">
        <f aca="false">AA16*Assumptions!$B$58/30</f>
        <v>19670.03125</v>
      </c>
      <c r="AB35" s="17" t="n">
        <f aca="false">AB16*Assumptions!$B$58/30</f>
        <v>20633.5208333333</v>
      </c>
      <c r="AC35" s="17" t="n">
        <f aca="false">AC16*Assumptions!$B$58/30</f>
        <v>21597.0104166667</v>
      </c>
      <c r="AD35" s="17" t="n">
        <f aca="false">AD16*Assumptions!$B$58/30</f>
        <v>22560.5</v>
      </c>
      <c r="AE35" s="17" t="n">
        <f aca="false">AE16*Assumptions!$B$58/30</f>
        <v>23523.9895833333</v>
      </c>
      <c r="AF35" s="17" t="n">
        <f aca="false">AF16*Assumptions!$B$58/30</f>
        <v>28353.3125</v>
      </c>
      <c r="AG35" s="17" t="n">
        <f aca="false">AG16*Assumptions!$B$58/30</f>
        <v>30087.59375</v>
      </c>
      <c r="AH35" s="17" t="n">
        <f aca="false">AH16*Assumptions!$B$58/30</f>
        <v>31821.875</v>
      </c>
      <c r="AI35" s="17" t="n">
        <f aca="false">AI16*Assumptions!$B$58/30</f>
        <v>33556.15625</v>
      </c>
      <c r="AJ35" s="17" t="n">
        <f aca="false">AJ16*Assumptions!$B$58/30</f>
        <v>35290.4375</v>
      </c>
      <c r="AK35" s="17" t="n">
        <f aca="false">AK16*Assumptions!$B$58/30</f>
        <v>37024.71875</v>
      </c>
      <c r="AL35" s="17" t="n">
        <f aca="false">AL16*Assumptions!$B$58/30</f>
        <v>38759</v>
      </c>
      <c r="AM35" s="17" t="n">
        <f aca="false">AM16*Assumptions!$B$58/30</f>
        <v>40493.28125</v>
      </c>
      <c r="AN35" s="17" t="n">
        <f aca="false">AN16*Assumptions!$B$58/30</f>
        <v>42227.5625</v>
      </c>
      <c r="AO35" s="17" t="n">
        <f aca="false">AO16*Assumptions!$B$58/30</f>
        <v>43961.84375</v>
      </c>
      <c r="AP35" s="17" t="n">
        <f aca="false">AP16*Assumptions!$B$58/30</f>
        <v>45696.125</v>
      </c>
      <c r="AQ35" s="17" t="n">
        <f aca="false">AQ16*Assumptions!$B$58/30</f>
        <v>47430.40625</v>
      </c>
    </row>
    <row r="36" customFormat="false" ht="15" hidden="false" customHeight="false" outlineLevel="0" collapsed="false">
      <c r="A36" s="5" t="s">
        <v>240</v>
      </c>
      <c r="B36" s="17" t="n">
        <f aca="false">B35</f>
        <v>1059.16666666667</v>
      </c>
      <c r="C36" s="17" t="n">
        <f aca="false">C35-B35</f>
        <v>378.114583333333</v>
      </c>
      <c r="D36" s="17" t="n">
        <f aca="false">D35-C35</f>
        <v>378.114583333333</v>
      </c>
      <c r="E36" s="17" t="n">
        <f aca="false">E35-D35</f>
        <v>378.114583333333</v>
      </c>
      <c r="F36" s="17" t="n">
        <f aca="false">F35-E35</f>
        <v>378.114583333334</v>
      </c>
      <c r="G36" s="17" t="n">
        <f aca="false">G35-F35</f>
        <v>378.114583333333</v>
      </c>
      <c r="H36" s="17" t="n">
        <f aca="false">H35-G35</f>
        <v>1438.01875</v>
      </c>
      <c r="I36" s="17" t="n">
        <f aca="false">I35-H35</f>
        <v>479.014322916669</v>
      </c>
      <c r="J36" s="17" t="n">
        <f aca="false">J35-I35</f>
        <v>479.014322916665</v>
      </c>
      <c r="K36" s="17" t="n">
        <f aca="false">K35-J35</f>
        <v>479.014322916669</v>
      </c>
      <c r="L36" s="17" t="n">
        <f aca="false">L35-K35</f>
        <v>479.014322916667</v>
      </c>
      <c r="M36" s="17" t="n">
        <f aca="false">M35-L35</f>
        <v>479.014322916662</v>
      </c>
      <c r="N36" s="17" t="n">
        <f aca="false">N35-M35</f>
        <v>479.014322916666</v>
      </c>
      <c r="O36" s="17" t="n">
        <f aca="false">O35-N35</f>
        <v>479.014322916675</v>
      </c>
      <c r="P36" s="17" t="n">
        <f aca="false">P35-O35</f>
        <v>479.014322916658</v>
      </c>
      <c r="Q36" s="17" t="n">
        <f aca="false">Q35-P35</f>
        <v>479.014322916672</v>
      </c>
      <c r="R36" s="17" t="n">
        <f aca="false">R35-Q35</f>
        <v>479.014322916662</v>
      </c>
      <c r="S36" s="17" t="n">
        <f aca="false">S35-R35</f>
        <v>479.01432291667</v>
      </c>
      <c r="T36" s="17" t="n">
        <f aca="false">T35-S35</f>
        <v>3268.68828125</v>
      </c>
      <c r="U36" s="17" t="n">
        <f aca="false">U35-T35</f>
        <v>963.489583333334</v>
      </c>
      <c r="V36" s="17" t="n">
        <f aca="false">V35-U35</f>
        <v>963.489583333338</v>
      </c>
      <c r="W36" s="17" t="n">
        <f aca="false">W35-V35</f>
        <v>963.489583333334</v>
      </c>
      <c r="X36" s="17" t="n">
        <f aca="false">X35-W35</f>
        <v>963.489583333334</v>
      </c>
      <c r="Y36" s="17" t="n">
        <f aca="false">Y35-X35</f>
        <v>963.489583333325</v>
      </c>
      <c r="Z36" s="17" t="n">
        <f aca="false">Z35-Y35</f>
        <v>963.489583333332</v>
      </c>
      <c r="AA36" s="17" t="n">
        <f aca="false">AA35-Z35</f>
        <v>963.48958333335</v>
      </c>
      <c r="AB36" s="17" t="n">
        <f aca="false">AB35-AA35</f>
        <v>963.489583333318</v>
      </c>
      <c r="AC36" s="17" t="n">
        <f aca="false">AC35-AB35</f>
        <v>963.489583333343</v>
      </c>
      <c r="AD36" s="17" t="n">
        <f aca="false">AD35-AC35</f>
        <v>963.489583333314</v>
      </c>
      <c r="AE36" s="17" t="n">
        <f aca="false">AE35-AD35</f>
        <v>963.489583333354</v>
      </c>
      <c r="AF36" s="17" t="n">
        <f aca="false">AF35-AE35</f>
        <v>4829.32291666666</v>
      </c>
      <c r="AG36" s="17" t="n">
        <f aca="false">AG35-AF35</f>
        <v>1734.28125</v>
      </c>
      <c r="AH36" s="17" t="n">
        <f aca="false">AH35-AG35</f>
        <v>1734.28125</v>
      </c>
      <c r="AI36" s="17" t="n">
        <f aca="false">AI35-AH35</f>
        <v>1734.28125</v>
      </c>
      <c r="AJ36" s="17" t="n">
        <f aca="false">AJ35-AI35</f>
        <v>1734.28125</v>
      </c>
      <c r="AK36" s="17" t="n">
        <f aca="false">AK35-AJ35</f>
        <v>1734.28125</v>
      </c>
      <c r="AL36" s="17" t="n">
        <f aca="false">AL35-AK35</f>
        <v>1734.28125</v>
      </c>
      <c r="AM36" s="17" t="n">
        <f aca="false">AM35-AL35</f>
        <v>1734.28125</v>
      </c>
      <c r="AN36" s="17" t="n">
        <f aca="false">AN35-AM35</f>
        <v>1734.28125</v>
      </c>
      <c r="AO36" s="17" t="n">
        <f aca="false">AO35-AN35</f>
        <v>1734.28125</v>
      </c>
      <c r="AP36" s="17" t="n">
        <f aca="false">AP35-AO35</f>
        <v>1734.28125</v>
      </c>
      <c r="AQ36" s="17" t="n">
        <f aca="false">AQ35-AP35</f>
        <v>1734.28125</v>
      </c>
    </row>
    <row r="37" customFormat="false" ht="15" hidden="false" customHeight="false" outlineLevel="0" collapsed="false">
      <c r="A37" s="12" t="s">
        <v>241</v>
      </c>
      <c r="B37" s="19" t="n">
        <f aca="false">B33-B36</f>
        <v>-1111.89166666667</v>
      </c>
      <c r="C37" s="19" t="n">
        <f aca="false">C33-C36</f>
        <v>-81.0154166666667</v>
      </c>
      <c r="D37" s="19" t="n">
        <f aca="false">D33-D36</f>
        <v>268.80875</v>
      </c>
      <c r="E37" s="19" t="n">
        <f aca="false">E33-E36</f>
        <v>618.632916666667</v>
      </c>
      <c r="F37" s="19" t="n">
        <f aca="false">F33-F36</f>
        <v>968.457083333333</v>
      </c>
      <c r="G37" s="19" t="n">
        <f aca="false">G33-G36</f>
        <v>332.07875</v>
      </c>
      <c r="H37" s="19" t="n">
        <f aca="false">H33-H36</f>
        <v>-2501.11433333333</v>
      </c>
      <c r="I37" s="19" t="n">
        <f aca="false">I33-I36</f>
        <v>-1099.22313541667</v>
      </c>
      <c r="J37" s="19" t="n">
        <f aca="false">J33-J36</f>
        <v>-656.336364583332</v>
      </c>
      <c r="K37" s="19" t="n">
        <f aca="false">K33-K36</f>
        <v>-213.449593750001</v>
      </c>
      <c r="L37" s="19" t="n">
        <f aca="false">L33-L36</f>
        <v>229.437177083335</v>
      </c>
      <c r="M37" s="19" t="n">
        <f aca="false">M33-M36</f>
        <v>672.323947916669</v>
      </c>
      <c r="N37" s="19" t="n">
        <f aca="false">N33-N36</f>
        <v>1115.21071875</v>
      </c>
      <c r="O37" s="19" t="n">
        <f aca="false">O33-O36</f>
        <v>1558.09748958333</v>
      </c>
      <c r="P37" s="19" t="n">
        <f aca="false">P33-P36</f>
        <v>2000.98426041667</v>
      </c>
      <c r="Q37" s="19" t="n">
        <f aca="false">Q33-Q36</f>
        <v>2443.87103125</v>
      </c>
      <c r="R37" s="19" t="n">
        <f aca="false">R33-R36</f>
        <v>2886.75780208334</v>
      </c>
      <c r="S37" s="19" t="n">
        <f aca="false">S33-S36</f>
        <v>34.9685979166643</v>
      </c>
      <c r="T37" s="19" t="n">
        <f aca="false">T33-T36</f>
        <v>-8664.05244791667</v>
      </c>
      <c r="U37" s="19" t="n">
        <f aca="false">U33-U36</f>
        <v>-5468.27458333334</v>
      </c>
      <c r="V37" s="19" t="n">
        <f aca="false">V33-V36</f>
        <v>-4577.69541666667</v>
      </c>
      <c r="W37" s="19" t="n">
        <f aca="false">W33-W36</f>
        <v>-3687.11625</v>
      </c>
      <c r="X37" s="19" t="n">
        <f aca="false">X33-X36</f>
        <v>-2796.53708333333</v>
      </c>
      <c r="Y37" s="19" t="n">
        <f aca="false">Y33-Y36</f>
        <v>-1905.95791666666</v>
      </c>
      <c r="Z37" s="19" t="n">
        <f aca="false">Z33-Z36</f>
        <v>-1015.37875</v>
      </c>
      <c r="AA37" s="19" t="n">
        <f aca="false">AA33-AA36</f>
        <v>-124.799583333341</v>
      </c>
      <c r="AB37" s="19" t="n">
        <f aca="false">AB33-AB36</f>
        <v>765.779583333344</v>
      </c>
      <c r="AC37" s="19" t="n">
        <f aca="false">AC33-AC36</f>
        <v>1656.35875</v>
      </c>
      <c r="AD37" s="19" t="n">
        <f aca="false">AD33-AD36</f>
        <v>2546.93791666667</v>
      </c>
      <c r="AE37" s="19" t="n">
        <f aca="false">AE33-AE36</f>
        <v>3437.51708333332</v>
      </c>
      <c r="AF37" s="19" t="n">
        <f aca="false">AF33-AF36</f>
        <v>-14513.7204166667</v>
      </c>
      <c r="AG37" s="19" t="n">
        <f aca="false">AG33-AG36</f>
        <v>-9815.63625</v>
      </c>
      <c r="AH37" s="19" t="n">
        <f aca="false">AH33-AH36</f>
        <v>-8212.59375</v>
      </c>
      <c r="AI37" s="19" t="n">
        <f aca="false">AI33-AI36</f>
        <v>-6609.55125</v>
      </c>
      <c r="AJ37" s="19" t="n">
        <f aca="false">AJ33-AJ36</f>
        <v>-5006.50875</v>
      </c>
      <c r="AK37" s="19" t="n">
        <f aca="false">AK33-AK36</f>
        <v>-3403.46625</v>
      </c>
      <c r="AL37" s="19" t="n">
        <f aca="false">AL33-AL36</f>
        <v>-1800.42375</v>
      </c>
      <c r="AM37" s="19" t="n">
        <f aca="false">AM33-AM36</f>
        <v>-197.381249999996</v>
      </c>
      <c r="AN37" s="19" t="n">
        <f aca="false">AN33-AN36</f>
        <v>1405.66125</v>
      </c>
      <c r="AO37" s="19" t="n">
        <f aca="false">AO33-AO36</f>
        <v>3008.70375</v>
      </c>
      <c r="AP37" s="19" t="n">
        <f aca="false">AP33-AP36</f>
        <v>4611.74625</v>
      </c>
      <c r="AQ37" s="19" t="n">
        <f aca="false">AQ33-AQ36</f>
        <v>6214.78875</v>
      </c>
    </row>
    <row r="38" customFormat="false" ht="15" hidden="false" customHeight="false" outlineLevel="0" collapsed="false">
      <c r="A38" s="5" t="s">
        <v>242</v>
      </c>
      <c r="B38" s="37" t="n">
        <f aca="false">SUMIFS(Financing_Plan!$E$5:$E$11,Financing_Plan!$B$5:$B$11,B3,Financing_Plan!$D$5:$D$11,"Equity",Financing_Plan!$F$5:$F$11,1)</f>
        <v>30000</v>
      </c>
      <c r="C38" s="37" t="n">
        <f aca="false">SUMIFS(Financing_Plan!$E$5:$E$11,Financing_Plan!$B$5:$B$11,C3,Financing_Plan!$D$5:$D$11,"Equity",Financing_Plan!$F$5:$F$11,1)</f>
        <v>0</v>
      </c>
      <c r="D38" s="37" t="n">
        <f aca="false">SUMIFS(Financing_Plan!$E$5:$E$11,Financing_Plan!$B$5:$B$11,D3,Financing_Plan!$D$5:$D$11,"Equity",Financing_Plan!$F$5:$F$11,1)</f>
        <v>0</v>
      </c>
      <c r="E38" s="37" t="n">
        <f aca="false">SUMIFS(Financing_Plan!$E$5:$E$11,Financing_Plan!$B$5:$B$11,E3,Financing_Plan!$D$5:$D$11,"Equity",Financing_Plan!$F$5:$F$11,1)</f>
        <v>0</v>
      </c>
      <c r="F38" s="37" t="n">
        <f aca="false">SUMIFS(Financing_Plan!$E$5:$E$11,Financing_Plan!$B$5:$B$11,F3,Financing_Plan!$D$5:$D$11,"Equity",Financing_Plan!$F$5:$F$11,1)</f>
        <v>0</v>
      </c>
      <c r="G38" s="37" t="n">
        <f aca="false">SUMIFS(Financing_Plan!$E$5:$E$11,Financing_Plan!$B$5:$B$11,G3,Financing_Plan!$D$5:$D$11,"Equity",Financing_Plan!$F$5:$F$11,1)</f>
        <v>0</v>
      </c>
      <c r="H38" s="37" t="n">
        <f aca="false">SUMIFS(Financing_Plan!$E$5:$E$11,Financing_Plan!$B$5:$B$11,H3,Financing_Plan!$D$5:$D$11,"Equity",Financing_Plan!$F$5:$F$11,1)</f>
        <v>0</v>
      </c>
      <c r="I38" s="37" t="n">
        <f aca="false">SUMIFS(Financing_Plan!$E$5:$E$11,Financing_Plan!$B$5:$B$11,I3,Financing_Plan!$D$5:$D$11,"Equity",Financing_Plan!$F$5:$F$11,1)</f>
        <v>0</v>
      </c>
      <c r="J38" s="37" t="n">
        <f aca="false">SUMIFS(Financing_Plan!$E$5:$E$11,Financing_Plan!$B$5:$B$11,J3,Financing_Plan!$D$5:$D$11,"Equity",Financing_Plan!$F$5:$F$11,1)</f>
        <v>0</v>
      </c>
      <c r="K38" s="37" t="n">
        <f aca="false">SUMIFS(Financing_Plan!$E$5:$E$11,Financing_Plan!$B$5:$B$11,K3,Financing_Plan!$D$5:$D$11,"Equity",Financing_Plan!$F$5:$F$11,1)</f>
        <v>0</v>
      </c>
      <c r="L38" s="37" t="n">
        <f aca="false">SUMIFS(Financing_Plan!$E$5:$E$11,Financing_Plan!$B$5:$B$11,L3,Financing_Plan!$D$5:$D$11,"Equity",Financing_Plan!$F$5:$F$11,1)</f>
        <v>0</v>
      </c>
      <c r="M38" s="37" t="n">
        <f aca="false">SUMIFS(Financing_Plan!$E$5:$E$11,Financing_Plan!$B$5:$B$11,M3,Financing_Plan!$D$5:$D$11,"Equity",Financing_Plan!$F$5:$F$11,1)</f>
        <v>0</v>
      </c>
      <c r="N38" s="37" t="n">
        <f aca="false">SUMIFS(Financing_Plan!$E$5:$E$11,Financing_Plan!$B$5:$B$11,N3,Financing_Plan!$D$5:$D$11,"Equity",Financing_Plan!$F$5:$F$11,1)</f>
        <v>0</v>
      </c>
      <c r="O38" s="37" t="n">
        <f aca="false">SUMIFS(Financing_Plan!$E$5:$E$11,Financing_Plan!$B$5:$B$11,O3,Financing_Plan!$D$5:$D$11,"Equity",Financing_Plan!$F$5:$F$11,1)</f>
        <v>0</v>
      </c>
      <c r="P38" s="37" t="n">
        <f aca="false">SUMIFS(Financing_Plan!$E$5:$E$11,Financing_Plan!$B$5:$B$11,P3,Financing_Plan!$D$5:$D$11,"Equity",Financing_Plan!$F$5:$F$11,1)</f>
        <v>0</v>
      </c>
      <c r="Q38" s="37" t="n">
        <f aca="false">SUMIFS(Financing_Plan!$E$5:$E$11,Financing_Plan!$B$5:$B$11,Q3,Financing_Plan!$D$5:$D$11,"Equity",Financing_Plan!$F$5:$F$11,1)</f>
        <v>0</v>
      </c>
      <c r="R38" s="37" t="n">
        <f aca="false">SUMIFS(Financing_Plan!$E$5:$E$11,Financing_Plan!$B$5:$B$11,R3,Financing_Plan!$D$5:$D$11,"Equity",Financing_Plan!$F$5:$F$11,1)</f>
        <v>0</v>
      </c>
      <c r="S38" s="37" t="n">
        <f aca="false">SUMIFS(Financing_Plan!$E$5:$E$11,Financing_Plan!$B$5:$B$11,S3,Financing_Plan!$D$5:$D$11,"Equity",Financing_Plan!$F$5:$F$11,1)</f>
        <v>0</v>
      </c>
      <c r="T38" s="37" t="n">
        <f aca="false">SUMIFS(Financing_Plan!$E$5:$E$11,Financing_Plan!$B$5:$B$11,T3,Financing_Plan!$D$5:$D$11,"Equity",Financing_Plan!$F$5:$F$11,1)</f>
        <v>0</v>
      </c>
      <c r="U38" s="37" t="n">
        <f aca="false">SUMIFS(Financing_Plan!$E$5:$E$11,Financing_Plan!$B$5:$B$11,U3,Financing_Plan!$D$5:$D$11,"Equity",Financing_Plan!$F$5:$F$11,1)</f>
        <v>0</v>
      </c>
      <c r="V38" s="37" t="n">
        <f aca="false">SUMIFS(Financing_Plan!$E$5:$E$11,Financing_Plan!$B$5:$B$11,V3,Financing_Plan!$D$5:$D$11,"Equity",Financing_Plan!$F$5:$F$11,1)</f>
        <v>0</v>
      </c>
      <c r="W38" s="37" t="n">
        <f aca="false">SUMIFS(Financing_Plan!$E$5:$E$11,Financing_Plan!$B$5:$B$11,W3,Financing_Plan!$D$5:$D$11,"Equity",Financing_Plan!$F$5:$F$11,1)</f>
        <v>0</v>
      </c>
      <c r="X38" s="37" t="n">
        <f aca="false">SUMIFS(Financing_Plan!$E$5:$E$11,Financing_Plan!$B$5:$B$11,X3,Financing_Plan!$D$5:$D$11,"Equity",Financing_Plan!$F$5:$F$11,1)</f>
        <v>0</v>
      </c>
      <c r="Y38" s="37" t="n">
        <f aca="false">SUMIFS(Financing_Plan!$E$5:$E$11,Financing_Plan!$B$5:$B$11,Y3,Financing_Plan!$D$5:$D$11,"Equity",Financing_Plan!$F$5:$F$11,1)</f>
        <v>0</v>
      </c>
      <c r="Z38" s="37" t="n">
        <f aca="false">SUMIFS(Financing_Plan!$E$5:$E$11,Financing_Plan!$B$5:$B$11,Z3,Financing_Plan!$D$5:$D$11,"Equity",Financing_Plan!$F$5:$F$11,1)</f>
        <v>0</v>
      </c>
      <c r="AA38" s="37" t="n">
        <f aca="false">SUMIFS(Financing_Plan!$E$5:$E$11,Financing_Plan!$B$5:$B$11,AA3,Financing_Plan!$D$5:$D$11,"Equity",Financing_Plan!$F$5:$F$11,1)</f>
        <v>0</v>
      </c>
      <c r="AB38" s="37" t="n">
        <f aca="false">SUMIFS(Financing_Plan!$E$5:$E$11,Financing_Plan!$B$5:$B$11,AB3,Financing_Plan!$D$5:$D$11,"Equity",Financing_Plan!$F$5:$F$11,1)</f>
        <v>0</v>
      </c>
      <c r="AC38" s="37" t="n">
        <f aca="false">SUMIFS(Financing_Plan!$E$5:$E$11,Financing_Plan!$B$5:$B$11,AC3,Financing_Plan!$D$5:$D$11,"Equity",Financing_Plan!$F$5:$F$11,1)</f>
        <v>0</v>
      </c>
      <c r="AD38" s="37" t="n">
        <f aca="false">SUMIFS(Financing_Plan!$E$5:$E$11,Financing_Plan!$B$5:$B$11,AD3,Financing_Plan!$D$5:$D$11,"Equity",Financing_Plan!$F$5:$F$11,1)</f>
        <v>0</v>
      </c>
      <c r="AE38" s="37" t="n">
        <f aca="false">SUMIFS(Financing_Plan!$E$5:$E$11,Financing_Plan!$B$5:$B$11,AE3,Financing_Plan!$D$5:$D$11,"Equity",Financing_Plan!$F$5:$F$11,1)</f>
        <v>0</v>
      </c>
      <c r="AF38" s="37" t="n">
        <f aca="false">SUMIFS(Financing_Plan!$E$5:$E$11,Financing_Plan!$B$5:$B$11,AF3,Financing_Plan!$D$5:$D$11,"Equity",Financing_Plan!$F$5:$F$11,1)</f>
        <v>0</v>
      </c>
      <c r="AG38" s="37" t="n">
        <f aca="false">SUMIFS(Financing_Plan!$E$5:$E$11,Financing_Plan!$B$5:$B$11,AG3,Financing_Plan!$D$5:$D$11,"Equity",Financing_Plan!$F$5:$F$11,1)</f>
        <v>0</v>
      </c>
      <c r="AH38" s="37" t="n">
        <f aca="false">SUMIFS(Financing_Plan!$E$5:$E$11,Financing_Plan!$B$5:$B$11,AH3,Financing_Plan!$D$5:$D$11,"Equity",Financing_Plan!$F$5:$F$11,1)</f>
        <v>0</v>
      </c>
      <c r="AI38" s="37" t="n">
        <f aca="false">SUMIFS(Financing_Plan!$E$5:$E$11,Financing_Plan!$B$5:$B$11,AI3,Financing_Plan!$D$5:$D$11,"Equity",Financing_Plan!$F$5:$F$11,1)</f>
        <v>0</v>
      </c>
      <c r="AJ38" s="37" t="n">
        <f aca="false">SUMIFS(Financing_Plan!$E$5:$E$11,Financing_Plan!$B$5:$B$11,AJ3,Financing_Plan!$D$5:$D$11,"Equity",Financing_Plan!$F$5:$F$11,1)</f>
        <v>0</v>
      </c>
      <c r="AK38" s="37" t="n">
        <f aca="false">SUMIFS(Financing_Plan!$E$5:$E$11,Financing_Plan!$B$5:$B$11,AK3,Financing_Plan!$D$5:$D$11,"Equity",Financing_Plan!$F$5:$F$11,1)</f>
        <v>0</v>
      </c>
      <c r="AL38" s="37" t="n">
        <f aca="false">SUMIFS(Financing_Plan!$E$5:$E$11,Financing_Plan!$B$5:$B$11,AL3,Financing_Plan!$D$5:$D$11,"Equity",Financing_Plan!$F$5:$F$11,1)</f>
        <v>0</v>
      </c>
      <c r="AM38" s="37" t="n">
        <f aca="false">SUMIFS(Financing_Plan!$E$5:$E$11,Financing_Plan!$B$5:$B$11,AM3,Financing_Plan!$D$5:$D$11,"Equity",Financing_Plan!$F$5:$F$11,1)</f>
        <v>0</v>
      </c>
      <c r="AN38" s="37" t="n">
        <f aca="false">SUMIFS(Financing_Plan!$E$5:$E$11,Financing_Plan!$B$5:$B$11,AN3,Financing_Plan!$D$5:$D$11,"Equity",Financing_Plan!$F$5:$F$11,1)</f>
        <v>0</v>
      </c>
      <c r="AO38" s="37" t="n">
        <f aca="false">SUMIFS(Financing_Plan!$E$5:$E$11,Financing_Plan!$B$5:$B$11,AO3,Financing_Plan!$D$5:$D$11,"Equity",Financing_Plan!$F$5:$F$11,1)</f>
        <v>0</v>
      </c>
      <c r="AP38" s="37" t="n">
        <f aca="false">SUMIFS(Financing_Plan!$E$5:$E$11,Financing_Plan!$B$5:$B$11,AP3,Financing_Plan!$D$5:$D$11,"Equity",Financing_Plan!$F$5:$F$11,1)</f>
        <v>0</v>
      </c>
      <c r="AQ38" s="37" t="n">
        <f aca="false">SUMIFS(Financing_Plan!$E$5:$E$11,Financing_Plan!$B$5:$B$11,AQ3,Financing_Plan!$D$5:$D$11,"Equity",Financing_Plan!$F$5:$F$11,1)</f>
        <v>0</v>
      </c>
    </row>
    <row r="39" customFormat="false" ht="15" hidden="false" customHeight="false" outlineLevel="0" collapsed="false">
      <c r="A39" s="5" t="s">
        <v>243</v>
      </c>
      <c r="B39" s="37" t="n">
        <f aca="false">SUMIFS(Financing_Plan!$E$5:$E$11,Financing_Plan!$B$5:$B$11,B3,Financing_Plan!$D$5:$D$11,"Debt",Financing_Plan!$F$5:$F$11,1)</f>
        <v>0</v>
      </c>
      <c r="C39" s="37" t="n">
        <f aca="false">SUMIFS(Financing_Plan!$E$5:$E$11,Financing_Plan!$B$5:$B$11,C3,Financing_Plan!$D$5:$D$11,"Debt",Financing_Plan!$F$5:$F$11,1)</f>
        <v>0</v>
      </c>
      <c r="D39" s="37" t="n">
        <f aca="false">SUMIFS(Financing_Plan!$E$5:$E$11,Financing_Plan!$B$5:$B$11,D3,Financing_Plan!$D$5:$D$11,"Debt",Financing_Plan!$F$5:$F$11,1)</f>
        <v>0</v>
      </c>
      <c r="E39" s="37" t="n">
        <f aca="false">SUMIFS(Financing_Plan!$E$5:$E$11,Financing_Plan!$B$5:$B$11,E3,Financing_Plan!$D$5:$D$11,"Debt",Financing_Plan!$F$5:$F$11,1)</f>
        <v>0</v>
      </c>
      <c r="F39" s="37" t="n">
        <f aca="false">SUMIFS(Financing_Plan!$E$5:$E$11,Financing_Plan!$B$5:$B$11,F3,Financing_Plan!$D$5:$D$11,"Debt",Financing_Plan!$F$5:$F$11,1)</f>
        <v>0</v>
      </c>
      <c r="G39" s="37" t="n">
        <f aca="false">SUMIFS(Financing_Plan!$E$5:$E$11,Financing_Plan!$B$5:$B$11,G3,Financing_Plan!$D$5:$D$11,"Debt",Financing_Plan!$F$5:$F$11,1)</f>
        <v>0</v>
      </c>
      <c r="H39" s="37" t="n">
        <f aca="false">SUMIFS(Financing_Plan!$E$5:$E$11,Financing_Plan!$B$5:$B$11,H3,Financing_Plan!$D$5:$D$11,"Debt",Financing_Plan!$F$5:$F$11,1)</f>
        <v>0</v>
      </c>
      <c r="I39" s="37" t="n">
        <f aca="false">SUMIFS(Financing_Plan!$E$5:$E$11,Financing_Plan!$B$5:$B$11,I3,Financing_Plan!$D$5:$D$11,"Debt",Financing_Plan!$F$5:$F$11,1)</f>
        <v>0</v>
      </c>
      <c r="J39" s="37" t="n">
        <f aca="false">SUMIFS(Financing_Plan!$E$5:$E$11,Financing_Plan!$B$5:$B$11,J3,Financing_Plan!$D$5:$D$11,"Debt",Financing_Plan!$F$5:$F$11,1)</f>
        <v>0</v>
      </c>
      <c r="K39" s="37" t="n">
        <f aca="false">SUMIFS(Financing_Plan!$E$5:$E$11,Financing_Plan!$B$5:$B$11,K3,Financing_Plan!$D$5:$D$11,"Debt",Financing_Plan!$F$5:$F$11,1)</f>
        <v>0</v>
      </c>
      <c r="L39" s="37" t="n">
        <f aca="false">SUMIFS(Financing_Plan!$E$5:$E$11,Financing_Plan!$B$5:$B$11,L3,Financing_Plan!$D$5:$D$11,"Debt",Financing_Plan!$F$5:$F$11,1)</f>
        <v>0</v>
      </c>
      <c r="M39" s="37" t="n">
        <f aca="false">SUMIFS(Financing_Plan!$E$5:$E$11,Financing_Plan!$B$5:$B$11,M3,Financing_Plan!$D$5:$D$11,"Debt",Financing_Plan!$F$5:$F$11,1)</f>
        <v>0</v>
      </c>
      <c r="N39" s="37" t="n">
        <f aca="false">SUMIFS(Financing_Plan!$E$5:$E$11,Financing_Plan!$B$5:$B$11,N3,Financing_Plan!$D$5:$D$11,"Debt",Financing_Plan!$F$5:$F$11,1)</f>
        <v>0</v>
      </c>
      <c r="O39" s="37" t="n">
        <f aca="false">SUMIFS(Financing_Plan!$E$5:$E$11,Financing_Plan!$B$5:$B$11,O3,Financing_Plan!$D$5:$D$11,"Debt",Financing_Plan!$F$5:$F$11,1)</f>
        <v>0</v>
      </c>
      <c r="P39" s="37" t="n">
        <f aca="false">SUMIFS(Financing_Plan!$E$5:$E$11,Financing_Plan!$B$5:$B$11,P3,Financing_Plan!$D$5:$D$11,"Debt",Financing_Plan!$F$5:$F$11,1)</f>
        <v>0</v>
      </c>
      <c r="Q39" s="37" t="n">
        <f aca="false">SUMIFS(Financing_Plan!$E$5:$E$11,Financing_Plan!$B$5:$B$11,Q3,Financing_Plan!$D$5:$D$11,"Debt",Financing_Plan!$F$5:$F$11,1)</f>
        <v>0</v>
      </c>
      <c r="R39" s="37" t="n">
        <f aca="false">SUMIFS(Financing_Plan!$E$5:$E$11,Financing_Plan!$B$5:$B$11,R3,Financing_Plan!$D$5:$D$11,"Debt",Financing_Plan!$F$5:$F$11,1)</f>
        <v>0</v>
      </c>
      <c r="S39" s="37" t="n">
        <f aca="false">SUMIFS(Financing_Plan!$E$5:$E$11,Financing_Plan!$B$5:$B$11,S3,Financing_Plan!$D$5:$D$11,"Debt",Financing_Plan!$F$5:$F$11,1)</f>
        <v>0</v>
      </c>
      <c r="T39" s="37" t="n">
        <f aca="false">SUMIFS(Financing_Plan!$E$5:$E$11,Financing_Plan!$B$5:$B$11,T3,Financing_Plan!$D$5:$D$11,"Debt",Financing_Plan!$F$5:$F$11,1)</f>
        <v>0</v>
      </c>
      <c r="U39" s="37" t="n">
        <f aca="false">SUMIFS(Financing_Plan!$E$5:$E$11,Financing_Plan!$B$5:$B$11,U3,Financing_Plan!$D$5:$D$11,"Debt",Financing_Plan!$F$5:$F$11,1)</f>
        <v>0</v>
      </c>
      <c r="V39" s="37" t="n">
        <f aca="false">SUMIFS(Financing_Plan!$E$5:$E$11,Financing_Plan!$B$5:$B$11,V3,Financing_Plan!$D$5:$D$11,"Debt",Financing_Plan!$F$5:$F$11,1)</f>
        <v>0</v>
      </c>
      <c r="W39" s="37" t="n">
        <f aca="false">SUMIFS(Financing_Plan!$E$5:$E$11,Financing_Plan!$B$5:$B$11,W3,Financing_Plan!$D$5:$D$11,"Debt",Financing_Plan!$F$5:$F$11,1)</f>
        <v>0</v>
      </c>
      <c r="X39" s="37" t="n">
        <f aca="false">SUMIFS(Financing_Plan!$E$5:$E$11,Financing_Plan!$B$5:$B$11,X3,Financing_Plan!$D$5:$D$11,"Debt",Financing_Plan!$F$5:$F$11,1)</f>
        <v>0</v>
      </c>
      <c r="Y39" s="37" t="n">
        <f aca="false">SUMIFS(Financing_Plan!$E$5:$E$11,Financing_Plan!$B$5:$B$11,Y3,Financing_Plan!$D$5:$D$11,"Debt",Financing_Plan!$F$5:$F$11,1)</f>
        <v>0</v>
      </c>
      <c r="Z39" s="37" t="n">
        <f aca="false">SUMIFS(Financing_Plan!$E$5:$E$11,Financing_Plan!$B$5:$B$11,Z3,Financing_Plan!$D$5:$D$11,"Debt",Financing_Plan!$F$5:$F$11,1)</f>
        <v>0</v>
      </c>
      <c r="AA39" s="37" t="n">
        <f aca="false">SUMIFS(Financing_Plan!$E$5:$E$11,Financing_Plan!$B$5:$B$11,AA3,Financing_Plan!$D$5:$D$11,"Debt",Financing_Plan!$F$5:$F$11,1)</f>
        <v>0</v>
      </c>
      <c r="AB39" s="37" t="n">
        <f aca="false">SUMIFS(Financing_Plan!$E$5:$E$11,Financing_Plan!$B$5:$B$11,AB3,Financing_Plan!$D$5:$D$11,"Debt",Financing_Plan!$F$5:$F$11,1)</f>
        <v>0</v>
      </c>
      <c r="AC39" s="37" t="n">
        <f aca="false">SUMIFS(Financing_Plan!$E$5:$E$11,Financing_Plan!$B$5:$B$11,AC3,Financing_Plan!$D$5:$D$11,"Debt",Financing_Plan!$F$5:$F$11,1)</f>
        <v>0</v>
      </c>
      <c r="AD39" s="37" t="n">
        <f aca="false">SUMIFS(Financing_Plan!$E$5:$E$11,Financing_Plan!$B$5:$B$11,AD3,Financing_Plan!$D$5:$D$11,"Debt",Financing_Plan!$F$5:$F$11,1)</f>
        <v>0</v>
      </c>
      <c r="AE39" s="37" t="n">
        <f aca="false">SUMIFS(Financing_Plan!$E$5:$E$11,Financing_Plan!$B$5:$B$11,AE3,Financing_Plan!$D$5:$D$11,"Debt",Financing_Plan!$F$5:$F$11,1)</f>
        <v>0</v>
      </c>
      <c r="AF39" s="37" t="n">
        <f aca="false">SUMIFS(Financing_Plan!$E$5:$E$11,Financing_Plan!$B$5:$B$11,AF3,Financing_Plan!$D$5:$D$11,"Debt",Financing_Plan!$F$5:$F$11,1)</f>
        <v>0</v>
      </c>
      <c r="AG39" s="37" t="n">
        <f aca="false">SUMIFS(Financing_Plan!$E$5:$E$11,Financing_Plan!$B$5:$B$11,AG3,Financing_Plan!$D$5:$D$11,"Debt",Financing_Plan!$F$5:$F$11,1)</f>
        <v>0</v>
      </c>
      <c r="AH39" s="37" t="n">
        <f aca="false">SUMIFS(Financing_Plan!$E$5:$E$11,Financing_Plan!$B$5:$B$11,AH3,Financing_Plan!$D$5:$D$11,"Debt",Financing_Plan!$F$5:$F$11,1)</f>
        <v>0</v>
      </c>
      <c r="AI39" s="37" t="n">
        <f aca="false">SUMIFS(Financing_Plan!$E$5:$E$11,Financing_Plan!$B$5:$B$11,AI3,Financing_Plan!$D$5:$D$11,"Debt",Financing_Plan!$F$5:$F$11,1)</f>
        <v>0</v>
      </c>
      <c r="AJ39" s="37" t="n">
        <f aca="false">SUMIFS(Financing_Plan!$E$5:$E$11,Financing_Plan!$B$5:$B$11,AJ3,Financing_Plan!$D$5:$D$11,"Debt",Financing_Plan!$F$5:$F$11,1)</f>
        <v>0</v>
      </c>
      <c r="AK39" s="37" t="n">
        <f aca="false">SUMIFS(Financing_Plan!$E$5:$E$11,Financing_Plan!$B$5:$B$11,AK3,Financing_Plan!$D$5:$D$11,"Debt",Financing_Plan!$F$5:$F$11,1)</f>
        <v>0</v>
      </c>
      <c r="AL39" s="37" t="n">
        <f aca="false">SUMIFS(Financing_Plan!$E$5:$E$11,Financing_Plan!$B$5:$B$11,AL3,Financing_Plan!$D$5:$D$11,"Debt",Financing_Plan!$F$5:$F$11,1)</f>
        <v>0</v>
      </c>
      <c r="AM39" s="37" t="n">
        <f aca="false">SUMIFS(Financing_Plan!$E$5:$E$11,Financing_Plan!$B$5:$B$11,AM3,Financing_Plan!$D$5:$D$11,"Debt",Financing_Plan!$F$5:$F$11,1)</f>
        <v>0</v>
      </c>
      <c r="AN39" s="37" t="n">
        <f aca="false">SUMIFS(Financing_Plan!$E$5:$E$11,Financing_Plan!$B$5:$B$11,AN3,Financing_Plan!$D$5:$D$11,"Debt",Financing_Plan!$F$5:$F$11,1)</f>
        <v>0</v>
      </c>
      <c r="AO39" s="37" t="n">
        <f aca="false">SUMIFS(Financing_Plan!$E$5:$E$11,Financing_Plan!$B$5:$B$11,AO3,Financing_Plan!$D$5:$D$11,"Debt",Financing_Plan!$F$5:$F$11,1)</f>
        <v>0</v>
      </c>
      <c r="AP39" s="37" t="n">
        <f aca="false">SUMIFS(Financing_Plan!$E$5:$E$11,Financing_Plan!$B$5:$B$11,AP3,Financing_Plan!$D$5:$D$11,"Debt",Financing_Plan!$F$5:$F$11,1)</f>
        <v>0</v>
      </c>
      <c r="AQ39" s="37" t="n">
        <f aca="false">SUMIFS(Financing_Plan!$E$5:$E$11,Financing_Plan!$B$5:$B$11,AQ3,Financing_Plan!$D$5:$D$11,"Debt",Financing_Plan!$F$5:$F$11,1)</f>
        <v>0</v>
      </c>
    </row>
    <row r="40" customFormat="false" ht="15" hidden="false" customHeight="false" outlineLevel="0" collapsed="false">
      <c r="A40" s="5" t="s">
        <v>244</v>
      </c>
      <c r="B40" s="37" t="n">
        <f aca="false">SUMIFS(Financing_Plan!$E$5:$E$11,Financing_Plan!$B$5:$B$11,B3,Financing_Plan!$D$5:$D$11,"Repayment",Financing_Plan!$F$5:$F$11,1)</f>
        <v>0</v>
      </c>
      <c r="C40" s="37" t="n">
        <f aca="false">SUMIFS(Financing_Plan!$E$5:$E$11,Financing_Plan!$B$5:$B$11,C3,Financing_Plan!$D$5:$D$11,"Repayment",Financing_Plan!$F$5:$F$11,1)</f>
        <v>0</v>
      </c>
      <c r="D40" s="37" t="n">
        <f aca="false">SUMIFS(Financing_Plan!$E$5:$E$11,Financing_Plan!$B$5:$B$11,D3,Financing_Plan!$D$5:$D$11,"Repayment",Financing_Plan!$F$5:$F$11,1)</f>
        <v>0</v>
      </c>
      <c r="E40" s="37" t="n">
        <f aca="false">SUMIFS(Financing_Plan!$E$5:$E$11,Financing_Plan!$B$5:$B$11,E3,Financing_Plan!$D$5:$D$11,"Repayment",Financing_Plan!$F$5:$F$11,1)</f>
        <v>0</v>
      </c>
      <c r="F40" s="37" t="n">
        <f aca="false">SUMIFS(Financing_Plan!$E$5:$E$11,Financing_Plan!$B$5:$B$11,F3,Financing_Plan!$D$5:$D$11,"Repayment",Financing_Plan!$F$5:$F$11,1)</f>
        <v>0</v>
      </c>
      <c r="G40" s="37" t="n">
        <f aca="false">SUMIFS(Financing_Plan!$E$5:$E$11,Financing_Plan!$B$5:$B$11,G3,Financing_Plan!$D$5:$D$11,"Repayment",Financing_Plan!$F$5:$F$11,1)</f>
        <v>0</v>
      </c>
      <c r="H40" s="37" t="n">
        <f aca="false">SUMIFS(Financing_Plan!$E$5:$E$11,Financing_Plan!$B$5:$B$11,H3,Financing_Plan!$D$5:$D$11,"Repayment",Financing_Plan!$F$5:$F$11,1)</f>
        <v>0</v>
      </c>
      <c r="I40" s="37" t="n">
        <f aca="false">SUMIFS(Financing_Plan!$E$5:$E$11,Financing_Plan!$B$5:$B$11,I3,Financing_Plan!$D$5:$D$11,"Repayment",Financing_Plan!$F$5:$F$11,1)</f>
        <v>0</v>
      </c>
      <c r="J40" s="37" t="n">
        <f aca="false">SUMIFS(Financing_Plan!$E$5:$E$11,Financing_Plan!$B$5:$B$11,J3,Financing_Plan!$D$5:$D$11,"Repayment",Financing_Plan!$F$5:$F$11,1)</f>
        <v>0</v>
      </c>
      <c r="K40" s="37" t="n">
        <f aca="false">SUMIFS(Financing_Plan!$E$5:$E$11,Financing_Plan!$B$5:$B$11,K3,Financing_Plan!$D$5:$D$11,"Repayment",Financing_Plan!$F$5:$F$11,1)</f>
        <v>0</v>
      </c>
      <c r="L40" s="37" t="n">
        <f aca="false">SUMIFS(Financing_Plan!$E$5:$E$11,Financing_Plan!$B$5:$B$11,L3,Financing_Plan!$D$5:$D$11,"Repayment",Financing_Plan!$F$5:$F$11,1)</f>
        <v>0</v>
      </c>
      <c r="M40" s="37" t="n">
        <f aca="false">SUMIFS(Financing_Plan!$E$5:$E$11,Financing_Plan!$B$5:$B$11,M3,Financing_Plan!$D$5:$D$11,"Repayment",Financing_Plan!$F$5:$F$11,1)</f>
        <v>0</v>
      </c>
      <c r="N40" s="37" t="n">
        <f aca="false">SUMIFS(Financing_Plan!$E$5:$E$11,Financing_Plan!$B$5:$B$11,N3,Financing_Plan!$D$5:$D$11,"Repayment",Financing_Plan!$F$5:$F$11,1)</f>
        <v>0</v>
      </c>
      <c r="O40" s="37" t="n">
        <f aca="false">SUMIFS(Financing_Plan!$E$5:$E$11,Financing_Plan!$B$5:$B$11,O3,Financing_Plan!$D$5:$D$11,"Repayment",Financing_Plan!$F$5:$F$11,1)</f>
        <v>0</v>
      </c>
      <c r="P40" s="37" t="n">
        <f aca="false">SUMIFS(Financing_Plan!$E$5:$E$11,Financing_Plan!$B$5:$B$11,P3,Financing_Plan!$D$5:$D$11,"Repayment",Financing_Plan!$F$5:$F$11,1)</f>
        <v>0</v>
      </c>
      <c r="Q40" s="37" t="n">
        <f aca="false">SUMIFS(Financing_Plan!$E$5:$E$11,Financing_Plan!$B$5:$B$11,Q3,Financing_Plan!$D$5:$D$11,"Repayment",Financing_Plan!$F$5:$F$11,1)</f>
        <v>0</v>
      </c>
      <c r="R40" s="37" t="n">
        <f aca="false">SUMIFS(Financing_Plan!$E$5:$E$11,Financing_Plan!$B$5:$B$11,R3,Financing_Plan!$D$5:$D$11,"Repayment",Financing_Plan!$F$5:$F$11,1)</f>
        <v>0</v>
      </c>
      <c r="S40" s="37" t="n">
        <f aca="false">SUMIFS(Financing_Plan!$E$5:$E$11,Financing_Plan!$B$5:$B$11,S3,Financing_Plan!$D$5:$D$11,"Repayment",Financing_Plan!$F$5:$F$11,1)</f>
        <v>0</v>
      </c>
      <c r="T40" s="37" t="n">
        <f aca="false">SUMIFS(Financing_Plan!$E$5:$E$11,Financing_Plan!$B$5:$B$11,T3,Financing_Plan!$D$5:$D$11,"Repayment",Financing_Plan!$F$5:$F$11,1)</f>
        <v>0</v>
      </c>
      <c r="U40" s="37" t="n">
        <f aca="false">SUMIFS(Financing_Plan!$E$5:$E$11,Financing_Plan!$B$5:$B$11,U3,Financing_Plan!$D$5:$D$11,"Repayment",Financing_Plan!$F$5:$F$11,1)</f>
        <v>0</v>
      </c>
      <c r="V40" s="37" t="n">
        <f aca="false">SUMIFS(Financing_Plan!$E$5:$E$11,Financing_Plan!$B$5:$B$11,V3,Financing_Plan!$D$5:$D$11,"Repayment",Financing_Plan!$F$5:$F$11,1)</f>
        <v>0</v>
      </c>
      <c r="W40" s="37" t="n">
        <f aca="false">SUMIFS(Financing_Plan!$E$5:$E$11,Financing_Plan!$B$5:$B$11,W3,Financing_Plan!$D$5:$D$11,"Repayment",Financing_Plan!$F$5:$F$11,1)</f>
        <v>0</v>
      </c>
      <c r="X40" s="37" t="n">
        <f aca="false">SUMIFS(Financing_Plan!$E$5:$E$11,Financing_Plan!$B$5:$B$11,X3,Financing_Plan!$D$5:$D$11,"Repayment",Financing_Plan!$F$5:$F$11,1)</f>
        <v>0</v>
      </c>
      <c r="Y40" s="37" t="n">
        <f aca="false">SUMIFS(Financing_Plan!$E$5:$E$11,Financing_Plan!$B$5:$B$11,Y3,Financing_Plan!$D$5:$D$11,"Repayment",Financing_Plan!$F$5:$F$11,1)</f>
        <v>0</v>
      </c>
      <c r="Z40" s="37" t="n">
        <f aca="false">SUMIFS(Financing_Plan!$E$5:$E$11,Financing_Plan!$B$5:$B$11,Z3,Financing_Plan!$D$5:$D$11,"Repayment",Financing_Plan!$F$5:$F$11,1)</f>
        <v>0</v>
      </c>
      <c r="AA40" s="37" t="n">
        <f aca="false">SUMIFS(Financing_Plan!$E$5:$E$11,Financing_Plan!$B$5:$B$11,AA3,Financing_Plan!$D$5:$D$11,"Repayment",Financing_Plan!$F$5:$F$11,1)</f>
        <v>0</v>
      </c>
      <c r="AB40" s="37" t="n">
        <f aca="false">SUMIFS(Financing_Plan!$E$5:$E$11,Financing_Plan!$B$5:$B$11,AB3,Financing_Plan!$D$5:$D$11,"Repayment",Financing_Plan!$F$5:$F$11,1)</f>
        <v>0</v>
      </c>
      <c r="AC40" s="37" t="n">
        <f aca="false">SUMIFS(Financing_Plan!$E$5:$E$11,Financing_Plan!$B$5:$B$11,AC3,Financing_Plan!$D$5:$D$11,"Repayment",Financing_Plan!$F$5:$F$11,1)</f>
        <v>0</v>
      </c>
      <c r="AD40" s="37" t="n">
        <f aca="false">SUMIFS(Financing_Plan!$E$5:$E$11,Financing_Plan!$B$5:$B$11,AD3,Financing_Plan!$D$5:$D$11,"Repayment",Financing_Plan!$F$5:$F$11,1)</f>
        <v>0</v>
      </c>
      <c r="AE40" s="37" t="n">
        <f aca="false">SUMIFS(Financing_Plan!$E$5:$E$11,Financing_Plan!$B$5:$B$11,AE3,Financing_Plan!$D$5:$D$11,"Repayment",Financing_Plan!$F$5:$F$11,1)</f>
        <v>0</v>
      </c>
      <c r="AF40" s="37" t="n">
        <f aca="false">SUMIFS(Financing_Plan!$E$5:$E$11,Financing_Plan!$B$5:$B$11,AF3,Financing_Plan!$D$5:$D$11,"Repayment",Financing_Plan!$F$5:$F$11,1)</f>
        <v>0</v>
      </c>
      <c r="AG40" s="37" t="n">
        <f aca="false">SUMIFS(Financing_Plan!$E$5:$E$11,Financing_Plan!$B$5:$B$11,AG3,Financing_Plan!$D$5:$D$11,"Repayment",Financing_Plan!$F$5:$F$11,1)</f>
        <v>0</v>
      </c>
      <c r="AH40" s="37" t="n">
        <f aca="false">SUMIFS(Financing_Plan!$E$5:$E$11,Financing_Plan!$B$5:$B$11,AH3,Financing_Plan!$D$5:$D$11,"Repayment",Financing_Plan!$F$5:$F$11,1)</f>
        <v>0</v>
      </c>
      <c r="AI40" s="37" t="n">
        <f aca="false">SUMIFS(Financing_Plan!$E$5:$E$11,Financing_Plan!$B$5:$B$11,AI3,Financing_Plan!$D$5:$D$11,"Repayment",Financing_Plan!$F$5:$F$11,1)</f>
        <v>0</v>
      </c>
      <c r="AJ40" s="37" t="n">
        <f aca="false">SUMIFS(Financing_Plan!$E$5:$E$11,Financing_Plan!$B$5:$B$11,AJ3,Financing_Plan!$D$5:$D$11,"Repayment",Financing_Plan!$F$5:$F$11,1)</f>
        <v>0</v>
      </c>
      <c r="AK40" s="37" t="n">
        <f aca="false">SUMIFS(Financing_Plan!$E$5:$E$11,Financing_Plan!$B$5:$B$11,AK3,Financing_Plan!$D$5:$D$11,"Repayment",Financing_Plan!$F$5:$F$11,1)</f>
        <v>0</v>
      </c>
      <c r="AL40" s="37" t="n">
        <f aca="false">SUMIFS(Financing_Plan!$E$5:$E$11,Financing_Plan!$B$5:$B$11,AL3,Financing_Plan!$D$5:$D$11,"Repayment",Financing_Plan!$F$5:$F$11,1)</f>
        <v>0</v>
      </c>
      <c r="AM40" s="37" t="n">
        <f aca="false">SUMIFS(Financing_Plan!$E$5:$E$11,Financing_Plan!$B$5:$B$11,AM3,Financing_Plan!$D$5:$D$11,"Repayment",Financing_Plan!$F$5:$F$11,1)</f>
        <v>0</v>
      </c>
      <c r="AN40" s="37" t="n">
        <f aca="false">SUMIFS(Financing_Plan!$E$5:$E$11,Financing_Plan!$B$5:$B$11,AN3,Financing_Plan!$D$5:$D$11,"Repayment",Financing_Plan!$F$5:$F$11,1)</f>
        <v>0</v>
      </c>
      <c r="AO40" s="37" t="n">
        <f aca="false">SUMIFS(Financing_Plan!$E$5:$E$11,Financing_Plan!$B$5:$B$11,AO3,Financing_Plan!$D$5:$D$11,"Repayment",Financing_Plan!$F$5:$F$11,1)</f>
        <v>0</v>
      </c>
      <c r="AP40" s="37" t="n">
        <f aca="false">SUMIFS(Financing_Plan!$E$5:$E$11,Financing_Plan!$B$5:$B$11,AP3,Financing_Plan!$D$5:$D$11,"Repayment",Financing_Plan!$F$5:$F$11,1)</f>
        <v>0</v>
      </c>
      <c r="AQ40" s="37" t="n">
        <f aca="false">SUMIFS(Financing_Plan!$E$5:$E$11,Financing_Plan!$B$5:$B$11,AQ3,Financing_Plan!$D$5:$D$11,"Repayment",Financing_Plan!$F$5:$F$11,1)</f>
        <v>0</v>
      </c>
    </row>
    <row r="41" customFormat="false" ht="15" hidden="false" customHeight="false" outlineLevel="0" collapsed="false">
      <c r="A41" s="5" t="s">
        <v>245</v>
      </c>
      <c r="B41" s="37" t="n">
        <f aca="false">SUMIFS(Financing_Plan!$E$5:$E$11,Financing_Plan!$B$5:$B$11,B3,Financing_Plan!$D$5:$D$11,"Grant",Financing_Plan!$F$5:$F$11,1)</f>
        <v>0</v>
      </c>
      <c r="C41" s="37" t="n">
        <f aca="false">SUMIFS(Financing_Plan!$E$5:$E$11,Financing_Plan!$B$5:$B$11,C3,Financing_Plan!$D$5:$D$11,"Grant",Financing_Plan!$F$5:$F$11,1)</f>
        <v>0</v>
      </c>
      <c r="D41" s="37" t="n">
        <f aca="false">SUMIFS(Financing_Plan!$E$5:$E$11,Financing_Plan!$B$5:$B$11,D3,Financing_Plan!$D$5:$D$11,"Grant",Financing_Plan!$F$5:$F$11,1)</f>
        <v>0</v>
      </c>
      <c r="E41" s="37" t="n">
        <f aca="false">SUMIFS(Financing_Plan!$E$5:$E$11,Financing_Plan!$B$5:$B$11,E3,Financing_Plan!$D$5:$D$11,"Grant",Financing_Plan!$F$5:$F$11,1)</f>
        <v>0</v>
      </c>
      <c r="F41" s="37" t="n">
        <f aca="false">SUMIFS(Financing_Plan!$E$5:$E$11,Financing_Plan!$B$5:$B$11,F3,Financing_Plan!$D$5:$D$11,"Grant",Financing_Plan!$F$5:$F$11,1)</f>
        <v>0</v>
      </c>
      <c r="G41" s="37" t="n">
        <f aca="false">SUMIFS(Financing_Plan!$E$5:$E$11,Financing_Plan!$B$5:$B$11,G3,Financing_Plan!$D$5:$D$11,"Grant",Financing_Plan!$F$5:$F$11,1)</f>
        <v>0</v>
      </c>
      <c r="H41" s="37" t="n">
        <f aca="false">SUMIFS(Financing_Plan!$E$5:$E$11,Financing_Plan!$B$5:$B$11,H3,Financing_Plan!$D$5:$D$11,"Grant",Financing_Plan!$F$5:$F$11,1)</f>
        <v>0</v>
      </c>
      <c r="I41" s="37" t="n">
        <f aca="false">SUMIFS(Financing_Plan!$E$5:$E$11,Financing_Plan!$B$5:$B$11,I3,Financing_Plan!$D$5:$D$11,"Grant",Financing_Plan!$F$5:$F$11,1)</f>
        <v>0</v>
      </c>
      <c r="J41" s="37" t="n">
        <f aca="false">SUMIFS(Financing_Plan!$E$5:$E$11,Financing_Plan!$B$5:$B$11,J3,Financing_Plan!$D$5:$D$11,"Grant",Financing_Plan!$F$5:$F$11,1)</f>
        <v>0</v>
      </c>
      <c r="K41" s="37" t="n">
        <f aca="false">SUMIFS(Financing_Plan!$E$5:$E$11,Financing_Plan!$B$5:$B$11,K3,Financing_Plan!$D$5:$D$11,"Grant",Financing_Plan!$F$5:$F$11,1)</f>
        <v>0</v>
      </c>
      <c r="L41" s="37" t="n">
        <f aca="false">SUMIFS(Financing_Plan!$E$5:$E$11,Financing_Plan!$B$5:$B$11,L3,Financing_Plan!$D$5:$D$11,"Grant",Financing_Plan!$F$5:$F$11,1)</f>
        <v>0</v>
      </c>
      <c r="M41" s="37" t="n">
        <f aca="false">SUMIFS(Financing_Plan!$E$5:$E$11,Financing_Plan!$B$5:$B$11,M3,Financing_Plan!$D$5:$D$11,"Grant",Financing_Plan!$F$5:$F$11,1)</f>
        <v>0</v>
      </c>
      <c r="N41" s="37" t="n">
        <f aca="false">SUMIFS(Financing_Plan!$E$5:$E$11,Financing_Plan!$B$5:$B$11,N3,Financing_Plan!$D$5:$D$11,"Grant",Financing_Plan!$F$5:$F$11,1)</f>
        <v>0</v>
      </c>
      <c r="O41" s="37" t="n">
        <f aca="false">SUMIFS(Financing_Plan!$E$5:$E$11,Financing_Plan!$B$5:$B$11,O3,Financing_Plan!$D$5:$D$11,"Grant",Financing_Plan!$F$5:$F$11,1)</f>
        <v>0</v>
      </c>
      <c r="P41" s="37" t="n">
        <f aca="false">SUMIFS(Financing_Plan!$E$5:$E$11,Financing_Plan!$B$5:$B$11,P3,Financing_Plan!$D$5:$D$11,"Grant",Financing_Plan!$F$5:$F$11,1)</f>
        <v>0</v>
      </c>
      <c r="Q41" s="37" t="n">
        <f aca="false">SUMIFS(Financing_Plan!$E$5:$E$11,Financing_Plan!$B$5:$B$11,Q3,Financing_Plan!$D$5:$D$11,"Grant",Financing_Plan!$F$5:$F$11,1)</f>
        <v>0</v>
      </c>
      <c r="R41" s="37" t="n">
        <f aca="false">SUMIFS(Financing_Plan!$E$5:$E$11,Financing_Plan!$B$5:$B$11,R3,Financing_Plan!$D$5:$D$11,"Grant",Financing_Plan!$F$5:$F$11,1)</f>
        <v>0</v>
      </c>
      <c r="S41" s="37" t="n">
        <f aca="false">SUMIFS(Financing_Plan!$E$5:$E$11,Financing_Plan!$B$5:$B$11,S3,Financing_Plan!$D$5:$D$11,"Grant",Financing_Plan!$F$5:$F$11,1)</f>
        <v>0</v>
      </c>
      <c r="T41" s="37" t="n">
        <f aca="false">SUMIFS(Financing_Plan!$E$5:$E$11,Financing_Plan!$B$5:$B$11,T3,Financing_Plan!$D$5:$D$11,"Grant",Financing_Plan!$F$5:$F$11,1)</f>
        <v>0</v>
      </c>
      <c r="U41" s="37" t="n">
        <f aca="false">SUMIFS(Financing_Plan!$E$5:$E$11,Financing_Plan!$B$5:$B$11,U3,Financing_Plan!$D$5:$D$11,"Grant",Financing_Plan!$F$5:$F$11,1)</f>
        <v>0</v>
      </c>
      <c r="V41" s="37" t="n">
        <f aca="false">SUMIFS(Financing_Plan!$E$5:$E$11,Financing_Plan!$B$5:$B$11,V3,Financing_Plan!$D$5:$D$11,"Grant",Financing_Plan!$F$5:$F$11,1)</f>
        <v>0</v>
      </c>
      <c r="W41" s="37" t="n">
        <f aca="false">SUMIFS(Financing_Plan!$E$5:$E$11,Financing_Plan!$B$5:$B$11,W3,Financing_Plan!$D$5:$D$11,"Grant",Financing_Plan!$F$5:$F$11,1)</f>
        <v>0</v>
      </c>
      <c r="X41" s="37" t="n">
        <f aca="false">SUMIFS(Financing_Plan!$E$5:$E$11,Financing_Plan!$B$5:$B$11,X3,Financing_Plan!$D$5:$D$11,"Grant",Financing_Plan!$F$5:$F$11,1)</f>
        <v>0</v>
      </c>
      <c r="Y41" s="37" t="n">
        <f aca="false">SUMIFS(Financing_Plan!$E$5:$E$11,Financing_Plan!$B$5:$B$11,Y3,Financing_Plan!$D$5:$D$11,"Grant",Financing_Plan!$F$5:$F$11,1)</f>
        <v>0</v>
      </c>
      <c r="Z41" s="37" t="n">
        <f aca="false">SUMIFS(Financing_Plan!$E$5:$E$11,Financing_Plan!$B$5:$B$11,Z3,Financing_Plan!$D$5:$D$11,"Grant",Financing_Plan!$F$5:$F$11,1)</f>
        <v>0</v>
      </c>
      <c r="AA41" s="37" t="n">
        <f aca="false">SUMIFS(Financing_Plan!$E$5:$E$11,Financing_Plan!$B$5:$B$11,AA3,Financing_Plan!$D$5:$D$11,"Grant",Financing_Plan!$F$5:$F$11,1)</f>
        <v>0</v>
      </c>
      <c r="AB41" s="37" t="n">
        <f aca="false">SUMIFS(Financing_Plan!$E$5:$E$11,Financing_Plan!$B$5:$B$11,AB3,Financing_Plan!$D$5:$D$11,"Grant",Financing_Plan!$F$5:$F$11,1)</f>
        <v>0</v>
      </c>
      <c r="AC41" s="37" t="n">
        <f aca="false">SUMIFS(Financing_Plan!$E$5:$E$11,Financing_Plan!$B$5:$B$11,AC3,Financing_Plan!$D$5:$D$11,"Grant",Financing_Plan!$F$5:$F$11,1)</f>
        <v>0</v>
      </c>
      <c r="AD41" s="37" t="n">
        <f aca="false">SUMIFS(Financing_Plan!$E$5:$E$11,Financing_Plan!$B$5:$B$11,AD3,Financing_Plan!$D$5:$D$11,"Grant",Financing_Plan!$F$5:$F$11,1)</f>
        <v>0</v>
      </c>
      <c r="AE41" s="37" t="n">
        <f aca="false">SUMIFS(Financing_Plan!$E$5:$E$11,Financing_Plan!$B$5:$B$11,AE3,Financing_Plan!$D$5:$D$11,"Grant",Financing_Plan!$F$5:$F$11,1)</f>
        <v>0</v>
      </c>
      <c r="AF41" s="37" t="n">
        <f aca="false">SUMIFS(Financing_Plan!$E$5:$E$11,Financing_Plan!$B$5:$B$11,AF3,Financing_Plan!$D$5:$D$11,"Grant",Financing_Plan!$F$5:$F$11,1)</f>
        <v>0</v>
      </c>
      <c r="AG41" s="37" t="n">
        <f aca="false">SUMIFS(Financing_Plan!$E$5:$E$11,Financing_Plan!$B$5:$B$11,AG3,Financing_Plan!$D$5:$D$11,"Grant",Financing_Plan!$F$5:$F$11,1)</f>
        <v>0</v>
      </c>
      <c r="AH41" s="37" t="n">
        <f aca="false">SUMIFS(Financing_Plan!$E$5:$E$11,Financing_Plan!$B$5:$B$11,AH3,Financing_Plan!$D$5:$D$11,"Grant",Financing_Plan!$F$5:$F$11,1)</f>
        <v>0</v>
      </c>
      <c r="AI41" s="37" t="n">
        <f aca="false">SUMIFS(Financing_Plan!$E$5:$E$11,Financing_Plan!$B$5:$B$11,AI3,Financing_Plan!$D$5:$D$11,"Grant",Financing_Plan!$F$5:$F$11,1)</f>
        <v>0</v>
      </c>
      <c r="AJ41" s="37" t="n">
        <f aca="false">SUMIFS(Financing_Plan!$E$5:$E$11,Financing_Plan!$B$5:$B$11,AJ3,Financing_Plan!$D$5:$D$11,"Grant",Financing_Plan!$F$5:$F$11,1)</f>
        <v>0</v>
      </c>
      <c r="AK41" s="37" t="n">
        <f aca="false">SUMIFS(Financing_Plan!$E$5:$E$11,Financing_Plan!$B$5:$B$11,AK3,Financing_Plan!$D$5:$D$11,"Grant",Financing_Plan!$F$5:$F$11,1)</f>
        <v>0</v>
      </c>
      <c r="AL41" s="37" t="n">
        <f aca="false">SUMIFS(Financing_Plan!$E$5:$E$11,Financing_Plan!$B$5:$B$11,AL3,Financing_Plan!$D$5:$D$11,"Grant",Financing_Plan!$F$5:$F$11,1)</f>
        <v>0</v>
      </c>
      <c r="AM41" s="37" t="n">
        <f aca="false">SUMIFS(Financing_Plan!$E$5:$E$11,Financing_Plan!$B$5:$B$11,AM3,Financing_Plan!$D$5:$D$11,"Grant",Financing_Plan!$F$5:$F$11,1)</f>
        <v>0</v>
      </c>
      <c r="AN41" s="37" t="n">
        <f aca="false">SUMIFS(Financing_Plan!$E$5:$E$11,Financing_Plan!$B$5:$B$11,AN3,Financing_Plan!$D$5:$D$11,"Grant",Financing_Plan!$F$5:$F$11,1)</f>
        <v>0</v>
      </c>
      <c r="AO41" s="37" t="n">
        <f aca="false">SUMIFS(Financing_Plan!$E$5:$E$11,Financing_Plan!$B$5:$B$11,AO3,Financing_Plan!$D$5:$D$11,"Grant",Financing_Plan!$F$5:$F$11,1)</f>
        <v>0</v>
      </c>
      <c r="AP41" s="37" t="n">
        <f aca="false">SUMIFS(Financing_Plan!$E$5:$E$11,Financing_Plan!$B$5:$B$11,AP3,Financing_Plan!$D$5:$D$11,"Grant",Financing_Plan!$F$5:$F$11,1)</f>
        <v>0</v>
      </c>
      <c r="AQ41" s="37" t="n">
        <f aca="false">SUMIFS(Financing_Plan!$E$5:$E$11,Financing_Plan!$B$5:$B$11,AQ3,Financing_Plan!$D$5:$D$11,"Grant",Financing_Plan!$F$5:$F$11,1)</f>
        <v>0</v>
      </c>
    </row>
    <row r="42" customFormat="false" ht="15" hidden="false" customHeight="false" outlineLevel="0" collapsed="false">
      <c r="A42" s="12" t="s">
        <v>246</v>
      </c>
      <c r="B42" s="19" t="n">
        <f aca="false">B37+B38+B39-B40+B41</f>
        <v>28888.1083333333</v>
      </c>
      <c r="C42" s="19" t="n">
        <f aca="false">C37+C38+C39-C40+C41</f>
        <v>-81.0154166666667</v>
      </c>
      <c r="D42" s="19" t="n">
        <f aca="false">D37+D38+D39-D40+D41</f>
        <v>268.80875</v>
      </c>
      <c r="E42" s="19" t="n">
        <f aca="false">E37+E38+E39-E40+E41</f>
        <v>618.632916666667</v>
      </c>
      <c r="F42" s="19" t="n">
        <f aca="false">F37+F38+F39-F40+F41</f>
        <v>968.457083333333</v>
      </c>
      <c r="G42" s="19" t="n">
        <f aca="false">G37+G38+G39-G40+G41</f>
        <v>332.07875</v>
      </c>
      <c r="H42" s="19" t="n">
        <f aca="false">H37+H38+H39-H40+H41</f>
        <v>-2501.11433333333</v>
      </c>
      <c r="I42" s="19" t="n">
        <f aca="false">I37+I38+I39-I40+I41</f>
        <v>-1099.22313541667</v>
      </c>
      <c r="J42" s="19" t="n">
        <f aca="false">J37+J38+J39-J40+J41</f>
        <v>-656.336364583332</v>
      </c>
      <c r="K42" s="19" t="n">
        <f aca="false">K37+K38+K39-K40+K41</f>
        <v>-213.449593750001</v>
      </c>
      <c r="L42" s="19" t="n">
        <f aca="false">L37+L38+L39-L40+L41</f>
        <v>229.437177083335</v>
      </c>
      <c r="M42" s="19" t="n">
        <f aca="false">M37+M38+M39-M40+M41</f>
        <v>672.323947916669</v>
      </c>
      <c r="N42" s="19" t="n">
        <f aca="false">N37+N38+N39-N40+N41</f>
        <v>1115.21071875</v>
      </c>
      <c r="O42" s="19" t="n">
        <f aca="false">O37+O38+O39-O40+O41</f>
        <v>1558.09748958333</v>
      </c>
      <c r="P42" s="19" t="n">
        <f aca="false">P37+P38+P39-P40+P41</f>
        <v>2000.98426041667</v>
      </c>
      <c r="Q42" s="19" t="n">
        <f aca="false">Q37+Q38+Q39-Q40+Q41</f>
        <v>2443.87103125</v>
      </c>
      <c r="R42" s="19" t="n">
        <f aca="false">R37+R38+R39-R40+R41</f>
        <v>2886.75780208334</v>
      </c>
      <c r="S42" s="19" t="n">
        <f aca="false">S37+S38+S39-S40+S41</f>
        <v>34.9685979166643</v>
      </c>
      <c r="T42" s="19" t="n">
        <f aca="false">T37+T38+T39-T40+T41</f>
        <v>-8664.05244791667</v>
      </c>
      <c r="U42" s="19" t="n">
        <f aca="false">U37+U38+U39-U40+U41</f>
        <v>-5468.27458333334</v>
      </c>
      <c r="V42" s="19" t="n">
        <f aca="false">V37+V38+V39-V40+V41</f>
        <v>-4577.69541666667</v>
      </c>
      <c r="W42" s="19" t="n">
        <f aca="false">W37+W38+W39-W40+W41</f>
        <v>-3687.11625</v>
      </c>
      <c r="X42" s="19" t="n">
        <f aca="false">X37+X38+X39-X40+X41</f>
        <v>-2796.53708333333</v>
      </c>
      <c r="Y42" s="19" t="n">
        <f aca="false">Y37+Y38+Y39-Y40+Y41</f>
        <v>-1905.95791666666</v>
      </c>
      <c r="Z42" s="19" t="n">
        <f aca="false">Z37+Z38+Z39-Z40+Z41</f>
        <v>-1015.37875</v>
      </c>
      <c r="AA42" s="19" t="n">
        <f aca="false">AA37+AA38+AA39-AA40+AA41</f>
        <v>-124.799583333341</v>
      </c>
      <c r="AB42" s="19" t="n">
        <f aca="false">AB37+AB38+AB39-AB40+AB41</f>
        <v>765.779583333344</v>
      </c>
      <c r="AC42" s="19" t="n">
        <f aca="false">AC37+AC38+AC39-AC40+AC41</f>
        <v>1656.35875</v>
      </c>
      <c r="AD42" s="19" t="n">
        <f aca="false">AD37+AD38+AD39-AD40+AD41</f>
        <v>2546.93791666667</v>
      </c>
      <c r="AE42" s="19" t="n">
        <f aca="false">AE37+AE38+AE39-AE40+AE41</f>
        <v>3437.51708333332</v>
      </c>
      <c r="AF42" s="19" t="n">
        <f aca="false">AF37+AF38+AF39-AF40+AF41</f>
        <v>-14513.7204166667</v>
      </c>
      <c r="AG42" s="19" t="n">
        <f aca="false">AG37+AG38+AG39-AG40+AG41</f>
        <v>-9815.63625</v>
      </c>
      <c r="AH42" s="19" t="n">
        <f aca="false">AH37+AH38+AH39-AH40+AH41</f>
        <v>-8212.59375</v>
      </c>
      <c r="AI42" s="19" t="n">
        <f aca="false">AI37+AI38+AI39-AI40+AI41</f>
        <v>-6609.55125</v>
      </c>
      <c r="AJ42" s="19" t="n">
        <f aca="false">AJ37+AJ38+AJ39-AJ40+AJ41</f>
        <v>-5006.50875</v>
      </c>
      <c r="AK42" s="19" t="n">
        <f aca="false">AK37+AK38+AK39-AK40+AK41</f>
        <v>-3403.46625</v>
      </c>
      <c r="AL42" s="19" t="n">
        <f aca="false">AL37+AL38+AL39-AL40+AL41</f>
        <v>-1800.42375</v>
      </c>
      <c r="AM42" s="19" t="n">
        <f aca="false">AM37+AM38+AM39-AM40+AM41</f>
        <v>-197.381249999996</v>
      </c>
      <c r="AN42" s="19" t="n">
        <f aca="false">AN37+AN38+AN39-AN40+AN41</f>
        <v>1405.66125</v>
      </c>
      <c r="AO42" s="19" t="n">
        <f aca="false">AO37+AO38+AO39-AO40+AO41</f>
        <v>3008.70375</v>
      </c>
      <c r="AP42" s="19" t="n">
        <f aca="false">AP37+AP38+AP39-AP40+AP41</f>
        <v>4611.74625</v>
      </c>
      <c r="AQ42" s="19" t="n">
        <f aca="false">AQ37+AQ38+AQ39-AQ40+AQ41</f>
        <v>6214.78875</v>
      </c>
    </row>
    <row r="43" customFormat="false" ht="15" hidden="false" customHeight="false" outlineLevel="0" collapsed="false">
      <c r="A43" s="5" t="s">
        <v>247</v>
      </c>
      <c r="B43" s="17" t="n">
        <f aca="false">0</f>
        <v>0</v>
      </c>
      <c r="C43" s="17" t="n">
        <f aca="false">B44</f>
        <v>28888.1083333333</v>
      </c>
      <c r="D43" s="17" t="n">
        <f aca="false">C44</f>
        <v>28807.0929166667</v>
      </c>
      <c r="E43" s="17" t="n">
        <f aca="false">D44</f>
        <v>29075.9016666667</v>
      </c>
      <c r="F43" s="17" t="n">
        <f aca="false">E44</f>
        <v>29694.5345833333</v>
      </c>
      <c r="G43" s="17" t="n">
        <f aca="false">F44</f>
        <v>30662.9916666667</v>
      </c>
      <c r="H43" s="17" t="n">
        <f aca="false">G44</f>
        <v>30995.0704166667</v>
      </c>
      <c r="I43" s="17" t="n">
        <f aca="false">H44</f>
        <v>28493.9560833333</v>
      </c>
      <c r="J43" s="17" t="n">
        <f aca="false">I44</f>
        <v>27394.7329479167</v>
      </c>
      <c r="K43" s="17" t="n">
        <f aca="false">J44</f>
        <v>26738.3965833333</v>
      </c>
      <c r="L43" s="17" t="n">
        <f aca="false">K44</f>
        <v>26524.9469895833</v>
      </c>
      <c r="M43" s="17" t="n">
        <f aca="false">L44</f>
        <v>26754.3841666667</v>
      </c>
      <c r="N43" s="17" t="n">
        <f aca="false">M44</f>
        <v>27426.7081145833</v>
      </c>
      <c r="O43" s="17" t="n">
        <f aca="false">N44</f>
        <v>28541.9188333333</v>
      </c>
      <c r="P43" s="17" t="n">
        <f aca="false">O44</f>
        <v>30100.0163229167</v>
      </c>
      <c r="Q43" s="17" t="n">
        <f aca="false">P44</f>
        <v>32101.0005833333</v>
      </c>
      <c r="R43" s="17" t="n">
        <f aca="false">Q44</f>
        <v>34544.8716145833</v>
      </c>
      <c r="S43" s="17" t="n">
        <f aca="false">R44</f>
        <v>37431.6294166667</v>
      </c>
      <c r="T43" s="17" t="n">
        <f aca="false">S44</f>
        <v>37466.5980145833</v>
      </c>
      <c r="U43" s="17" t="n">
        <f aca="false">T44</f>
        <v>28802.5455666667</v>
      </c>
      <c r="V43" s="17" t="n">
        <f aca="false">U44</f>
        <v>23334.2709833333</v>
      </c>
      <c r="W43" s="17" t="n">
        <f aca="false">V44</f>
        <v>18756.5755666667</v>
      </c>
      <c r="X43" s="17" t="n">
        <f aca="false">W44</f>
        <v>15069.4593166667</v>
      </c>
      <c r="Y43" s="17" t="n">
        <f aca="false">X44</f>
        <v>12272.9222333333</v>
      </c>
      <c r="Z43" s="17" t="n">
        <f aca="false">Y44</f>
        <v>10366.9643166667</v>
      </c>
      <c r="AA43" s="17" t="n">
        <f aca="false">Z44</f>
        <v>9351.58556666667</v>
      </c>
      <c r="AB43" s="17" t="n">
        <f aca="false">AA44</f>
        <v>9226.78598333333</v>
      </c>
      <c r="AC43" s="17" t="n">
        <f aca="false">AB44</f>
        <v>9992.56556666667</v>
      </c>
      <c r="AD43" s="17" t="n">
        <f aca="false">AC44</f>
        <v>11648.9243166667</v>
      </c>
      <c r="AE43" s="17" t="n">
        <f aca="false">AD44</f>
        <v>14195.8622333333</v>
      </c>
      <c r="AF43" s="17" t="n">
        <f aca="false">AE44</f>
        <v>17633.3793166667</v>
      </c>
      <c r="AG43" s="17" t="n">
        <f aca="false">AF44</f>
        <v>3119.65890000001</v>
      </c>
      <c r="AH43" s="17" t="n">
        <f aca="false">AG44</f>
        <v>-6695.97734999999</v>
      </c>
      <c r="AI43" s="17" t="n">
        <f aca="false">AH44</f>
        <v>-14908.5711</v>
      </c>
      <c r="AJ43" s="17" t="n">
        <f aca="false">AI44</f>
        <v>-21518.12235</v>
      </c>
      <c r="AK43" s="17" t="n">
        <f aca="false">AJ44</f>
        <v>-26524.6311</v>
      </c>
      <c r="AL43" s="17" t="n">
        <f aca="false">AK44</f>
        <v>-29928.09735</v>
      </c>
      <c r="AM43" s="17" t="n">
        <f aca="false">AL44</f>
        <v>-31728.5211</v>
      </c>
      <c r="AN43" s="17" t="n">
        <f aca="false">AM44</f>
        <v>-31925.90235</v>
      </c>
      <c r="AO43" s="17" t="n">
        <f aca="false">AN44</f>
        <v>-30520.2411</v>
      </c>
      <c r="AP43" s="17" t="n">
        <f aca="false">AO44</f>
        <v>-27511.53735</v>
      </c>
      <c r="AQ43" s="17" t="n">
        <f aca="false">AP44</f>
        <v>-22899.7911</v>
      </c>
    </row>
    <row r="44" customFormat="false" ht="15" hidden="false" customHeight="false" outlineLevel="0" collapsed="false">
      <c r="A44" s="12" t="s">
        <v>248</v>
      </c>
      <c r="B44" s="19" t="n">
        <f aca="false">B43+B42</f>
        <v>28888.1083333333</v>
      </c>
      <c r="C44" s="19" t="n">
        <f aca="false">C43+C42</f>
        <v>28807.0929166667</v>
      </c>
      <c r="D44" s="19" t="n">
        <f aca="false">D43+D42</f>
        <v>29075.9016666667</v>
      </c>
      <c r="E44" s="19" t="n">
        <f aca="false">E43+E42</f>
        <v>29694.5345833333</v>
      </c>
      <c r="F44" s="19" t="n">
        <f aca="false">F43+F42</f>
        <v>30662.9916666667</v>
      </c>
      <c r="G44" s="19" t="n">
        <f aca="false">G43+G42</f>
        <v>30995.0704166667</v>
      </c>
      <c r="H44" s="19" t="n">
        <f aca="false">H43+H42</f>
        <v>28493.9560833333</v>
      </c>
      <c r="I44" s="19" t="n">
        <f aca="false">I43+I42</f>
        <v>27394.7329479167</v>
      </c>
      <c r="J44" s="19" t="n">
        <f aca="false">J43+J42</f>
        <v>26738.3965833333</v>
      </c>
      <c r="K44" s="19" t="n">
        <f aca="false">K43+K42</f>
        <v>26524.9469895833</v>
      </c>
      <c r="L44" s="19" t="n">
        <f aca="false">L43+L42</f>
        <v>26754.3841666667</v>
      </c>
      <c r="M44" s="19" t="n">
        <f aca="false">M43+M42</f>
        <v>27426.7081145833</v>
      </c>
      <c r="N44" s="19" t="n">
        <f aca="false">N43+N42</f>
        <v>28541.9188333333</v>
      </c>
      <c r="O44" s="19" t="n">
        <f aca="false">O43+O42</f>
        <v>30100.0163229167</v>
      </c>
      <c r="P44" s="19" t="n">
        <f aca="false">P43+P42</f>
        <v>32101.0005833333</v>
      </c>
      <c r="Q44" s="19" t="n">
        <f aca="false">Q43+Q42</f>
        <v>34544.8716145833</v>
      </c>
      <c r="R44" s="19" t="n">
        <f aca="false">R43+R42</f>
        <v>37431.6294166667</v>
      </c>
      <c r="S44" s="19" t="n">
        <f aca="false">S43+S42</f>
        <v>37466.5980145833</v>
      </c>
      <c r="T44" s="19" t="n">
        <f aca="false">T43+T42</f>
        <v>28802.5455666667</v>
      </c>
      <c r="U44" s="19" t="n">
        <f aca="false">U43+U42</f>
        <v>23334.2709833333</v>
      </c>
      <c r="V44" s="19" t="n">
        <f aca="false">V43+V42</f>
        <v>18756.5755666667</v>
      </c>
      <c r="W44" s="19" t="n">
        <f aca="false">W43+W42</f>
        <v>15069.4593166667</v>
      </c>
      <c r="X44" s="19" t="n">
        <f aca="false">X43+X42</f>
        <v>12272.9222333333</v>
      </c>
      <c r="Y44" s="19" t="n">
        <f aca="false">Y43+Y42</f>
        <v>10366.9643166667</v>
      </c>
      <c r="Z44" s="19" t="n">
        <f aca="false">Z43+Z42</f>
        <v>9351.58556666667</v>
      </c>
      <c r="AA44" s="19" t="n">
        <f aca="false">AA43+AA42</f>
        <v>9226.78598333333</v>
      </c>
      <c r="AB44" s="19" t="n">
        <f aca="false">AB43+AB42</f>
        <v>9992.56556666667</v>
      </c>
      <c r="AC44" s="19" t="n">
        <f aca="false">AC43+AC42</f>
        <v>11648.9243166667</v>
      </c>
      <c r="AD44" s="19" t="n">
        <f aca="false">AD43+AD42</f>
        <v>14195.8622333333</v>
      </c>
      <c r="AE44" s="19" t="n">
        <f aca="false">AE43+AE42</f>
        <v>17633.3793166667</v>
      </c>
      <c r="AF44" s="19" t="n">
        <f aca="false">AF43+AF42</f>
        <v>3119.65890000001</v>
      </c>
      <c r="AG44" s="19" t="n">
        <f aca="false">AG43+AG42</f>
        <v>-6695.97734999999</v>
      </c>
      <c r="AH44" s="19" t="n">
        <f aca="false">AH43+AH42</f>
        <v>-14908.5711</v>
      </c>
      <c r="AI44" s="19" t="n">
        <f aca="false">AI43+AI42</f>
        <v>-21518.12235</v>
      </c>
      <c r="AJ44" s="19" t="n">
        <f aca="false">AJ43+AJ42</f>
        <v>-26524.6311</v>
      </c>
      <c r="AK44" s="19" t="n">
        <f aca="false">AK43+AK42</f>
        <v>-29928.09735</v>
      </c>
      <c r="AL44" s="19" t="n">
        <f aca="false">AL43+AL42</f>
        <v>-31728.5211</v>
      </c>
      <c r="AM44" s="19" t="n">
        <f aca="false">AM43+AM42</f>
        <v>-31925.90235</v>
      </c>
      <c r="AN44" s="19" t="n">
        <f aca="false">AN43+AN42</f>
        <v>-30520.2411</v>
      </c>
      <c r="AO44" s="19" t="n">
        <f aca="false">AO43+AO42</f>
        <v>-27511.53735</v>
      </c>
      <c r="AP44" s="19" t="n">
        <f aca="false">AP43+AP42</f>
        <v>-22899.7911</v>
      </c>
      <c r="AQ44" s="19" t="n">
        <f aca="false">AQ43+AQ42</f>
        <v>-16685.00235</v>
      </c>
    </row>
    <row r="46" customFormat="false" ht="15" hidden="false" customHeight="false" outlineLevel="0" collapsed="false">
      <c r="A46" s="5" t="s">
        <v>249</v>
      </c>
      <c r="B46" s="17" t="n">
        <f aca="false">AVERAGE(B42:B42)</f>
        <v>28888.1083333333</v>
      </c>
      <c r="C46" s="17" t="n">
        <f aca="false">AVERAGE(B42:C42)</f>
        <v>14403.5464583333</v>
      </c>
      <c r="D46" s="17" t="n">
        <f aca="false">AVERAGE(B42:D42)</f>
        <v>9691.96722222222</v>
      </c>
      <c r="E46" s="17" t="n">
        <f aca="false">AVERAGE(C42:E42)</f>
        <v>268.80875</v>
      </c>
      <c r="F46" s="17" t="n">
        <f aca="false">AVERAGE(D42:F42)</f>
        <v>618.632916666667</v>
      </c>
      <c r="G46" s="17" t="n">
        <f aca="false">AVERAGE(E42:G42)</f>
        <v>639.722916666667</v>
      </c>
      <c r="H46" s="17" t="n">
        <f aca="false">AVERAGE(F42:H42)</f>
        <v>-400.192833333333</v>
      </c>
      <c r="I46" s="17" t="n">
        <f aca="false">AVERAGE(G42:I42)</f>
        <v>-1089.41957291667</v>
      </c>
      <c r="J46" s="17" t="n">
        <f aca="false">AVERAGE(H42:J42)</f>
        <v>-1418.89127777778</v>
      </c>
      <c r="K46" s="17" t="n">
        <f aca="false">AVERAGE(I42:K42)</f>
        <v>-656.336364583334</v>
      </c>
      <c r="L46" s="17" t="n">
        <f aca="false">AVERAGE(J42:L42)</f>
        <v>-213.449593749999</v>
      </c>
      <c r="M46" s="17" t="n">
        <f aca="false">AVERAGE(K42:M42)</f>
        <v>229.437177083334</v>
      </c>
      <c r="N46" s="17" t="n">
        <f aca="false">AVERAGE(L42:N42)</f>
        <v>672.323947916667</v>
      </c>
      <c r="O46" s="17" t="n">
        <f aca="false">AVERAGE(M42:O42)</f>
        <v>1115.21071875</v>
      </c>
      <c r="P46" s="17" t="n">
        <f aca="false">AVERAGE(N42:P42)</f>
        <v>1558.09748958333</v>
      </c>
      <c r="Q46" s="17" t="n">
        <f aca="false">AVERAGE(O42:Q42)</f>
        <v>2000.98426041667</v>
      </c>
      <c r="R46" s="17" t="n">
        <f aca="false">AVERAGE(P42:R42)</f>
        <v>2443.87103125</v>
      </c>
      <c r="S46" s="17" t="n">
        <f aca="false">AVERAGE(Q42:S42)</f>
        <v>1788.53247708333</v>
      </c>
      <c r="T46" s="17" t="n">
        <f aca="false">AVERAGE(R42:T42)</f>
        <v>-1914.10868263889</v>
      </c>
      <c r="U46" s="17" t="n">
        <f aca="false">AVERAGE(S42:U42)</f>
        <v>-4699.11947777778</v>
      </c>
      <c r="V46" s="17" t="n">
        <f aca="false">AVERAGE(T42:V42)</f>
        <v>-6236.67414930556</v>
      </c>
      <c r="W46" s="17" t="n">
        <f aca="false">AVERAGE(U42:W42)</f>
        <v>-4577.69541666667</v>
      </c>
      <c r="X46" s="17" t="n">
        <f aca="false">AVERAGE(V42:X42)</f>
        <v>-3687.11625</v>
      </c>
      <c r="Y46" s="17" t="n">
        <f aca="false">AVERAGE(W42:Y42)</f>
        <v>-2796.53708333333</v>
      </c>
      <c r="Z46" s="17" t="n">
        <f aca="false">AVERAGE(X42:Z42)</f>
        <v>-1905.95791666667</v>
      </c>
      <c r="AA46" s="17" t="n">
        <f aca="false">AVERAGE(Y42:AA42)</f>
        <v>-1015.37875</v>
      </c>
      <c r="AB46" s="17" t="n">
        <f aca="false">AVERAGE(Z42:AB42)</f>
        <v>-124.799583333333</v>
      </c>
      <c r="AC46" s="17" t="n">
        <f aca="false">AVERAGE(AA42:AC42)</f>
        <v>765.779583333333</v>
      </c>
      <c r="AD46" s="17" t="n">
        <f aca="false">AVERAGE(AB42:AD42)</f>
        <v>1656.35875</v>
      </c>
      <c r="AE46" s="17" t="n">
        <f aca="false">AVERAGE(AC42:AE42)</f>
        <v>2546.93791666666</v>
      </c>
      <c r="AF46" s="17" t="n">
        <f aca="false">AVERAGE(AD42:AF42)</f>
        <v>-2843.08847222222</v>
      </c>
      <c r="AG46" s="17" t="n">
        <f aca="false">AVERAGE(AE42:AG42)</f>
        <v>-6963.94652777778</v>
      </c>
      <c r="AH46" s="17" t="n">
        <f aca="false">AVERAGE(AF42:AH42)</f>
        <v>-10847.3168055555</v>
      </c>
      <c r="AI46" s="17" t="n">
        <f aca="false">AVERAGE(AG42:AI42)</f>
        <v>-8212.59375</v>
      </c>
      <c r="AJ46" s="17" t="n">
        <f aca="false">AVERAGE(AH42:AJ42)</f>
        <v>-6609.55125</v>
      </c>
      <c r="AK46" s="17" t="n">
        <f aca="false">AVERAGE(AI42:AK42)</f>
        <v>-5006.50875</v>
      </c>
      <c r="AL46" s="17" t="n">
        <f aca="false">AVERAGE(AJ42:AL42)</f>
        <v>-3403.46625</v>
      </c>
      <c r="AM46" s="17" t="n">
        <f aca="false">AVERAGE(AK42:AM42)</f>
        <v>-1800.42375</v>
      </c>
      <c r="AN46" s="17" t="n">
        <f aca="false">AVERAGE(AL42:AN42)</f>
        <v>-197.381249999998</v>
      </c>
      <c r="AO46" s="17" t="n">
        <f aca="false">AVERAGE(AM42:AO42)</f>
        <v>1405.66125</v>
      </c>
      <c r="AP46" s="17" t="n">
        <f aca="false">AVERAGE(AN42:AP42)</f>
        <v>3008.70375</v>
      </c>
      <c r="AQ46" s="17" t="n">
        <f aca="false">AVERAGE(AO42:AQ42)</f>
        <v>4611.74625</v>
      </c>
    </row>
    <row r="47" customFormat="false" ht="15" hidden="false" customHeight="false" outlineLevel="0" collapsed="false">
      <c r="A47" s="5" t="s">
        <v>250</v>
      </c>
      <c r="B47" s="36" t="str">
        <f aca="false">IF(B44&lt;0,"FUNDING GAP",IF(B46&gt;=0,"cash-positive",B44/-B46))</f>
        <v>cash-positive</v>
      </c>
      <c r="C47" s="36" t="str">
        <f aca="false">IF(C44&lt;0,"FUNDING GAP",IF(C46&gt;=0,"cash-positive",C44/-C46))</f>
        <v>cash-positive</v>
      </c>
      <c r="D47" s="36" t="str">
        <f aca="false">IF(D44&lt;0,"FUNDING GAP",IF(D46&gt;=0,"cash-positive",D44/-D46))</f>
        <v>cash-positive</v>
      </c>
      <c r="E47" s="36" t="str">
        <f aca="false">IF(E44&lt;0,"FUNDING GAP",IF(E46&gt;=0,"cash-positive",E44/-E46))</f>
        <v>cash-positive</v>
      </c>
      <c r="F47" s="36" t="str">
        <f aca="false">IF(F44&lt;0,"FUNDING GAP",IF(F46&gt;=0,"cash-positive",F44/-F46))</f>
        <v>cash-positive</v>
      </c>
      <c r="G47" s="36" t="str">
        <f aca="false">IF(G44&lt;0,"FUNDING GAP",IF(G46&gt;=0,"cash-positive",G44/-G46))</f>
        <v>cash-positive</v>
      </c>
      <c r="H47" s="36" t="n">
        <f aca="false">IF(H44&lt;0,"FUNDING GAP",IF(H46&gt;=0,"cash-positive",H44/-H46))</f>
        <v>71.2005656023326</v>
      </c>
      <c r="I47" s="36" t="n">
        <f aca="false">IF(I44&lt;0,"FUNDING GAP",IF(I46&gt;=0,"cash-positive",I44/-I46))</f>
        <v>25.1461729061592</v>
      </c>
      <c r="J47" s="36" t="n">
        <f aca="false">IF(J44&lt;0,"FUNDING GAP",IF(J46&gt;=0,"cash-positive",J44/-J46))</f>
        <v>18.8445704065573</v>
      </c>
      <c r="K47" s="36" t="n">
        <f aca="false">IF(K44&lt;0,"FUNDING GAP",IF(K46&gt;=0,"cash-positive",K44/-K46))</f>
        <v>40.4136482768593</v>
      </c>
      <c r="L47" s="36" t="n">
        <f aca="false">IF(L44&lt;0,"FUNDING GAP",IF(L46&gt;=0,"cash-positive",L44/-L46))</f>
        <v>125.342867590568</v>
      </c>
      <c r="M47" s="36" t="str">
        <f aca="false">IF(M44&lt;0,"FUNDING GAP",IF(M46&gt;=0,"cash-positive",M44/-M46))</f>
        <v>cash-positive</v>
      </c>
      <c r="N47" s="36" t="str">
        <f aca="false">IF(N44&lt;0,"FUNDING GAP",IF(N46&gt;=0,"cash-positive",N44/-N46))</f>
        <v>cash-positive</v>
      </c>
      <c r="O47" s="36" t="str">
        <f aca="false">IF(O44&lt;0,"FUNDING GAP",IF(O46&gt;=0,"cash-positive",O44/-O46))</f>
        <v>cash-positive</v>
      </c>
      <c r="P47" s="36" t="str">
        <f aca="false">IF(P44&lt;0,"FUNDING GAP",IF(P46&gt;=0,"cash-positive",P44/-P46))</f>
        <v>cash-positive</v>
      </c>
      <c r="Q47" s="36" t="str">
        <f aca="false">IF(Q44&lt;0,"FUNDING GAP",IF(Q46&gt;=0,"cash-positive",Q44/-Q46))</f>
        <v>cash-positive</v>
      </c>
      <c r="R47" s="36" t="str">
        <f aca="false">IF(R44&lt;0,"FUNDING GAP",IF(R46&gt;=0,"cash-positive",R44/-R46))</f>
        <v>cash-positive</v>
      </c>
      <c r="S47" s="36" t="str">
        <f aca="false">IF(S44&lt;0,"FUNDING GAP",IF(S46&gt;=0,"cash-positive",S44/-S46))</f>
        <v>cash-positive</v>
      </c>
      <c r="T47" s="36" t="n">
        <f aca="false">IF(T44&lt;0,"FUNDING GAP",IF(T46&gt;=0,"cash-positive",T44/-T46))</f>
        <v>15.0474974738415</v>
      </c>
      <c r="U47" s="36" t="n">
        <f aca="false">IF(U44&lt;0,"FUNDING GAP",IF(U46&gt;=0,"cash-positive",U44/-U46))</f>
        <v>4.96566880107678</v>
      </c>
      <c r="V47" s="36" t="n">
        <f aca="false">IF(V44&lt;0,"FUNDING GAP",IF(V46&gt;=0,"cash-positive",V44/-V46))</f>
        <v>3.00746441414695</v>
      </c>
      <c r="W47" s="36" t="n">
        <f aca="false">IF(W44&lt;0,"FUNDING GAP",IF(W46&gt;=0,"cash-positive",W44/-W46))</f>
        <v>3.29193140762514</v>
      </c>
      <c r="X47" s="36" t="n">
        <f aca="false">IF(X44&lt;0,"FUNDING GAP",IF(X46&gt;=0,"cash-positive",X44/-X46))</f>
        <v>3.32859649687838</v>
      </c>
      <c r="Y47" s="36" t="n">
        <f aca="false">IF(Y44&lt;0,"FUNDING GAP",IF(Y46&gt;=0,"cash-positive",Y44/-Y46))</f>
        <v>3.70707199931344</v>
      </c>
      <c r="Z47" s="36" t="n">
        <f aca="false">IF(Z44&lt;0,"FUNDING GAP",IF(Z46&gt;=0,"cash-positive",Z44/-Z46))</f>
        <v>4.90650159948006</v>
      </c>
      <c r="AA47" s="36" t="n">
        <f aca="false">IF(AA44&lt;0,"FUNDING GAP",IF(AA46&gt;=0,"cash-positive",AA44/-AA46))</f>
        <v>9.0870386871237</v>
      </c>
      <c r="AB47" s="36" t="n">
        <f aca="false">IF(AB44&lt;0,"FUNDING GAP",IF(AB46&gt;=0,"cash-positive",AB44/-AB46))</f>
        <v>80.068901672348</v>
      </c>
      <c r="AC47" s="36" t="str">
        <f aca="false">IF(AC44&lt;0,"FUNDING GAP",IF(AC46&gt;=0,"cash-positive",AC44/-AC46))</f>
        <v>cash-positive</v>
      </c>
      <c r="AD47" s="36" t="str">
        <f aca="false">IF(AD44&lt;0,"FUNDING GAP",IF(AD46&gt;=0,"cash-positive",AD44/-AD46))</f>
        <v>cash-positive</v>
      </c>
      <c r="AE47" s="36" t="str">
        <f aca="false">IF(AE44&lt;0,"FUNDING GAP",IF(AE46&gt;=0,"cash-positive",AE44/-AE46))</f>
        <v>cash-positive</v>
      </c>
      <c r="AF47" s="36" t="n">
        <f aca="false">IF(AF44&lt;0,"FUNDING GAP",IF(AF46&gt;=0,"cash-positive",AF44/-AF46))</f>
        <v>1.09727816439058</v>
      </c>
      <c r="AG47" s="36" t="str">
        <f aca="false">IF(AG44&lt;0,"FUNDING GAP",IF(AG46&gt;=0,"cash-positive",AG44/-AG46))</f>
        <v>FUNDING GAP</v>
      </c>
      <c r="AH47" s="36" t="str">
        <f aca="false">IF(AH44&lt;0,"FUNDING GAP",IF(AH46&gt;=0,"cash-positive",AH44/-AH46))</f>
        <v>FUNDING GAP</v>
      </c>
      <c r="AI47" s="36" t="str">
        <f aca="false">IF(AI44&lt;0,"FUNDING GAP",IF(AI46&gt;=0,"cash-positive",AI44/-AI46))</f>
        <v>FUNDING GAP</v>
      </c>
      <c r="AJ47" s="36" t="str">
        <f aca="false">IF(AJ44&lt;0,"FUNDING GAP",IF(AJ46&gt;=0,"cash-positive",AJ44/-AJ46))</f>
        <v>FUNDING GAP</v>
      </c>
      <c r="AK47" s="36" t="str">
        <f aca="false">IF(AK44&lt;0,"FUNDING GAP",IF(AK46&gt;=0,"cash-positive",AK44/-AK46))</f>
        <v>FUNDING GAP</v>
      </c>
      <c r="AL47" s="36" t="str">
        <f aca="false">IF(AL44&lt;0,"FUNDING GAP",IF(AL46&gt;=0,"cash-positive",AL44/-AL46))</f>
        <v>FUNDING GAP</v>
      </c>
      <c r="AM47" s="36" t="str">
        <f aca="false">IF(AM44&lt;0,"FUNDING GAP",IF(AM46&gt;=0,"cash-positive",AM44/-AM46))</f>
        <v>FUNDING GAP</v>
      </c>
      <c r="AN47" s="36" t="str">
        <f aca="false">IF(AN44&lt;0,"FUNDING GAP",IF(AN46&gt;=0,"cash-positive",AN44/-AN46))</f>
        <v>FUNDING GAP</v>
      </c>
      <c r="AO47" s="36" t="str">
        <f aca="false">IF(AO44&lt;0,"FUNDING GAP",IF(AO46&gt;=0,"cash-positive",AO44/-AO46))</f>
        <v>FUNDING GAP</v>
      </c>
      <c r="AP47" s="36" t="str">
        <f aca="false">IF(AP44&lt;0,"FUNDING GAP",IF(AP46&gt;=0,"cash-positive",AP44/-AP46))</f>
        <v>FUNDING GAP</v>
      </c>
      <c r="AQ47" s="36" t="str">
        <f aca="false">IF(AQ44&lt;0,"FUNDING GAP",IF(AQ46&gt;=0,"cash-positive",AQ44/-AQ46))</f>
        <v>FUNDING GAP</v>
      </c>
    </row>
    <row r="48" customFormat="false" ht="15" hidden="false" customHeight="false" outlineLevel="0" collapsed="false">
      <c r="A48" s="5" t="s">
        <v>251</v>
      </c>
      <c r="B48" s="15" t="n">
        <f aca="false">IF(B31&lt;0,B3,"")</f>
        <v>46204</v>
      </c>
      <c r="C48" s="15" t="str">
        <f aca="false">IF(C31&lt;0,C3,"")</f>
        <v/>
      </c>
      <c r="D48" s="15" t="str">
        <f aca="false">IF(D31&lt;0,D3,"")</f>
        <v/>
      </c>
      <c r="E48" s="15" t="str">
        <f aca="false">IF(E31&lt;0,E3,"")</f>
        <v/>
      </c>
      <c r="F48" s="15" t="str">
        <f aca="false">IF(F31&lt;0,F3,"")</f>
        <v/>
      </c>
      <c r="G48" s="15" t="str">
        <f aca="false">IF(G31&lt;0,G3,"")</f>
        <v/>
      </c>
      <c r="H48" s="15" t="n">
        <f aca="false">IF(H31&lt;0,H3,"")</f>
        <v>46388</v>
      </c>
      <c r="I48" s="15" t="n">
        <f aca="false">IF(I31&lt;0,I3,"")</f>
        <v>46419</v>
      </c>
      <c r="J48" s="15" t="n">
        <f aca="false">IF(J31&lt;0,J3,"")</f>
        <v>46447</v>
      </c>
      <c r="K48" s="15" t="str">
        <f aca="false">IF(K31&lt;0,K3,"")</f>
        <v/>
      </c>
      <c r="L48" s="15" t="str">
        <f aca="false">IF(L31&lt;0,L3,"")</f>
        <v/>
      </c>
      <c r="M48" s="15" t="str">
        <f aca="false">IF(M31&lt;0,M3,"")</f>
        <v/>
      </c>
      <c r="N48" s="15" t="str">
        <f aca="false">IF(N31&lt;0,N3,"")</f>
        <v/>
      </c>
      <c r="O48" s="15" t="str">
        <f aca="false">IF(O31&lt;0,O3,"")</f>
        <v/>
      </c>
      <c r="P48" s="15" t="str">
        <f aca="false">IF(P31&lt;0,P3,"")</f>
        <v/>
      </c>
      <c r="Q48" s="15" t="str">
        <f aca="false">IF(Q31&lt;0,Q3,"")</f>
        <v/>
      </c>
      <c r="R48" s="15" t="str">
        <f aca="false">IF(R31&lt;0,R3,"")</f>
        <v/>
      </c>
      <c r="S48" s="15" t="str">
        <f aca="false">IF(S31&lt;0,S3,"")</f>
        <v/>
      </c>
      <c r="T48" s="15" t="n">
        <f aca="false">IF(T31&lt;0,T3,"")</f>
        <v>46753</v>
      </c>
      <c r="U48" s="15" t="n">
        <f aca="false">IF(U31&lt;0,U3,"")</f>
        <v>46784</v>
      </c>
      <c r="V48" s="15" t="n">
        <f aca="false">IF(V31&lt;0,V3,"")</f>
        <v>46813</v>
      </c>
      <c r="W48" s="15" t="n">
        <f aca="false">IF(W31&lt;0,W3,"")</f>
        <v>46844</v>
      </c>
      <c r="X48" s="15" t="n">
        <f aca="false">IF(X31&lt;0,X3,"")</f>
        <v>46874</v>
      </c>
      <c r="Y48" s="15" t="n">
        <f aca="false">IF(Y31&lt;0,Y3,"")</f>
        <v>46905</v>
      </c>
      <c r="Z48" s="15" t="n">
        <f aca="false">IF(Z31&lt;0,Z3,"")</f>
        <v>46935</v>
      </c>
      <c r="AA48" s="15" t="str">
        <f aca="false">IF(AA31&lt;0,AA3,"")</f>
        <v/>
      </c>
      <c r="AB48" s="15" t="str">
        <f aca="false">IF(AB31&lt;0,AB3,"")</f>
        <v/>
      </c>
      <c r="AC48" s="15" t="str">
        <f aca="false">IF(AC31&lt;0,AC3,"")</f>
        <v/>
      </c>
      <c r="AD48" s="15" t="str">
        <f aca="false">IF(AD31&lt;0,AD3,"")</f>
        <v/>
      </c>
      <c r="AE48" s="15" t="str">
        <f aca="false">IF(AE31&lt;0,AE3,"")</f>
        <v/>
      </c>
      <c r="AF48" s="15" t="n">
        <f aca="false">IF(AF31&lt;0,AF3,"")</f>
        <v>47119</v>
      </c>
      <c r="AG48" s="15" t="n">
        <f aca="false">IF(AG31&lt;0,AG3,"")</f>
        <v>47150</v>
      </c>
      <c r="AH48" s="15" t="n">
        <f aca="false">IF(AH31&lt;0,AH3,"")</f>
        <v>47178</v>
      </c>
      <c r="AI48" s="15" t="n">
        <f aca="false">IF(AI31&lt;0,AI3,"")</f>
        <v>47209</v>
      </c>
      <c r="AJ48" s="15" t="n">
        <f aca="false">IF(AJ31&lt;0,AJ3,"")</f>
        <v>47239</v>
      </c>
      <c r="AK48" s="15" t="n">
        <f aca="false">IF(AK31&lt;0,AK3,"")</f>
        <v>47270</v>
      </c>
      <c r="AL48" s="15" t="n">
        <f aca="false">IF(AL31&lt;0,AL3,"")</f>
        <v>47300</v>
      </c>
      <c r="AM48" s="15" t="str">
        <f aca="false">IF(AM31&lt;0,AM3,"")</f>
        <v/>
      </c>
      <c r="AN48" s="15" t="str">
        <f aca="false">IF(AN31&lt;0,AN3,"")</f>
        <v/>
      </c>
      <c r="AO48" s="15" t="str">
        <f aca="false">IF(AO31&lt;0,AO3,"")</f>
        <v/>
      </c>
      <c r="AP48" s="15" t="str">
        <f aca="false">IF(AP31&lt;0,AP3,"")</f>
        <v/>
      </c>
      <c r="AQ48" s="15" t="str">
        <f aca="false">IF(AQ31&lt;0,AQ3,"")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3" customFormat="false" ht="15" hidden="false" customHeight="false" outlineLevel="0" collapsed="false">
      <c r="A3" s="12" t="s">
        <v>89</v>
      </c>
      <c r="B3" s="38" t="s">
        <v>254</v>
      </c>
      <c r="C3" s="38" t="s">
        <v>185</v>
      </c>
      <c r="D3" s="38" t="s">
        <v>192</v>
      </c>
      <c r="E3" s="38" t="s">
        <v>199</v>
      </c>
      <c r="F3" s="38" t="s">
        <v>255</v>
      </c>
    </row>
    <row r="4" customFormat="false" ht="15" hidden="false" customHeight="false" outlineLevel="0" collapsed="false">
      <c r="A4" s="2" t="s">
        <v>256</v>
      </c>
      <c r="B4" s="39" t="n">
        <v>2026</v>
      </c>
      <c r="C4" s="39" t="n">
        <v>2027</v>
      </c>
      <c r="D4" s="39" t="n">
        <v>2028</v>
      </c>
      <c r="E4" s="39" t="n">
        <v>2029</v>
      </c>
    </row>
    <row r="5" customFormat="false" ht="15" hidden="false" customHeight="false" outlineLevel="0" collapsed="false">
      <c r="A5" s="3" t="s">
        <v>257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216</v>
      </c>
      <c r="B6" s="33" t="n">
        <f aca="false">SUMIFS(Monthly_CF!$B$12:$AQ$12,Monthly_CF!$B$4:$AQ$4,B$4)</f>
        <v>2.04166666666667</v>
      </c>
      <c r="C6" s="33" t="n">
        <f aca="false">SUMIFS(Monthly_CF!$B$12:$AQ$12,Monthly_CF!$B$4:$AQ$4,C$4)</f>
        <v>5.42916666666667</v>
      </c>
      <c r="D6" s="33" t="n">
        <f aca="false">SUMIFS(Monthly_CF!$B$12:$AQ$12,Monthly_CF!$B$4:$AQ$4,D$4)</f>
        <v>11.1583333333333</v>
      </c>
      <c r="E6" s="33" t="n">
        <f aca="false">SUMIFS(Monthly_CF!$B$12:$AQ$12,Monthly_CF!$B$4:$AQ$4,E$4)</f>
        <v>20.525</v>
      </c>
      <c r="F6" s="36" t="n">
        <f aca="false">SUM(B6:E6)</f>
        <v>39.1541666666667</v>
      </c>
    </row>
    <row r="7" customFormat="false" ht="15" hidden="false" customHeight="false" outlineLevel="0" collapsed="false">
      <c r="A7" s="5" t="s">
        <v>258</v>
      </c>
      <c r="B7" s="33" t="n">
        <f aca="false">INDEX(Monthly_CF!$B$10:$AQ$10,MATCH(DATE(B$4,12,1),Monthly_CF!$B$3:$AQ$3,0))</f>
        <v>2</v>
      </c>
      <c r="C7" s="33" t="n">
        <f aca="false">INDEX(Monthly_CF!$B$10:$AQ$10,MATCH(DATE(C$4,12,1),Monthly_CF!$B$3:$AQ$3,0))</f>
        <v>7</v>
      </c>
      <c r="D7" s="33" t="n">
        <f aca="false">INDEX(Monthly_CF!$B$10:$AQ$10,MATCH(DATE(D$4,12,1),Monthly_CF!$B$3:$AQ$3,0))</f>
        <v>17</v>
      </c>
      <c r="E7" s="33" t="n">
        <f aca="false">INDEX(Monthly_CF!$B$10:$AQ$10,MATCH(DATE(E$4,12,1),Monthly_CF!$B$3:$AQ$3,0))</f>
        <v>35</v>
      </c>
      <c r="F7" s="36" t="n">
        <f aca="false">E7</f>
        <v>35</v>
      </c>
    </row>
    <row r="8" customFormat="false" ht="15" hidden="false" customHeight="false" outlineLevel="0" collapsed="false">
      <c r="A8" s="5" t="s">
        <v>259</v>
      </c>
      <c r="B8" s="37" t="n">
        <f aca="false">Assumptions!$B$18</f>
        <v>13350</v>
      </c>
      <c r="C8" s="37" t="n">
        <f aca="false">Assumptions!$B$18</f>
        <v>13350</v>
      </c>
      <c r="D8" s="37" t="n">
        <f aca="false">Assumptions!$B$18</f>
        <v>13350</v>
      </c>
      <c r="E8" s="37" t="n">
        <f aca="false">Assumptions!$B$18</f>
        <v>13350</v>
      </c>
    </row>
    <row r="9" customFormat="false" ht="15" hidden="false" customHeight="false" outlineLevel="0" collapsed="false">
      <c r="A9" s="3" t="s">
        <v>217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5" t="s">
        <v>218</v>
      </c>
      <c r="B10" s="37" t="n">
        <f aca="false">SUMIFS(Monthly_CF!$B$14:$AQ$14,Monthly_CF!$B$4:$AQ$4,B$4)</f>
        <v>5351.71875</v>
      </c>
      <c r="C10" s="37" t="n">
        <f aca="false">SUMIFS(Monthly_CF!$B$14:$AQ$14,Monthly_CF!$B$4:$AQ$4,C$4)</f>
        <v>24193.0453125</v>
      </c>
      <c r="D10" s="37" t="n">
        <f aca="false">SUMIFS(Monthly_CF!$B$14:$AQ$14,Monthly_CF!$B$4:$AQ$4,D$4)</f>
        <v>58497.5625</v>
      </c>
      <c r="E10" s="37" t="n">
        <f aca="false">SUMIFS(Monthly_CF!$B$14:$AQ$14,Monthly_CF!$B$4:$AQ$4,E$4)</f>
        <v>107602.3125</v>
      </c>
      <c r="F10" s="17" t="n">
        <f aca="false">SUM(B10:E10)</f>
        <v>195644.6390625</v>
      </c>
    </row>
    <row r="11" customFormat="false" ht="15" hidden="false" customHeight="false" outlineLevel="0" collapsed="false">
      <c r="A11" s="5" t="s">
        <v>260</v>
      </c>
      <c r="B11" s="37" t="n">
        <f aca="false">SUMIFS(Monthly_CF!$B$15:$AQ$15,Monthly_CF!$B$4:$AQ$4,B$4)</f>
        <v>6675</v>
      </c>
      <c r="C11" s="37" t="n">
        <f aca="false">SUMIFS(Monthly_CF!$B$15:$AQ$15,Monthly_CF!$B$4:$AQ$4,C$4)</f>
        <v>60075</v>
      </c>
      <c r="D11" s="37" t="n">
        <f aca="false">SUMIFS(Monthly_CF!$B$15:$AQ$15,Monthly_CF!$B$4:$AQ$4,D$4)</f>
        <v>160200</v>
      </c>
      <c r="E11" s="37" t="n">
        <f aca="false">SUMIFS(Monthly_CF!$B$15:$AQ$15,Monthly_CF!$B$4:$AQ$4,E$4)</f>
        <v>347100</v>
      </c>
      <c r="F11" s="17" t="n">
        <f aca="false">SUM(B11:E11)</f>
        <v>574050</v>
      </c>
    </row>
    <row r="12" customFormat="false" ht="15" hidden="false" customHeight="false" outlineLevel="0" collapsed="false">
      <c r="A12" s="12" t="s">
        <v>220</v>
      </c>
      <c r="B12" s="26" t="n">
        <f aca="false">SUMIFS(Monthly_CF!$B$16:$AQ$16,Monthly_CF!$B$4:$AQ$4,B$4)</f>
        <v>12026.71875</v>
      </c>
      <c r="C12" s="26" t="n">
        <f aca="false">SUMIFS(Monthly_CF!$B$16:$AQ$16,Monthly_CF!$B$4:$AQ$4,C$4)</f>
        <v>84268.0453125</v>
      </c>
      <c r="D12" s="26" t="n">
        <f aca="false">SUMIFS(Monthly_CF!$B$16:$AQ$16,Monthly_CF!$B$4:$AQ$4,D$4)</f>
        <v>218697.5625</v>
      </c>
      <c r="E12" s="26" t="n">
        <f aca="false">SUMIFS(Monthly_CF!$B$16:$AQ$16,Monthly_CF!$B$4:$AQ$4,E$4)</f>
        <v>454702.3125</v>
      </c>
      <c r="F12" s="26" t="n">
        <f aca="false">SUM(B12:E12)</f>
        <v>769694.6390625</v>
      </c>
    </row>
    <row r="13" customFormat="false" ht="15" hidden="false" customHeight="false" outlineLevel="0" collapsed="false">
      <c r="A13" s="5" t="s">
        <v>261</v>
      </c>
      <c r="B13" s="37" t="n">
        <f aca="false">INDEX(Monthly_CF!$B$15:$AQ$15,MATCH(DATE(B$4,12,1),Monthly_CF!$B$3:$AQ$3,0))*12</f>
        <v>24475</v>
      </c>
      <c r="C13" s="37" t="n">
        <f aca="false">INDEX(Monthly_CF!$B$15:$AQ$15,MATCH(DATE(C$4,12,1),Monthly_CF!$B$3:$AQ$3,0))*12</f>
        <v>90668.75</v>
      </c>
      <c r="D13" s="37" t="n">
        <f aca="false">INDEX(Monthly_CF!$B$15:$AQ$15,MATCH(DATE(D$4,12,1),Monthly_CF!$B$3:$AQ$3,0))*12</f>
        <v>221387.5</v>
      </c>
      <c r="E13" s="37" t="n">
        <f aca="false">INDEX(Monthly_CF!$B$15:$AQ$15,MATCH(DATE(E$4,12,1),Monthly_CF!$B$3:$AQ$3,0))*12</f>
        <v>457237.5</v>
      </c>
    </row>
    <row r="14" customFormat="false" ht="15" hidden="false" customHeight="false" outlineLevel="0" collapsed="false">
      <c r="A14" s="3" t="s">
        <v>262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5" t="s">
        <v>263</v>
      </c>
      <c r="B15" s="37" t="n">
        <f aca="false">SUMIFS(Monthly_CF!$B$22:$AQ$22,Monthly_CF!$B$4:$AQ$4,B$4)</f>
        <v>2095.70625</v>
      </c>
      <c r="C15" s="37" t="n">
        <f aca="false">SUMIFS(Monthly_CF!$B$22:$AQ$22,Monthly_CF!$B$4:$AQ$4,C$4)</f>
        <v>9294.6654375</v>
      </c>
      <c r="D15" s="37" t="n">
        <f aca="false">SUMIFS(Monthly_CF!$B$22:$AQ$22,Monthly_CF!$B$4:$AQ$4,D$4)</f>
        <v>20963.7075</v>
      </c>
      <c r="E15" s="37" t="n">
        <f aca="false">SUMIFS(Monthly_CF!$B$22:$AQ$22,Monthly_CF!$B$4:$AQ$4,E$4)</f>
        <v>40914.2775</v>
      </c>
      <c r="F15" s="17" t="n">
        <f aca="false">SUM(B15:E15)</f>
        <v>73268.3566875</v>
      </c>
    </row>
    <row r="16" customFormat="false" ht="15" hidden="false" customHeight="false" outlineLevel="0" collapsed="false">
      <c r="A16" s="12" t="s">
        <v>227</v>
      </c>
      <c r="B16" s="26" t="n">
        <f aca="false">SUMIFS(Monthly_CF!$B$23:$AQ$23,Monthly_CF!$B$4:$AQ$4,B$4)</f>
        <v>9931.0125</v>
      </c>
      <c r="C16" s="26" t="n">
        <f aca="false">SUMIFS(Monthly_CF!$B$23:$AQ$23,Monthly_CF!$B$4:$AQ$4,C$4)</f>
        <v>74973.379875</v>
      </c>
      <c r="D16" s="26" t="n">
        <f aca="false">SUMIFS(Monthly_CF!$B$23:$AQ$23,Monthly_CF!$B$4:$AQ$4,D$4)</f>
        <v>197733.855</v>
      </c>
      <c r="E16" s="26" t="n">
        <f aca="false">SUMIFS(Monthly_CF!$B$23:$AQ$23,Monthly_CF!$B$4:$AQ$4,E$4)</f>
        <v>413788.035</v>
      </c>
      <c r="F16" s="26" t="n">
        <f aca="false">SUM(B16:E16)</f>
        <v>696426.282375</v>
      </c>
    </row>
    <row r="17" customFormat="false" ht="15" hidden="false" customHeight="false" outlineLevel="0" collapsed="false">
      <c r="A17" s="5" t="s">
        <v>264</v>
      </c>
      <c r="B17" s="40" t="n">
        <f aca="false">IF(B12=0,0,B16/B12)</f>
        <v>0.825745800366372</v>
      </c>
      <c r="C17" s="40" t="n">
        <f aca="false">IF(C12=0,0,C16/C12)</f>
        <v>0.889701186220333</v>
      </c>
      <c r="D17" s="40" t="n">
        <f aca="false">IF(D12=0,0,D16/D12)</f>
        <v>0.904142930262426</v>
      </c>
      <c r="E17" s="40" t="n">
        <f aca="false">IF(E12=0,0,E16/E12)</f>
        <v>0.910019640597275</v>
      </c>
      <c r="F17" s="40" t="n">
        <f aca="false">IF(F12=0,0,F16/F12)</f>
        <v>0.904808539686931</v>
      </c>
    </row>
    <row r="18" customFormat="false" ht="15" hidden="false" customHeight="false" outlineLevel="0" collapsed="false">
      <c r="A18" s="3" t="s">
        <v>265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5" t="s">
        <v>266</v>
      </c>
      <c r="B19" s="37" t="n">
        <f aca="false">SUMIFS(Monthly_CF!$B$29:$AQ$29,Monthly_CF!$B$4:$AQ$4,B$4)</f>
        <v>0</v>
      </c>
      <c r="C19" s="37" t="n">
        <f aca="false">SUMIFS(Monthly_CF!$B$29:$AQ$29,Monthly_CF!$B$4:$AQ$4,C$4)</f>
        <v>34500</v>
      </c>
      <c r="D19" s="37" t="n">
        <f aca="false">SUMIFS(Monthly_CF!$B$29:$AQ$29,Monthly_CF!$B$4:$AQ$4,D$4)</f>
        <v>158700</v>
      </c>
      <c r="E19" s="37" t="n">
        <f aca="false">SUMIFS(Monthly_CF!$B$29:$AQ$29,Monthly_CF!$B$4:$AQ$4,E$4)</f>
        <v>354200</v>
      </c>
      <c r="F19" s="17" t="n">
        <f aca="false">SUM(B19:E19)</f>
        <v>547400</v>
      </c>
    </row>
    <row r="20" customFormat="false" ht="15" hidden="false" customHeight="false" outlineLevel="0" collapsed="false">
      <c r="A20" s="5" t="s">
        <v>234</v>
      </c>
      <c r="B20" s="37" t="n">
        <f aca="false">SUMIFS(Monthly_CF!$B$30:$AQ$30,Monthly_CF!$B$4:$AQ$4,B$4)</f>
        <v>5000</v>
      </c>
      <c r="C20" s="37" t="n">
        <f aca="false">SUMIFS(Monthly_CF!$B$30:$AQ$30,Monthly_CF!$B$4:$AQ$4,C$4)</f>
        <v>24000</v>
      </c>
      <c r="D20" s="37" t="n">
        <f aca="false">SUMIFS(Monthly_CF!$B$30:$AQ$30,Monthly_CF!$B$4:$AQ$4,D$4)</f>
        <v>45000</v>
      </c>
      <c r="E20" s="37" t="n">
        <f aca="false">SUMIFS(Monthly_CF!$B$30:$AQ$30,Monthly_CF!$B$4:$AQ$4,E$4)</f>
        <v>70000</v>
      </c>
      <c r="F20" s="17" t="n">
        <f aca="false">SUM(B20:E20)</f>
        <v>144000</v>
      </c>
    </row>
    <row r="21" customFormat="false" ht="15" hidden="false" customHeight="false" outlineLevel="0" collapsed="false">
      <c r="A21" s="12" t="s">
        <v>235</v>
      </c>
      <c r="B21" s="26" t="n">
        <f aca="false">SUMIFS(Monthly_CF!$B$31:$AQ$31,Monthly_CF!$B$4:$AQ$4,B$4)</f>
        <v>4931.0125</v>
      </c>
      <c r="C21" s="26" t="n">
        <f aca="false">SUMIFS(Monthly_CF!$B$31:$AQ$31,Monthly_CF!$B$4:$AQ$4,C$4)</f>
        <v>16473.379875</v>
      </c>
      <c r="D21" s="26" t="n">
        <f aca="false">SUMIFS(Monthly_CF!$B$31:$AQ$31,Monthly_CF!$B$4:$AQ$4,D$4)</f>
        <v>-5966.145</v>
      </c>
      <c r="E21" s="26" t="n">
        <f aca="false">SUMIFS(Monthly_CF!$B$31:$AQ$31,Monthly_CF!$B$4:$AQ$4,E$4)</f>
        <v>-10411.965</v>
      </c>
      <c r="F21" s="26" t="n">
        <f aca="false">SUM(B21:E21)</f>
        <v>5026.28237500003</v>
      </c>
    </row>
    <row r="22" customFormat="false" ht="15" hidden="false" customHeight="false" outlineLevel="0" collapsed="false">
      <c r="A22" s="5" t="s">
        <v>267</v>
      </c>
      <c r="B22" s="40" t="n">
        <f aca="false">IF(B12=0,0,B21/B12)</f>
        <v>0.410004807005236</v>
      </c>
      <c r="C22" s="40" t="n">
        <f aca="false">IF(C12=0,0,C21/C12)</f>
        <v>0.19548786036166</v>
      </c>
      <c r="D22" s="40" t="n">
        <f aca="false">IF(D12=0,0,D21/D12)</f>
        <v>-0.02728034520275</v>
      </c>
      <c r="E22" s="40" t="n">
        <f aca="false">IF(E12=0,0,E21/E12)</f>
        <v>-0.0228984210411289</v>
      </c>
      <c r="F22" s="40" t="n">
        <f aca="false">IF(F12=0,0,F21/F12)</f>
        <v>0.00653022915830896</v>
      </c>
    </row>
    <row r="23" customFormat="false" ht="15" hidden="false" customHeight="false" outlineLevel="0" collapsed="false">
      <c r="A23" s="5" t="s">
        <v>268</v>
      </c>
      <c r="B23" s="37" t="n">
        <f aca="false">SUMIFS(Monthly_CF!$B$32:$AQ$32,Monthly_CF!$B$4:$AQ$4,B$4)</f>
        <v>986.2025</v>
      </c>
      <c r="C23" s="37" t="n">
        <f aca="false">SUMIFS(Monthly_CF!$B$32:$AQ$32,Monthly_CF!$B$4:$AQ$4,C$4)</f>
        <v>3294.675975</v>
      </c>
      <c r="D23" s="37" t="n">
        <f aca="false">SUMIFS(Monthly_CF!$B$32:$AQ$32,Monthly_CF!$B$4:$AQ$4,D$4)</f>
        <v>0</v>
      </c>
      <c r="E23" s="37" t="n">
        <f aca="false">SUMIFS(Monthly_CF!$B$32:$AQ$32,Monthly_CF!$B$4:$AQ$4,E$4)</f>
        <v>0</v>
      </c>
      <c r="F23" s="17" t="n">
        <f aca="false">SUM(B23:E23)</f>
        <v>4280.878475</v>
      </c>
    </row>
    <row r="24" customFormat="false" ht="15" hidden="false" customHeight="false" outlineLevel="0" collapsed="false">
      <c r="A24" s="12" t="s">
        <v>237</v>
      </c>
      <c r="B24" s="26" t="n">
        <f aca="false">SUMIFS(Monthly_CF!$B$33:$AQ$33,Monthly_CF!$B$4:$AQ$4,B$4)</f>
        <v>3944.81</v>
      </c>
      <c r="C24" s="26" t="n">
        <f aca="false">SUMIFS(Monthly_CF!$B$33:$AQ$33,Monthly_CF!$B$4:$AQ$4,C$4)</f>
        <v>13178.7039</v>
      </c>
      <c r="D24" s="26" t="n">
        <f aca="false">SUMIFS(Monthly_CF!$B$33:$AQ$33,Monthly_CF!$B$4:$AQ$4,D$4)</f>
        <v>-5966.145</v>
      </c>
      <c r="E24" s="26" t="n">
        <f aca="false">SUMIFS(Monthly_CF!$B$33:$AQ$33,Monthly_CF!$B$4:$AQ$4,E$4)</f>
        <v>-10411.965</v>
      </c>
      <c r="F24" s="26" t="n">
        <f aca="false">SUM(B24:E24)</f>
        <v>745.40390000003</v>
      </c>
    </row>
    <row r="25" customFormat="false" ht="15" hidden="false" customHeight="false" outlineLevel="0" collapsed="false">
      <c r="A25" s="5" t="s">
        <v>269</v>
      </c>
      <c r="B25" s="17" t="n">
        <f aca="false">B24</f>
        <v>3944.81</v>
      </c>
      <c r="C25" s="17" t="n">
        <f aca="false">B25+C24</f>
        <v>17123.5139</v>
      </c>
      <c r="D25" s="17" t="n">
        <f aca="false">C25+D24</f>
        <v>11157.3689</v>
      </c>
      <c r="E25" s="17" t="n">
        <f aca="false">D25+E24</f>
        <v>745.403900000032</v>
      </c>
      <c r="F25" s="17" t="n">
        <f aca="false">E25</f>
        <v>745.403900000032</v>
      </c>
    </row>
    <row r="27" customFormat="false" ht="15" hidden="false" customHeight="false" outlineLevel="0" collapsed="false">
      <c r="A27" s="3" t="s">
        <v>270</v>
      </c>
      <c r="B27" s="4"/>
      <c r="C27" s="4"/>
      <c r="D27" s="4"/>
      <c r="E27" s="4"/>
      <c r="F27" s="4"/>
    </row>
    <row r="28" customFormat="false" ht="15" hidden="false" customHeight="false" outlineLevel="0" collapsed="false">
      <c r="A28" s="5" t="s">
        <v>271</v>
      </c>
      <c r="B28" s="10" t="n">
        <f aca="false">IF(MAX(Monthly_CF!$B$48:$AQ$48)&gt;=Monthly_CF!$AQ$3,"Not reached in horizon",EDATE(MAX(Monthly_CF!$B$48:$AQ$48),1))</f>
        <v>47331</v>
      </c>
    </row>
    <row r="29" customFormat="false" ht="15" hidden="false" customHeight="false" outlineLevel="0" collapsed="false">
      <c r="A29" s="5" t="s">
        <v>49</v>
      </c>
      <c r="B29" s="11" t="n">
        <f aca="false">IF(ISNUMBER(B28),INDEX(Monthly_CF!$B$10:$AQ$10,MATCH(B28,Monthly_CF!$B$3:$AQ$3,0)),"n/a")</f>
        <v>29</v>
      </c>
    </row>
    <row r="30" customFormat="false" ht="15" hidden="false" customHeight="false" outlineLevel="0" collapsed="false">
      <c r="A30" s="2" t="s">
        <v>272</v>
      </c>
    </row>
    <row r="31" customFormat="false" ht="15" hidden="false" customHeight="false" outlineLevel="0" collapsed="false">
      <c r="A31" s="5" t="s">
        <v>273</v>
      </c>
      <c r="B31" s="9" t="n">
        <f aca="false">MIN(Monthly_CF!$B$44:$AQ$44)</f>
        <v>-31925.90235</v>
      </c>
    </row>
    <row r="32" customFormat="false" ht="15" hidden="false" customHeight="false" outlineLevel="0" collapsed="false">
      <c r="A32" s="5" t="s">
        <v>274</v>
      </c>
      <c r="B32" s="10" t="n">
        <f aca="false">INDEX(Monthly_CF!$B$3:$AQ$3,MATCH(B31,Monthly_CF!$B$44:$AQ$44,0))</f>
        <v>47331</v>
      </c>
    </row>
    <row r="33" customFormat="false" ht="15" hidden="false" customHeight="false" outlineLevel="0" collapsed="false">
      <c r="A33" s="5" t="s">
        <v>275</v>
      </c>
      <c r="B33" s="41" t="n">
        <f aca="false">MAX(0,-B31)</f>
        <v>31925.90235</v>
      </c>
    </row>
    <row r="34" customFormat="false" ht="15" hidden="false" customHeight="false" outlineLevel="0" collapsed="false">
      <c r="A34" s="5" t="s">
        <v>276</v>
      </c>
      <c r="B34" s="37" t="n">
        <f aca="false">INDEX(Monthly_CF!$B$44:$AQ$44,MATCH(DATE(B$4,12,1),Monthly_CF!$B$3:$AQ$3,0))</f>
        <v>30995.0704166667</v>
      </c>
      <c r="C34" s="37" t="n">
        <f aca="false">INDEX(Monthly_CF!$B$44:$AQ$44,MATCH(DATE(C$4,12,1),Monthly_CF!$B$3:$AQ$3,0))</f>
        <v>37466.5980145833</v>
      </c>
      <c r="D34" s="37" t="n">
        <f aca="false">INDEX(Monthly_CF!$B$44:$AQ$44,MATCH(DATE(D$4,12,1),Monthly_CF!$B$3:$AQ$3,0))</f>
        <v>17633.3793166667</v>
      </c>
      <c r="E34" s="37" t="n">
        <f aca="false">INDEX(Monthly_CF!$B$44:$AQ$44,MATCH(DATE(E$4,12,1),Monthly_CF!$B$3:$AQ$3,0))</f>
        <v>-16685.00235</v>
      </c>
    </row>
    <row r="36" customFormat="false" ht="15" hidden="false" customHeight="false" outlineLevel="0" collapsed="false">
      <c r="A36" s="2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3" customFormat="false" ht="15" hidden="false" customHeight="false" outlineLevel="0" collapsed="false">
      <c r="A3" s="12" t="s">
        <v>280</v>
      </c>
      <c r="B3" s="38" t="s">
        <v>281</v>
      </c>
      <c r="C3" s="38" t="s">
        <v>185</v>
      </c>
      <c r="D3" s="38" t="s">
        <v>192</v>
      </c>
      <c r="E3" s="38" t="s">
        <v>199</v>
      </c>
    </row>
    <row r="4" customFormat="false" ht="15" hidden="false" customHeight="false" outlineLevel="0" collapsed="false">
      <c r="A4" s="2" t="s">
        <v>256</v>
      </c>
      <c r="B4" s="39" t="n">
        <v>2026</v>
      </c>
      <c r="C4" s="39" t="n">
        <v>2027</v>
      </c>
      <c r="D4" s="39" t="n">
        <v>2028</v>
      </c>
      <c r="E4" s="39" t="n">
        <v>2029</v>
      </c>
    </row>
    <row r="5" customFormat="false" ht="15" hidden="false" customHeight="false" outlineLevel="0" collapsed="false">
      <c r="A5" s="3" t="s">
        <v>282</v>
      </c>
      <c r="B5" s="4"/>
      <c r="C5" s="4"/>
      <c r="D5" s="4"/>
      <c r="E5" s="4"/>
    </row>
    <row r="6" customFormat="false" ht="15" hidden="false" customHeight="false" outlineLevel="0" collapsed="false">
      <c r="A6" s="5" t="s">
        <v>283</v>
      </c>
      <c r="B6" s="37" t="n">
        <f aca="false">INDEX(Monthly_CF!$B$44:$AQ$44,MATCH(DATE(B$4,12,1),Monthly_CF!$B$3:$AQ$3,0))</f>
        <v>30995.0704166667</v>
      </c>
      <c r="C6" s="37" t="n">
        <f aca="false">INDEX(Monthly_CF!$B$44:$AQ$44,MATCH(DATE(C$4,12,1),Monthly_CF!$B$3:$AQ$3,0))</f>
        <v>37466.5980145833</v>
      </c>
      <c r="D6" s="37" t="n">
        <f aca="false">INDEX(Monthly_CF!$B$44:$AQ$44,MATCH(DATE(D$4,12,1),Monthly_CF!$B$3:$AQ$3,0))</f>
        <v>17633.3793166667</v>
      </c>
      <c r="E6" s="37" t="n">
        <f aca="false">INDEX(Monthly_CF!$B$44:$AQ$44,MATCH(DATE(E$4,12,1),Monthly_CF!$B$3:$AQ$3,0))</f>
        <v>-16685.00235</v>
      </c>
    </row>
    <row r="7" customFormat="false" ht="15" hidden="false" customHeight="false" outlineLevel="0" collapsed="false">
      <c r="A7" s="5" t="s">
        <v>284</v>
      </c>
      <c r="B7" s="37" t="n">
        <f aca="false">INDEX(Monthly_CF!$B$35:$AQ$35,MATCH(DATE(B$4,12,1),Monthly_CF!$B$3:$AQ$3,0))</f>
        <v>2949.73958333333</v>
      </c>
      <c r="C7" s="37" t="n">
        <f aca="false">INDEX(Monthly_CF!$B$35:$AQ$35,MATCH(DATE(C$4,12,1),Monthly_CF!$B$3:$AQ$3,0))</f>
        <v>9656.91588541667</v>
      </c>
      <c r="D7" s="37" t="n">
        <f aca="false">INDEX(Monthly_CF!$B$35:$AQ$35,MATCH(DATE(D$4,12,1),Monthly_CF!$B$3:$AQ$3,0))</f>
        <v>23523.9895833333</v>
      </c>
      <c r="E7" s="37" t="n">
        <f aca="false">INDEX(Monthly_CF!$B$35:$AQ$35,MATCH(DATE(E$4,12,1),Monthly_CF!$B$3:$AQ$3,0))</f>
        <v>47430.40625</v>
      </c>
    </row>
    <row r="8" customFormat="false" ht="15" hidden="false" customHeight="false" outlineLevel="0" collapsed="false">
      <c r="A8" s="12" t="s">
        <v>285</v>
      </c>
      <c r="B8" s="26" t="n">
        <f aca="false">B6+B7</f>
        <v>33944.81</v>
      </c>
      <c r="C8" s="26" t="n">
        <f aca="false">C6+C7</f>
        <v>47123.5139</v>
      </c>
      <c r="D8" s="26" t="n">
        <f aca="false">D6+D7</f>
        <v>41157.3689</v>
      </c>
      <c r="E8" s="26" t="n">
        <f aca="false">E6+E7</f>
        <v>30745.4039</v>
      </c>
    </row>
    <row r="10" customFormat="false" ht="15" hidden="false" customHeight="false" outlineLevel="0" collapsed="false">
      <c r="A10" s="3" t="s">
        <v>286</v>
      </c>
      <c r="B10" s="4"/>
      <c r="C10" s="4"/>
      <c r="D10" s="4"/>
      <c r="E10" s="4"/>
    </row>
    <row r="11" customFormat="false" ht="15" hidden="false" customHeight="false" outlineLevel="0" collapsed="false">
      <c r="A11" s="5" t="s">
        <v>287</v>
      </c>
      <c r="B11" s="37" t="n">
        <f aca="false">SUMIFS(Financing_Plan!$E$5:$E$11,Financing_Plan!$D$5:$D$11,"Debt",Financing_Plan!$F$5:$F$11,1,Financing_Plan!$B$5:$B$11,"&lt;="&amp;DATE(B$4,12,1))-SUMIFS(Financing_Plan!$E$5:$E$11,Financing_Plan!$D$5:$D$11,"Repayment",Financing_Plan!$F$5:$F$11,1,Financing_Plan!$B$5:$B$11,"&lt;="&amp;DATE(B$4,12,1))</f>
        <v>0</v>
      </c>
      <c r="C11" s="37" t="n">
        <f aca="false">SUMIFS(Financing_Plan!$E$5:$E$11,Financing_Plan!$D$5:$D$11,"Debt",Financing_Plan!$F$5:$F$11,1,Financing_Plan!$B$5:$B$11,"&lt;="&amp;DATE(C$4,12,1))-SUMIFS(Financing_Plan!$E$5:$E$11,Financing_Plan!$D$5:$D$11,"Repayment",Financing_Plan!$F$5:$F$11,1,Financing_Plan!$B$5:$B$11,"&lt;="&amp;DATE(C$4,12,1))</f>
        <v>0</v>
      </c>
      <c r="D11" s="37" t="n">
        <f aca="false">SUMIFS(Financing_Plan!$E$5:$E$11,Financing_Plan!$D$5:$D$11,"Debt",Financing_Plan!$F$5:$F$11,1,Financing_Plan!$B$5:$B$11,"&lt;="&amp;DATE(D$4,12,1))-SUMIFS(Financing_Plan!$E$5:$E$11,Financing_Plan!$D$5:$D$11,"Repayment",Financing_Plan!$F$5:$F$11,1,Financing_Plan!$B$5:$B$11,"&lt;="&amp;DATE(D$4,12,1))</f>
        <v>0</v>
      </c>
      <c r="E11" s="37" t="n">
        <f aca="false">SUMIFS(Financing_Plan!$E$5:$E$11,Financing_Plan!$D$5:$D$11,"Debt",Financing_Plan!$F$5:$F$11,1,Financing_Plan!$B$5:$B$11,"&lt;="&amp;DATE(E$4,12,1))-SUMIFS(Financing_Plan!$E$5:$E$11,Financing_Plan!$D$5:$D$11,"Repayment",Financing_Plan!$F$5:$F$11,1,Financing_Plan!$B$5:$B$11,"&lt;="&amp;DATE(E$4,12,1))</f>
        <v>0</v>
      </c>
    </row>
    <row r="12" customFormat="false" ht="15" hidden="false" customHeight="false" outlineLevel="0" collapsed="false">
      <c r="A12" s="12" t="s">
        <v>288</v>
      </c>
      <c r="B12" s="26" t="n">
        <f aca="false">B11</f>
        <v>0</v>
      </c>
      <c r="C12" s="26" t="n">
        <f aca="false">C11</f>
        <v>0</v>
      </c>
      <c r="D12" s="26" t="n">
        <f aca="false">D11</f>
        <v>0</v>
      </c>
      <c r="E12" s="26" t="n">
        <f aca="false">E11</f>
        <v>0</v>
      </c>
    </row>
    <row r="14" customFormat="false" ht="15" hidden="false" customHeight="false" outlineLevel="0" collapsed="false">
      <c r="A14" s="3" t="s">
        <v>289</v>
      </c>
      <c r="B14" s="4"/>
      <c r="C14" s="4"/>
      <c r="D14" s="4"/>
      <c r="E14" s="4"/>
    </row>
    <row r="15" customFormat="false" ht="15" hidden="false" customHeight="false" outlineLevel="0" collapsed="false">
      <c r="A15" s="5" t="s">
        <v>290</v>
      </c>
      <c r="B15" s="37" t="n">
        <f aca="false">SUMIFS(Financing_Plan!$E$5:$E$11,Financing_Plan!$D$5:$D$11,"Equity",Financing_Plan!$F$5:$F$11,1,Financing_Plan!$B$5:$B$11,"&lt;="&amp;DATE(B$4,12,1))</f>
        <v>30000</v>
      </c>
      <c r="C15" s="37" t="n">
        <f aca="false">SUMIFS(Financing_Plan!$E$5:$E$11,Financing_Plan!$D$5:$D$11,"Equity",Financing_Plan!$F$5:$F$11,1,Financing_Plan!$B$5:$B$11,"&lt;="&amp;DATE(C$4,12,1))</f>
        <v>30000</v>
      </c>
      <c r="D15" s="37" t="n">
        <f aca="false">SUMIFS(Financing_Plan!$E$5:$E$11,Financing_Plan!$D$5:$D$11,"Equity",Financing_Plan!$F$5:$F$11,1,Financing_Plan!$B$5:$B$11,"&lt;="&amp;DATE(D$4,12,1))</f>
        <v>30000</v>
      </c>
      <c r="E15" s="37" t="n">
        <f aca="false">SUMIFS(Financing_Plan!$E$5:$E$11,Financing_Plan!$D$5:$D$11,"Equity",Financing_Plan!$F$5:$F$11,1,Financing_Plan!$B$5:$B$11,"&lt;="&amp;DATE(E$4,12,1))</f>
        <v>30000</v>
      </c>
    </row>
    <row r="16" customFormat="false" ht="15" hidden="false" customHeight="false" outlineLevel="0" collapsed="false">
      <c r="A16" s="5" t="s">
        <v>291</v>
      </c>
      <c r="B16" s="37" t="n">
        <f aca="false">SUMIFS(Financing_Plan!$E$5:$E$11,Financing_Plan!$D$5:$D$11,"Grant",Financing_Plan!$F$5:$F$11,1,Financing_Plan!$B$5:$B$11,"&lt;="&amp;DATE(B$4,12,1))</f>
        <v>0</v>
      </c>
      <c r="C16" s="37" t="n">
        <f aca="false">SUMIFS(Financing_Plan!$E$5:$E$11,Financing_Plan!$D$5:$D$11,"Grant",Financing_Plan!$F$5:$F$11,1,Financing_Plan!$B$5:$B$11,"&lt;="&amp;DATE(C$4,12,1))</f>
        <v>0</v>
      </c>
      <c r="D16" s="37" t="n">
        <f aca="false">SUMIFS(Financing_Plan!$E$5:$E$11,Financing_Plan!$D$5:$D$11,"Grant",Financing_Plan!$F$5:$F$11,1,Financing_Plan!$B$5:$B$11,"&lt;="&amp;DATE(D$4,12,1))</f>
        <v>0</v>
      </c>
      <c r="E16" s="37" t="n">
        <f aca="false">SUMIFS(Financing_Plan!$E$5:$E$11,Financing_Plan!$D$5:$D$11,"Grant",Financing_Plan!$F$5:$F$11,1,Financing_Plan!$B$5:$B$11,"&lt;="&amp;DATE(E$4,12,1))</f>
        <v>0</v>
      </c>
    </row>
    <row r="17" customFormat="false" ht="15" hidden="false" customHeight="false" outlineLevel="0" collapsed="false">
      <c r="A17" s="5" t="s">
        <v>292</v>
      </c>
      <c r="B17" s="37" t="n">
        <f aca="false">SUMIFS(Monthly_CF!$B$33:$AQ$33,Monthly_CF!$B$4:$AQ$4,"&lt;="&amp;B$4)</f>
        <v>3944.81</v>
      </c>
      <c r="C17" s="37" t="n">
        <f aca="false">SUMIFS(Monthly_CF!$B$33:$AQ$33,Monthly_CF!$B$4:$AQ$4,"&lt;="&amp;C$4)</f>
        <v>17123.5139</v>
      </c>
      <c r="D17" s="37" t="n">
        <f aca="false">SUMIFS(Monthly_CF!$B$33:$AQ$33,Monthly_CF!$B$4:$AQ$4,"&lt;="&amp;D$4)</f>
        <v>11157.3689</v>
      </c>
      <c r="E17" s="37" t="n">
        <f aca="false">SUMIFS(Monthly_CF!$B$33:$AQ$33,Monthly_CF!$B$4:$AQ$4,"&lt;="&amp;E$4)</f>
        <v>745.403900000031</v>
      </c>
    </row>
    <row r="18" customFormat="false" ht="15" hidden="false" customHeight="false" outlineLevel="0" collapsed="false">
      <c r="A18" s="12" t="s">
        <v>293</v>
      </c>
      <c r="B18" s="26" t="n">
        <f aca="false">SUM(B15:B17)</f>
        <v>33944.81</v>
      </c>
      <c r="C18" s="26" t="n">
        <f aca="false">SUM(C15:C17)</f>
        <v>47123.5139</v>
      </c>
      <c r="D18" s="26" t="n">
        <f aca="false">SUM(D15:D17)</f>
        <v>41157.3689</v>
      </c>
      <c r="E18" s="26" t="n">
        <f aca="false">SUM(E15:E17)</f>
        <v>30745.4039</v>
      </c>
    </row>
    <row r="20" customFormat="false" ht="15" hidden="false" customHeight="false" outlineLevel="0" collapsed="false">
      <c r="A20" s="12" t="s">
        <v>294</v>
      </c>
      <c r="B20" s="26" t="n">
        <f aca="false">B12+B18</f>
        <v>33944.81</v>
      </c>
      <c r="C20" s="26" t="n">
        <f aca="false">C12+C18</f>
        <v>47123.5139</v>
      </c>
      <c r="D20" s="26" t="n">
        <f aca="false">D12+D18</f>
        <v>41157.3689</v>
      </c>
      <c r="E20" s="26" t="n">
        <f aca="false">E12+E18</f>
        <v>30745.4039</v>
      </c>
    </row>
    <row r="22" customFormat="false" ht="15" hidden="false" customHeight="false" outlineLevel="0" collapsed="false">
      <c r="A22" s="3" t="s">
        <v>295</v>
      </c>
      <c r="B22" s="4"/>
      <c r="C22" s="4"/>
      <c r="D22" s="4"/>
      <c r="E22" s="4"/>
    </row>
    <row r="24" customFormat="false" ht="15" hidden="false" customHeight="false" outlineLevel="0" collapsed="false">
      <c r="A24" s="12" t="s">
        <v>296</v>
      </c>
      <c r="B24" s="41" t="n">
        <f aca="false">B8-B12-B18</f>
        <v>0</v>
      </c>
      <c r="C24" s="41" t="n">
        <f aca="false">C8-C12-C18</f>
        <v>0</v>
      </c>
      <c r="D24" s="41" t="n">
        <f aca="false">D8-D12-D18</f>
        <v>0</v>
      </c>
      <c r="E24" s="41" t="n">
        <f aca="false">E8-E12-E18</f>
        <v>0</v>
      </c>
    </row>
    <row r="25" customFormat="false" ht="15" hidden="false" customHeight="false" outlineLevel="0" collapsed="false">
      <c r="A25" s="5" t="s">
        <v>297</v>
      </c>
      <c r="B25" s="40" t="n">
        <f aca="false">IF(B8=0,0,B18/B8)</f>
        <v>1</v>
      </c>
      <c r="C25" s="40" t="n">
        <f aca="false">IF(C8=0,0,C18/C8)</f>
        <v>1</v>
      </c>
      <c r="D25" s="40" t="n">
        <f aca="false">IF(D8=0,0,D18/D8)</f>
        <v>1</v>
      </c>
      <c r="E25" s="40" t="n">
        <f aca="false">IF(E8=0,0,E18/E8)</f>
        <v>1</v>
      </c>
    </row>
    <row r="26" customFormat="false" ht="15" hidden="false" customHeight="false" outlineLevel="0" collapsed="false">
      <c r="A26" s="5" t="s">
        <v>298</v>
      </c>
      <c r="B26" s="42" t="n">
        <f aca="false">IF(B18&lt;=0,0,B11/B18)</f>
        <v>0</v>
      </c>
      <c r="C26" s="42" t="n">
        <f aca="false">IF(C18&lt;=0,0,C11/C18)</f>
        <v>0</v>
      </c>
      <c r="D26" s="42" t="n">
        <f aca="false">IF(D18&lt;=0,0,D11/D18)</f>
        <v>0</v>
      </c>
      <c r="E26" s="42" t="n">
        <f aca="false">IF(E18&lt;=0,0,E11/E18)</f>
        <v>0</v>
      </c>
    </row>
    <row r="27" customFormat="false" ht="15" hidden="false" customHeight="false" outlineLevel="0" collapsed="false">
      <c r="A27" s="5" t="s">
        <v>299</v>
      </c>
      <c r="B27" s="33" t="n">
        <f aca="false">IF(Assumptions!B$55=0,0,B6/(Assumptions!B$55/12))</f>
        <v>37.1940845</v>
      </c>
      <c r="C27" s="33" t="n">
        <f aca="false">IF(Assumptions!C$55=0,0,C6/(Assumptions!C$55/12))</f>
        <v>18.7332990072917</v>
      </c>
      <c r="D27" s="33" t="n">
        <f aca="false">IF(Assumptions!D$55=0,0,D6/(Assumptions!D$55/12))</f>
        <v>4.70223448444444</v>
      </c>
      <c r="E27" s="33" t="n">
        <f aca="false">IF(Assumptions!E$55=0,0,E6/(Assumptions!E$55/12))</f>
        <v>-2.86028611714285</v>
      </c>
    </row>
    <row r="29" customFormat="false" ht="15" hidden="false" customHeight="false" outlineLevel="0" collapsed="false">
      <c r="A29" s="2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8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2" t="s">
        <v>302</v>
      </c>
    </row>
    <row r="4" customFormat="false" ht="15" hidden="false" customHeight="false" outlineLevel="0" collapsed="false">
      <c r="A4" s="3" t="s">
        <v>303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304</v>
      </c>
      <c r="B5" s="37" t="n">
        <f aca="false">Financing_Plan!E5</f>
        <v>20000</v>
      </c>
    </row>
    <row r="6" customFormat="false" ht="15" hidden="false" customHeight="false" outlineLevel="0" collapsed="false">
      <c r="A6" s="5" t="s">
        <v>305</v>
      </c>
      <c r="B6" s="16" t="n">
        <v>1</v>
      </c>
    </row>
    <row r="7" customFormat="false" ht="15" hidden="false" customHeight="false" outlineLevel="0" collapsed="false">
      <c r="A7" s="5" t="s">
        <v>306</v>
      </c>
      <c r="B7" s="17" t="n">
        <f aca="false">B5/B6</f>
        <v>20000</v>
      </c>
    </row>
    <row r="8" customFormat="false" ht="15" hidden="false" customHeight="false" outlineLevel="0" collapsed="false">
      <c r="A8" s="5" t="s">
        <v>307</v>
      </c>
      <c r="B8" s="18" t="n">
        <v>0.2</v>
      </c>
      <c r="F8" s="2" t="s">
        <v>308</v>
      </c>
    </row>
    <row r="9" customFormat="false" ht="15" hidden="false" customHeight="false" outlineLevel="0" collapsed="false">
      <c r="A9" s="5" t="s">
        <v>309</v>
      </c>
      <c r="B9" s="24" t="n">
        <v>0.1</v>
      </c>
      <c r="F9" s="2" t="s">
        <v>310</v>
      </c>
    </row>
    <row r="10" customFormat="false" ht="15" hidden="false" customHeight="false" outlineLevel="0" collapsed="false">
      <c r="A10" s="5" t="s">
        <v>311</v>
      </c>
      <c r="B10" s="37" t="n">
        <f aca="false">Financing_Plan!E8</f>
        <v>150000</v>
      </c>
    </row>
    <row r="11" customFormat="false" ht="15" hidden="false" customHeight="false" outlineLevel="0" collapsed="false">
      <c r="A11" s="5" t="s">
        <v>312</v>
      </c>
      <c r="B11" s="37" t="n">
        <f aca="false">Valuation!B40</f>
        <v>459565.03644605</v>
      </c>
    </row>
    <row r="12" customFormat="false" ht="15" hidden="false" customHeight="false" outlineLevel="0" collapsed="false">
      <c r="A12" s="5" t="s">
        <v>313</v>
      </c>
      <c r="B12" s="17" t="n">
        <f aca="false">B11+B10</f>
        <v>609565.03644605</v>
      </c>
    </row>
    <row r="13" customFormat="false" ht="15" hidden="false" customHeight="false" outlineLevel="0" collapsed="false">
      <c r="A13" s="5" t="s">
        <v>314</v>
      </c>
      <c r="B13" s="40" t="n">
        <f aca="false">IF(B12=0,0,B10/B12)</f>
        <v>0.246077105856572</v>
      </c>
    </row>
    <row r="15" customFormat="false" ht="15" hidden="false" customHeight="false" outlineLevel="0" collapsed="false">
      <c r="A15" s="6" t="s">
        <v>315</v>
      </c>
      <c r="B15" s="6" t="s">
        <v>316</v>
      </c>
      <c r="C15" s="6" t="s">
        <v>317</v>
      </c>
      <c r="D15" s="6" t="s">
        <v>318</v>
      </c>
      <c r="E15" s="6" t="s">
        <v>319</v>
      </c>
      <c r="F15" s="6" t="s">
        <v>106</v>
      </c>
    </row>
    <row r="16" customFormat="false" ht="15" hidden="false" customHeight="false" outlineLevel="0" collapsed="false">
      <c r="A16" s="12" t="s">
        <v>320</v>
      </c>
      <c r="B16" s="43" t="n">
        <f aca="false">SUM(B17:B20)</f>
        <v>1</v>
      </c>
      <c r="C16" s="43" t="n">
        <f aca="false">SUM(C17:C20)</f>
        <v>1</v>
      </c>
      <c r="D16" s="43" t="n">
        <f aca="false">SUM(D17:D20)</f>
        <v>1</v>
      </c>
      <c r="E16" s="43" t="n">
        <f aca="false">SUM(E17:E20)</f>
        <v>1</v>
      </c>
    </row>
    <row r="17" customFormat="false" ht="15" hidden="false" customHeight="false" outlineLevel="0" collapsed="false">
      <c r="A17" s="5" t="s">
        <v>321</v>
      </c>
      <c r="B17" s="24" t="n">
        <v>1</v>
      </c>
      <c r="C17" s="40" t="n">
        <f aca="false">B17*(1-$B$8)</f>
        <v>0.8</v>
      </c>
      <c r="D17" s="40" t="n">
        <f aca="false">C17*(1-$B$9)</f>
        <v>0.72</v>
      </c>
      <c r="E17" s="40" t="n">
        <f aca="false">D17*(1-$B$13)</f>
        <v>0.542824483783268</v>
      </c>
      <c r="F17" s="2" t="s">
        <v>322</v>
      </c>
    </row>
    <row r="18" customFormat="false" ht="15" hidden="false" customHeight="false" outlineLevel="0" collapsed="false">
      <c r="A18" s="5" t="s">
        <v>230</v>
      </c>
      <c r="B18" s="24" t="n">
        <v>0</v>
      </c>
      <c r="C18" s="40" t="n">
        <f aca="false">$B$8</f>
        <v>0.2</v>
      </c>
      <c r="D18" s="40" t="n">
        <f aca="false">C18*(1-$B$9)</f>
        <v>0.18</v>
      </c>
      <c r="E18" s="40" t="n">
        <f aca="false">D18*(1-$B$13)</f>
        <v>0.135706120945817</v>
      </c>
    </row>
    <row r="19" customFormat="false" ht="15" hidden="false" customHeight="false" outlineLevel="0" collapsed="false">
      <c r="A19" s="5" t="s">
        <v>323</v>
      </c>
      <c r="B19" s="24" t="n">
        <v>0</v>
      </c>
      <c r="C19" s="40" t="n">
        <f aca="false">B19</f>
        <v>0</v>
      </c>
      <c r="D19" s="40" t="n">
        <f aca="false">$B$9</f>
        <v>0.1</v>
      </c>
      <c r="E19" s="40" t="n">
        <f aca="false">D19*(1-$B$13)</f>
        <v>0.0753922894143428</v>
      </c>
    </row>
    <row r="20" customFormat="false" ht="15" hidden="false" customHeight="false" outlineLevel="0" collapsed="false">
      <c r="A20" s="5" t="s">
        <v>324</v>
      </c>
      <c r="B20" s="24" t="n">
        <v>0</v>
      </c>
      <c r="C20" s="40" t="n">
        <f aca="false">B20</f>
        <v>0</v>
      </c>
      <c r="D20" s="40" t="n">
        <f aca="false">C20</f>
        <v>0</v>
      </c>
      <c r="E20" s="40" t="n">
        <f aca="false">$B$13</f>
        <v>0.246077105856572</v>
      </c>
      <c r="F20" s="2" t="s">
        <v>325</v>
      </c>
    </row>
    <row r="22" customFormat="false" ht="15" hidden="false" customHeight="false" outlineLevel="0" collapsed="false">
      <c r="A22" s="3" t="s">
        <v>326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12" t="s">
        <v>327</v>
      </c>
      <c r="B23" s="19" t="n">
        <f aca="false">IF(B17=0,0,$B$7*$B$17/B17)</f>
        <v>20000</v>
      </c>
      <c r="C23" s="19" t="n">
        <f aca="false">IF(C17=0,0,$B$7*$B$17/C17)</f>
        <v>25000</v>
      </c>
      <c r="D23" s="19" t="n">
        <f aca="false">IF(D17=0,0,$B$7*$B$17/D17)</f>
        <v>27777.7777777778</v>
      </c>
      <c r="E23" s="19" t="n">
        <f aca="false">IF(E17=0,0,$B$7*$B$17/E17)</f>
        <v>36844.321871055</v>
      </c>
    </row>
    <row r="24" customFormat="false" ht="15" hidden="false" customHeight="false" outlineLevel="0" collapsed="false">
      <c r="A24" s="5" t="s">
        <v>321</v>
      </c>
      <c r="B24" s="17" t="n">
        <f aca="false">B23*B17</f>
        <v>20000</v>
      </c>
      <c r="C24" s="17" t="n">
        <f aca="false">C23*C17</f>
        <v>20000</v>
      </c>
      <c r="D24" s="17" t="n">
        <f aca="false">D23*D17</f>
        <v>20000</v>
      </c>
      <c r="E24" s="17" t="n">
        <f aca="false">E23*E17</f>
        <v>20000</v>
      </c>
    </row>
    <row r="25" customFormat="false" ht="15" hidden="false" customHeight="false" outlineLevel="0" collapsed="false">
      <c r="A25" s="5" t="s">
        <v>230</v>
      </c>
      <c r="B25" s="17" t="n">
        <f aca="false">B23*B18</f>
        <v>0</v>
      </c>
      <c r="C25" s="17" t="n">
        <f aca="false">C23*C18</f>
        <v>5000</v>
      </c>
      <c r="D25" s="17" t="n">
        <f aca="false">D23*D18</f>
        <v>5000</v>
      </c>
      <c r="E25" s="17" t="n">
        <f aca="false">E23*E18</f>
        <v>5000</v>
      </c>
    </row>
    <row r="26" customFormat="false" ht="15" hidden="false" customHeight="false" outlineLevel="0" collapsed="false">
      <c r="A26" s="5" t="s">
        <v>323</v>
      </c>
      <c r="B26" s="17" t="n">
        <f aca="false">B23*B19</f>
        <v>0</v>
      </c>
      <c r="C26" s="17" t="n">
        <f aca="false">C23*C19</f>
        <v>0</v>
      </c>
      <c r="D26" s="17" t="n">
        <f aca="false">D23*D19</f>
        <v>2777.77777777778</v>
      </c>
      <c r="E26" s="17" t="n">
        <f aca="false">E23*E19</f>
        <v>2777.77777777778</v>
      </c>
    </row>
    <row r="27" customFormat="false" ht="15" hidden="false" customHeight="false" outlineLevel="0" collapsed="false">
      <c r="A27" s="5" t="s">
        <v>324</v>
      </c>
      <c r="B27" s="17" t="n">
        <f aca="false">B23*B20</f>
        <v>0</v>
      </c>
      <c r="C27" s="17" t="n">
        <f aca="false">C23*C20</f>
        <v>0</v>
      </c>
      <c r="D27" s="17" t="n">
        <f aca="false">D23*D20</f>
        <v>0</v>
      </c>
      <c r="E27" s="17" t="n">
        <f aca="false">E23*E20</f>
        <v>9066.54409327722</v>
      </c>
    </row>
    <row r="29" customFormat="false" ht="15" hidden="false" customHeight="false" outlineLevel="0" collapsed="false">
      <c r="A29" s="5" t="s">
        <v>328</v>
      </c>
      <c r="B29" s="44" t="n">
        <f aca="false">IF(D23=0,0,B11/D23)</f>
        <v>16.5443413120578</v>
      </c>
    </row>
    <row r="31" customFormat="false" ht="15" hidden="false" customHeight="false" outlineLevel="0" collapsed="false">
      <c r="A31" s="5" t="s">
        <v>329</v>
      </c>
      <c r="B31" s="45" t="str">
        <f aca="false">IF(E17&gt;0.5,"OK — founder keeps majority","CHECK — founder below 50%")</f>
        <v>OK — founder keeps majority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2" t="s">
        <v>331</v>
      </c>
    </row>
    <row r="4" customFormat="false" ht="15" hidden="false" customHeight="false" outlineLevel="0" collapsed="false">
      <c r="A4" s="5" t="s">
        <v>332</v>
      </c>
      <c r="B4" s="9" t="n">
        <f aca="false">Financing_Plan!E8</f>
        <v>150000</v>
      </c>
    </row>
    <row r="5" customFormat="false" ht="15" hidden="false" customHeight="false" outlineLevel="0" collapsed="false">
      <c r="A5" s="5" t="s">
        <v>333</v>
      </c>
      <c r="B5" s="46" t="str">
        <f aca="false">IF(Financing_Plan!F8=1,"Yes — in Monthly_CF","No — what-if only")</f>
        <v>No — what-if only</v>
      </c>
    </row>
    <row r="7" customFormat="false" ht="15" hidden="false" customHeight="false" outlineLevel="0" collapsed="false">
      <c r="A7" s="6" t="s">
        <v>334</v>
      </c>
      <c r="B7" s="6" t="s">
        <v>335</v>
      </c>
      <c r="C7" s="6" t="s">
        <v>139</v>
      </c>
      <c r="D7" s="6" t="s">
        <v>336</v>
      </c>
      <c r="E7" s="6" t="s">
        <v>337</v>
      </c>
    </row>
    <row r="8" customFormat="false" ht="15" hidden="false" customHeight="false" outlineLevel="0" collapsed="false">
      <c r="A8" s="5" t="s">
        <v>338</v>
      </c>
      <c r="B8" s="18" t="n">
        <v>0.4</v>
      </c>
      <c r="C8" s="17" t="n">
        <f aca="false">$B$4*B8</f>
        <v>60000</v>
      </c>
      <c r="D8" s="5" t="s">
        <v>339</v>
      </c>
      <c r="E8" s="2" t="s">
        <v>340</v>
      </c>
    </row>
    <row r="9" customFormat="false" ht="15" hidden="false" customHeight="false" outlineLevel="0" collapsed="false">
      <c r="A9" s="5" t="s">
        <v>341</v>
      </c>
      <c r="B9" s="18" t="n">
        <v>0.2</v>
      </c>
      <c r="C9" s="17" t="n">
        <f aca="false">$B$4*B9</f>
        <v>30000</v>
      </c>
      <c r="D9" s="5" t="s">
        <v>342</v>
      </c>
      <c r="E9" s="2" t="s">
        <v>343</v>
      </c>
    </row>
    <row r="10" customFormat="false" ht="15" hidden="false" customHeight="false" outlineLevel="0" collapsed="false">
      <c r="A10" s="5" t="s">
        <v>344</v>
      </c>
      <c r="B10" s="18" t="n">
        <v>0.15</v>
      </c>
      <c r="C10" s="17" t="n">
        <f aca="false">$B$4*B10</f>
        <v>22500</v>
      </c>
      <c r="D10" s="5" t="s">
        <v>345</v>
      </c>
      <c r="E10" s="2" t="s">
        <v>346</v>
      </c>
    </row>
    <row r="11" customFormat="false" ht="15" hidden="false" customHeight="false" outlineLevel="0" collapsed="false">
      <c r="A11" s="5" t="s">
        <v>347</v>
      </c>
      <c r="B11" s="18" t="n">
        <v>0.15</v>
      </c>
      <c r="C11" s="17" t="n">
        <f aca="false">$B$4*B11</f>
        <v>22500</v>
      </c>
      <c r="D11" s="5" t="s">
        <v>348</v>
      </c>
      <c r="E11" s="2" t="s">
        <v>349</v>
      </c>
    </row>
    <row r="12" customFormat="false" ht="15" hidden="false" customHeight="false" outlineLevel="0" collapsed="false">
      <c r="A12" s="5" t="s">
        <v>350</v>
      </c>
      <c r="B12" s="18" t="n">
        <v>0.05</v>
      </c>
      <c r="C12" s="17" t="n">
        <f aca="false">$B$4*B12</f>
        <v>7500</v>
      </c>
      <c r="D12" s="5" t="s">
        <v>351</v>
      </c>
      <c r="E12" s="2" t="s">
        <v>352</v>
      </c>
    </row>
    <row r="13" customFormat="false" ht="15" hidden="false" customHeight="false" outlineLevel="0" collapsed="false">
      <c r="A13" s="5" t="s">
        <v>353</v>
      </c>
      <c r="B13" s="18" t="n">
        <v>0.05</v>
      </c>
      <c r="C13" s="17" t="n">
        <f aca="false">$B$4*B13</f>
        <v>7500</v>
      </c>
      <c r="D13" s="5" t="s">
        <v>354</v>
      </c>
      <c r="E13" s="2" t="s">
        <v>31</v>
      </c>
    </row>
    <row r="14" customFormat="false" ht="15" hidden="false" customHeight="false" outlineLevel="0" collapsed="false">
      <c r="A14" s="12" t="s">
        <v>255</v>
      </c>
      <c r="B14" s="43" t="n">
        <f aca="false">SUM(B8:B13)</f>
        <v>1</v>
      </c>
      <c r="C14" s="26" t="n">
        <f aca="false">SUM(C8:C13)</f>
        <v>150000</v>
      </c>
    </row>
    <row r="16" customFormat="false" ht="15" hidden="false" customHeight="false" outlineLevel="0" collapsed="false">
      <c r="A16" s="3" t="s">
        <v>355</v>
      </c>
      <c r="B16" s="4"/>
      <c r="C16" s="4"/>
      <c r="D16" s="4"/>
      <c r="E16" s="4"/>
    </row>
    <row r="17" customFormat="false" ht="15" hidden="false" customHeight="false" outlineLevel="0" collapsed="false">
      <c r="A17" s="5" t="s">
        <v>356</v>
      </c>
      <c r="B17" s="37" t="n">
        <f aca="false">SUMIFS(Monthly_CF!$B$37:$AQ$37,Monthly_CF!$B$4:$AQ$4,2028)/12</f>
        <v>-1652.76822482639</v>
      </c>
    </row>
    <row r="18" customFormat="false" ht="15" hidden="false" customHeight="false" outlineLevel="0" collapsed="false">
      <c r="A18" s="5" t="s">
        <v>357</v>
      </c>
      <c r="B18" s="35" t="n">
        <f aca="false">IF(B17&gt;=0,"n/a — 2028 is cash-positive operationally",B4/-B17)</f>
        <v>90.756827089749</v>
      </c>
    </row>
    <row r="19" customFormat="false" ht="15" hidden="false" customHeight="false" outlineLevel="0" collapsed="false">
      <c r="A19" s="5" t="s">
        <v>358</v>
      </c>
      <c r="B19" s="37" t="n">
        <f aca="false">PnL!B33</f>
        <v>31925.90235</v>
      </c>
    </row>
    <row r="20" customFormat="false" ht="15" hidden="false" customHeight="false" outlineLevel="0" collapsed="false">
      <c r="A20" s="5" t="s">
        <v>359</v>
      </c>
      <c r="B20" s="45" t="str">
        <f aca="false">IF(B19=0,"Plan self-funds — raise is acceleration only",IF(B4&gt;=B19,"Raise covers the gap","Raise smaller than the gap"))</f>
        <v>Raise covers the gap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6" t="s">
        <v>137</v>
      </c>
      <c r="B4" s="6" t="s">
        <v>138</v>
      </c>
      <c r="C4" s="6" t="s">
        <v>362</v>
      </c>
      <c r="D4" s="6" t="s">
        <v>363</v>
      </c>
      <c r="E4" s="6" t="s">
        <v>364</v>
      </c>
      <c r="F4" s="6" t="s">
        <v>365</v>
      </c>
      <c r="G4" s="6" t="s">
        <v>366</v>
      </c>
      <c r="H4" s="6" t="s">
        <v>367</v>
      </c>
      <c r="I4" s="6" t="s">
        <v>368</v>
      </c>
    </row>
    <row r="5" customFormat="false" ht="42" hidden="false" customHeight="true" outlineLevel="0" collapsed="false">
      <c r="A5" s="30" t="s">
        <v>369</v>
      </c>
      <c r="B5" s="30" t="s">
        <v>370</v>
      </c>
      <c r="C5" s="30" t="s">
        <v>371</v>
      </c>
      <c r="D5" s="47" t="s">
        <v>372</v>
      </c>
      <c r="E5" s="30" t="s">
        <v>183</v>
      </c>
      <c r="F5" s="30" t="s">
        <v>373</v>
      </c>
      <c r="G5" s="30" t="s">
        <v>371</v>
      </c>
      <c r="H5" s="47" t="s">
        <v>64</v>
      </c>
      <c r="I5" s="30" t="s">
        <v>374</v>
      </c>
    </row>
    <row r="6" customFormat="false" ht="42" hidden="false" customHeight="true" outlineLevel="0" collapsed="false">
      <c r="A6" s="30" t="s">
        <v>375</v>
      </c>
      <c r="B6" s="30" t="s">
        <v>376</v>
      </c>
      <c r="C6" s="30" t="s">
        <v>371</v>
      </c>
      <c r="D6" s="47" t="s">
        <v>377</v>
      </c>
      <c r="E6" s="30" t="s">
        <v>378</v>
      </c>
      <c r="F6" s="30" t="s">
        <v>373</v>
      </c>
      <c r="G6" s="30" t="s">
        <v>371</v>
      </c>
      <c r="H6" s="47" t="s">
        <v>64</v>
      </c>
      <c r="I6" s="30" t="s">
        <v>379</v>
      </c>
    </row>
    <row r="7" customFormat="false" ht="42" hidden="false" customHeight="true" outlineLevel="0" collapsed="false">
      <c r="A7" s="30" t="s">
        <v>380</v>
      </c>
      <c r="B7" s="30" t="s">
        <v>370</v>
      </c>
      <c r="C7" s="30" t="s">
        <v>371</v>
      </c>
      <c r="D7" s="47" t="s">
        <v>381</v>
      </c>
      <c r="E7" s="30" t="s">
        <v>382</v>
      </c>
      <c r="F7" s="30" t="s">
        <v>383</v>
      </c>
      <c r="G7" s="30" t="s">
        <v>371</v>
      </c>
      <c r="H7" s="47" t="s">
        <v>64</v>
      </c>
      <c r="I7" s="30" t="s">
        <v>384</v>
      </c>
    </row>
    <row r="8" customFormat="false" ht="42" hidden="false" customHeight="true" outlineLevel="0" collapsed="false">
      <c r="A8" s="30" t="s">
        <v>385</v>
      </c>
      <c r="B8" s="30" t="s">
        <v>386</v>
      </c>
      <c r="C8" s="30" t="s">
        <v>371</v>
      </c>
      <c r="D8" s="47" t="s">
        <v>387</v>
      </c>
      <c r="E8" s="30" t="s">
        <v>382</v>
      </c>
      <c r="F8" s="30" t="s">
        <v>388</v>
      </c>
      <c r="G8" s="30" t="s">
        <v>371</v>
      </c>
      <c r="H8" s="47" t="s">
        <v>389</v>
      </c>
      <c r="I8" s="30" t="s">
        <v>390</v>
      </c>
    </row>
    <row r="9" customFormat="false" ht="42" hidden="false" customHeight="true" outlineLevel="0" collapsed="false">
      <c r="A9" s="30" t="s">
        <v>391</v>
      </c>
      <c r="B9" s="30" t="s">
        <v>392</v>
      </c>
      <c r="C9" s="30" t="s">
        <v>371</v>
      </c>
      <c r="D9" s="47" t="s">
        <v>393</v>
      </c>
      <c r="E9" s="30" t="s">
        <v>185</v>
      </c>
      <c r="F9" s="30" t="s">
        <v>388</v>
      </c>
      <c r="G9" s="30" t="s">
        <v>371</v>
      </c>
      <c r="H9" s="47" t="s">
        <v>394</v>
      </c>
      <c r="I9" s="30" t="s">
        <v>395</v>
      </c>
    </row>
    <row r="10" customFormat="false" ht="42" hidden="false" customHeight="true" outlineLevel="0" collapsed="false">
      <c r="A10" s="30" t="s">
        <v>396</v>
      </c>
      <c r="B10" s="30" t="s">
        <v>397</v>
      </c>
      <c r="C10" s="30" t="s">
        <v>371</v>
      </c>
      <c r="D10" s="47" t="s">
        <v>398</v>
      </c>
      <c r="E10" s="30" t="s">
        <v>399</v>
      </c>
      <c r="F10" s="30" t="s">
        <v>400</v>
      </c>
      <c r="G10" s="30" t="s">
        <v>401</v>
      </c>
      <c r="H10" s="47" t="s">
        <v>389</v>
      </c>
      <c r="I10" s="30" t="s">
        <v>402</v>
      </c>
    </row>
    <row r="11" customFormat="false" ht="42" hidden="false" customHeight="true" outlineLevel="0" collapsed="false">
      <c r="A11" s="30" t="s">
        <v>403</v>
      </c>
      <c r="B11" s="30" t="s">
        <v>157</v>
      </c>
      <c r="C11" s="30" t="s">
        <v>371</v>
      </c>
      <c r="D11" s="47" t="s">
        <v>404</v>
      </c>
      <c r="E11" s="30" t="s">
        <v>399</v>
      </c>
      <c r="F11" s="30" t="s">
        <v>383</v>
      </c>
      <c r="G11" s="30" t="s">
        <v>401</v>
      </c>
      <c r="H11" s="47" t="s">
        <v>389</v>
      </c>
      <c r="I11" s="30" t="s">
        <v>405</v>
      </c>
    </row>
    <row r="12" customFormat="false" ht="42" hidden="false" customHeight="true" outlineLevel="0" collapsed="false">
      <c r="A12" s="30" t="s">
        <v>406</v>
      </c>
      <c r="B12" s="30" t="s">
        <v>143</v>
      </c>
      <c r="C12" s="30" t="s">
        <v>407</v>
      </c>
      <c r="D12" s="47" t="s">
        <v>408</v>
      </c>
      <c r="E12" s="30" t="s">
        <v>409</v>
      </c>
      <c r="F12" s="30" t="s">
        <v>388</v>
      </c>
      <c r="G12" s="30" t="s">
        <v>410</v>
      </c>
      <c r="H12" s="47" t="s">
        <v>389</v>
      </c>
      <c r="I12" s="30" t="s">
        <v>411</v>
      </c>
    </row>
    <row r="13" customFormat="false" ht="42" hidden="false" customHeight="true" outlineLevel="0" collapsed="false">
      <c r="A13" s="30" t="s">
        <v>412</v>
      </c>
      <c r="B13" s="30" t="s">
        <v>413</v>
      </c>
      <c r="C13" s="30" t="s">
        <v>371</v>
      </c>
      <c r="D13" s="47" t="s">
        <v>414</v>
      </c>
      <c r="E13" s="30" t="s">
        <v>185</v>
      </c>
      <c r="F13" s="30" t="s">
        <v>415</v>
      </c>
      <c r="G13" s="30" t="s">
        <v>371</v>
      </c>
      <c r="H13" s="47" t="s">
        <v>416</v>
      </c>
      <c r="I13" s="30" t="s">
        <v>417</v>
      </c>
    </row>
    <row r="14" customFormat="false" ht="42" hidden="false" customHeight="true" outlineLevel="0" collapsed="false">
      <c r="A14" s="30" t="s">
        <v>418</v>
      </c>
      <c r="B14" s="30" t="s">
        <v>419</v>
      </c>
      <c r="C14" s="30" t="s">
        <v>371</v>
      </c>
      <c r="D14" s="47" t="s">
        <v>420</v>
      </c>
      <c r="E14" s="30" t="s">
        <v>399</v>
      </c>
      <c r="F14" s="30" t="s">
        <v>421</v>
      </c>
      <c r="G14" s="30" t="s">
        <v>422</v>
      </c>
      <c r="H14" s="47" t="s">
        <v>416</v>
      </c>
      <c r="I14" s="30" t="s">
        <v>423</v>
      </c>
    </row>
    <row r="15" customFormat="false" ht="42" hidden="false" customHeight="true" outlineLevel="0" collapsed="false">
      <c r="A15" s="30" t="s">
        <v>424</v>
      </c>
      <c r="B15" s="30" t="s">
        <v>425</v>
      </c>
      <c r="C15" s="30" t="s">
        <v>426</v>
      </c>
      <c r="D15" s="47" t="s">
        <v>420</v>
      </c>
      <c r="E15" s="30" t="s">
        <v>399</v>
      </c>
      <c r="F15" s="30" t="s">
        <v>400</v>
      </c>
      <c r="G15" s="30" t="s">
        <v>427</v>
      </c>
      <c r="H15" s="47" t="s">
        <v>63</v>
      </c>
      <c r="I15" s="30" t="s">
        <v>428</v>
      </c>
    </row>
    <row r="16" customFormat="false" ht="42" hidden="false" customHeight="true" outlineLevel="0" collapsed="false">
      <c r="A16" s="30" t="s">
        <v>429</v>
      </c>
      <c r="B16" s="30" t="s">
        <v>143</v>
      </c>
      <c r="C16" s="30" t="s">
        <v>430</v>
      </c>
      <c r="D16" s="47" t="s">
        <v>431</v>
      </c>
      <c r="E16" s="30" t="s">
        <v>432</v>
      </c>
      <c r="F16" s="30" t="s">
        <v>433</v>
      </c>
      <c r="G16" s="30" t="s">
        <v>434</v>
      </c>
      <c r="H16" s="47" t="s">
        <v>63</v>
      </c>
      <c r="I16" s="30" t="s">
        <v>435</v>
      </c>
    </row>
    <row r="17" customFormat="false" ht="42" hidden="false" customHeight="true" outlineLevel="0" collapsed="false">
      <c r="A17" s="30" t="s">
        <v>436</v>
      </c>
      <c r="B17" s="30" t="s">
        <v>437</v>
      </c>
      <c r="C17" s="30" t="s">
        <v>438</v>
      </c>
      <c r="D17" s="47" t="s">
        <v>439</v>
      </c>
      <c r="E17" s="30" t="s">
        <v>440</v>
      </c>
      <c r="F17" s="30" t="s">
        <v>415</v>
      </c>
      <c r="G17" s="30" t="s">
        <v>441</v>
      </c>
      <c r="H17" s="47" t="s">
        <v>389</v>
      </c>
      <c r="I17" s="30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443</v>
      </c>
    </row>
    <row r="2" customFormat="false" ht="15" hidden="false" customHeight="false" outlineLevel="0" collapsed="false">
      <c r="A2" s="2" t="s">
        <v>444</v>
      </c>
    </row>
    <row r="4" customFormat="false" ht="15" hidden="false" customHeight="false" outlineLevel="0" collapsed="false">
      <c r="A4" s="3" t="s">
        <v>445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446</v>
      </c>
      <c r="B5" s="37" t="n">
        <f aca="false">PnL!E13</f>
        <v>457237.5</v>
      </c>
    </row>
    <row r="6" customFormat="false" ht="15" hidden="false" customHeight="false" outlineLevel="0" collapsed="false">
      <c r="A6" s="5" t="s">
        <v>447</v>
      </c>
      <c r="B6" s="48" t="n">
        <v>3</v>
      </c>
      <c r="F6" s="2" t="s">
        <v>448</v>
      </c>
    </row>
    <row r="7" customFormat="false" ht="15" hidden="false" customHeight="false" outlineLevel="0" collapsed="false">
      <c r="A7" s="5" t="s">
        <v>449</v>
      </c>
      <c r="B7" s="17" t="n">
        <f aca="false">B5*B6</f>
        <v>1371712.5</v>
      </c>
    </row>
    <row r="8" customFormat="false" ht="15" hidden="false" customHeight="false" outlineLevel="0" collapsed="false">
      <c r="A8" s="5" t="s">
        <v>450</v>
      </c>
      <c r="B8" s="24" t="n">
        <v>0.4</v>
      </c>
      <c r="F8" s="2" t="s">
        <v>451</v>
      </c>
    </row>
    <row r="9" customFormat="false" ht="15" hidden="false" customHeight="false" outlineLevel="0" collapsed="false">
      <c r="A9" s="5" t="s">
        <v>452</v>
      </c>
      <c r="B9" s="49" t="n">
        <v>3.25</v>
      </c>
    </row>
    <row r="10" customFormat="false" ht="15" hidden="false" customHeight="false" outlineLevel="0" collapsed="false">
      <c r="A10" s="5" t="s">
        <v>453</v>
      </c>
      <c r="B10" s="19" t="n">
        <f aca="false">B7/(1+B8)^B9</f>
        <v>459565.03644605</v>
      </c>
    </row>
    <row r="12" customFormat="false" ht="15" hidden="false" customHeight="false" outlineLevel="0" collapsed="false">
      <c r="A12" s="3" t="s">
        <v>454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5" t="s">
        <v>455</v>
      </c>
      <c r="B13" s="25" t="n">
        <v>1500000</v>
      </c>
      <c r="F13" s="2" t="s">
        <v>456</v>
      </c>
    </row>
    <row r="14" customFormat="false" ht="23.85" hidden="false" customHeight="false" outlineLevel="0" collapsed="false">
      <c r="A14" s="6" t="s">
        <v>457</v>
      </c>
      <c r="B14" s="6" t="s">
        <v>458</v>
      </c>
      <c r="C14" s="6" t="s">
        <v>459</v>
      </c>
      <c r="D14" s="6" t="s">
        <v>460</v>
      </c>
      <c r="E14" s="6"/>
      <c r="F14" s="6" t="s">
        <v>461</v>
      </c>
    </row>
    <row r="15" customFormat="false" ht="15" hidden="false" customHeight="false" outlineLevel="0" collapsed="false">
      <c r="A15" s="5" t="s">
        <v>462</v>
      </c>
      <c r="B15" s="24" t="n">
        <v>0.3</v>
      </c>
      <c r="C15" s="50" t="n">
        <v>0.9</v>
      </c>
      <c r="D15" s="51" t="n">
        <f aca="false">B15*C15</f>
        <v>0.27</v>
      </c>
      <c r="F15" s="2" t="s">
        <v>463</v>
      </c>
    </row>
    <row r="16" customFormat="false" ht="15" hidden="false" customHeight="false" outlineLevel="0" collapsed="false">
      <c r="A16" s="5" t="s">
        <v>464</v>
      </c>
      <c r="B16" s="24" t="n">
        <v>0.25</v>
      </c>
      <c r="C16" s="50" t="n">
        <v>1</v>
      </c>
      <c r="D16" s="51" t="n">
        <f aca="false">B16*C16</f>
        <v>0.25</v>
      </c>
      <c r="F16" s="2" t="s">
        <v>465</v>
      </c>
    </row>
    <row r="17" customFormat="false" ht="15" hidden="false" customHeight="false" outlineLevel="0" collapsed="false">
      <c r="A17" s="5" t="s">
        <v>466</v>
      </c>
      <c r="B17" s="24" t="n">
        <v>0.15</v>
      </c>
      <c r="C17" s="50" t="n">
        <v>0.7</v>
      </c>
      <c r="D17" s="51" t="n">
        <f aca="false">B17*C17</f>
        <v>0.105</v>
      </c>
      <c r="F17" s="2" t="s">
        <v>467</v>
      </c>
    </row>
    <row r="18" customFormat="false" ht="15" hidden="false" customHeight="false" outlineLevel="0" collapsed="false">
      <c r="A18" s="5" t="s">
        <v>468</v>
      </c>
      <c r="B18" s="24" t="n">
        <v>0.1</v>
      </c>
      <c r="C18" s="50" t="n">
        <v>0.9</v>
      </c>
      <c r="D18" s="51" t="n">
        <f aca="false">B18*C18</f>
        <v>0.09</v>
      </c>
      <c r="F18" s="2" t="s">
        <v>469</v>
      </c>
    </row>
    <row r="19" customFormat="false" ht="15" hidden="false" customHeight="false" outlineLevel="0" collapsed="false">
      <c r="A19" s="5" t="s">
        <v>470</v>
      </c>
      <c r="B19" s="24" t="n">
        <v>0.1</v>
      </c>
      <c r="C19" s="50" t="n">
        <v>0.8</v>
      </c>
      <c r="D19" s="51" t="n">
        <f aca="false">B19*C19</f>
        <v>0.08</v>
      </c>
      <c r="F19" s="2" t="s">
        <v>471</v>
      </c>
    </row>
    <row r="20" customFormat="false" ht="15" hidden="false" customHeight="false" outlineLevel="0" collapsed="false">
      <c r="A20" s="5" t="s">
        <v>472</v>
      </c>
      <c r="B20" s="24" t="n">
        <v>0.05</v>
      </c>
      <c r="C20" s="50" t="n">
        <v>1.1</v>
      </c>
      <c r="D20" s="51" t="n">
        <f aca="false">B20*C20</f>
        <v>0.055</v>
      </c>
      <c r="F20" s="2" t="s">
        <v>473</v>
      </c>
    </row>
    <row r="21" customFormat="false" ht="15" hidden="false" customHeight="false" outlineLevel="0" collapsed="false">
      <c r="A21" s="5" t="s">
        <v>474</v>
      </c>
      <c r="B21" s="24" t="n">
        <v>0.05</v>
      </c>
      <c r="C21" s="50" t="n">
        <v>1</v>
      </c>
      <c r="D21" s="51" t="n">
        <f aca="false">B21*C21</f>
        <v>0.05</v>
      </c>
      <c r="F21" s="2" t="s">
        <v>475</v>
      </c>
    </row>
    <row r="22" customFormat="false" ht="15" hidden="false" customHeight="false" outlineLevel="0" collapsed="false">
      <c r="A22" s="12" t="s">
        <v>476</v>
      </c>
      <c r="B22" s="43" t="n">
        <f aca="false">SUM(B15:B21)</f>
        <v>1</v>
      </c>
      <c r="D22" s="52" t="n">
        <f aca="false">SUM(D15:D21)</f>
        <v>0.9</v>
      </c>
    </row>
    <row r="23" customFormat="false" ht="15" hidden="false" customHeight="false" outlineLevel="0" collapsed="false">
      <c r="A23" s="5" t="s">
        <v>477</v>
      </c>
      <c r="B23" s="19" t="n">
        <f aca="false">B13*D22</f>
        <v>1350000</v>
      </c>
    </row>
    <row r="25" customFormat="false" ht="15" hidden="false" customHeight="false" outlineLevel="0" collapsed="false">
      <c r="A25" s="3" t="s">
        <v>478</v>
      </c>
      <c r="B25" s="4"/>
      <c r="C25" s="4"/>
      <c r="D25" s="4"/>
      <c r="E25" s="4"/>
      <c r="F25" s="4"/>
    </row>
    <row r="26" customFormat="false" ht="15" hidden="false" customHeight="false" outlineLevel="0" collapsed="false">
      <c r="A26" s="5" t="s">
        <v>479</v>
      </c>
      <c r="B26" s="37" t="n">
        <f aca="false">PnL!C12</f>
        <v>84268.0453125</v>
      </c>
    </row>
    <row r="27" customFormat="false" ht="15" hidden="false" customHeight="false" outlineLevel="0" collapsed="false">
      <c r="A27" s="5" t="s">
        <v>480</v>
      </c>
      <c r="B27" s="48" t="n">
        <v>2</v>
      </c>
      <c r="F27" s="2" t="s">
        <v>481</v>
      </c>
    </row>
    <row r="28" customFormat="false" ht="15" hidden="false" customHeight="false" outlineLevel="0" collapsed="false">
      <c r="A28" s="5" t="s">
        <v>482</v>
      </c>
      <c r="B28" s="19" t="n">
        <f aca="false">B26*B27</f>
        <v>168536.090625</v>
      </c>
    </row>
    <row r="30" customFormat="false" ht="15" hidden="false" customHeight="false" outlineLevel="0" collapsed="false">
      <c r="A30" s="3" t="s">
        <v>483</v>
      </c>
      <c r="B30" s="4"/>
      <c r="C30" s="4"/>
      <c r="D30" s="4"/>
      <c r="E30" s="4"/>
      <c r="F30" s="4"/>
    </row>
    <row r="31" customFormat="false" ht="15" hidden="false" customHeight="false" outlineLevel="0" collapsed="false">
      <c r="A31" s="6" t="s">
        <v>484</v>
      </c>
      <c r="B31" s="6" t="s">
        <v>485</v>
      </c>
      <c r="C31" s="6"/>
      <c r="D31" s="6"/>
      <c r="E31" s="6"/>
      <c r="F31" s="6" t="s">
        <v>334</v>
      </c>
    </row>
    <row r="32" customFormat="false" ht="15" hidden="false" customHeight="false" outlineLevel="0" collapsed="false">
      <c r="A32" s="5" t="s">
        <v>486</v>
      </c>
      <c r="B32" s="17" t="n">
        <f aca="false">B10</f>
        <v>459565.03644605</v>
      </c>
      <c r="F32" s="2" t="s">
        <v>487</v>
      </c>
    </row>
    <row r="33" customFormat="false" ht="15" hidden="false" customHeight="false" outlineLevel="0" collapsed="false">
      <c r="A33" s="5" t="s">
        <v>488</v>
      </c>
      <c r="B33" s="17" t="n">
        <f aca="false">B23</f>
        <v>1350000</v>
      </c>
      <c r="F33" s="2" t="s">
        <v>489</v>
      </c>
    </row>
    <row r="34" customFormat="false" ht="15" hidden="false" customHeight="false" outlineLevel="0" collapsed="false">
      <c r="A34" s="5" t="s">
        <v>490</v>
      </c>
      <c r="B34" s="17" t="n">
        <f aca="false">B28</f>
        <v>168536.090625</v>
      </c>
      <c r="F34" s="2" t="s">
        <v>491</v>
      </c>
    </row>
    <row r="35" customFormat="false" ht="15" hidden="false" customHeight="false" outlineLevel="0" collapsed="false">
      <c r="A35" s="5" t="s">
        <v>492</v>
      </c>
      <c r="B35" s="19" t="n">
        <f aca="false">AVERAGE(B32:B34)</f>
        <v>659367.042357017</v>
      </c>
    </row>
    <row r="36" customFormat="false" ht="15" hidden="false" customHeight="false" outlineLevel="0" collapsed="false">
      <c r="A36" s="5" t="s">
        <v>493</v>
      </c>
      <c r="B36" s="17" t="n">
        <f aca="false">MIN(B32:B34)</f>
        <v>168536.090625</v>
      </c>
      <c r="C36" s="17" t="n">
        <f aca="false">MAX(B32:B34)</f>
        <v>1350000</v>
      </c>
    </row>
    <row r="38" customFormat="false" ht="15" hidden="false" customHeight="false" outlineLevel="0" collapsed="false">
      <c r="A38" s="5" t="s">
        <v>494</v>
      </c>
      <c r="B38" s="29" t="n">
        <v>1</v>
      </c>
      <c r="F38" s="2" t="s">
        <v>495</v>
      </c>
    </row>
    <row r="40" customFormat="false" ht="15" hidden="false" customHeight="false" outlineLevel="0" collapsed="false">
      <c r="A40" s="12" t="s">
        <v>496</v>
      </c>
      <c r="B40" s="41" t="n">
        <f aca="false">INDEX(B32:B35,B38)</f>
        <v>459565.03644605</v>
      </c>
    </row>
    <row r="42" customFormat="false" ht="15" hidden="false" customHeight="false" outlineLevel="0" collapsed="false">
      <c r="A42" s="2" t="s">
        <v>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" t="s">
        <v>498</v>
      </c>
    </row>
    <row r="2" customFormat="false" ht="15" hidden="false" customHeight="false" outlineLevel="0" collapsed="false">
      <c r="A2" s="2" t="s">
        <v>499</v>
      </c>
    </row>
    <row r="4" customFormat="false" ht="15" hidden="false" customHeight="false" outlineLevel="0" collapsed="false">
      <c r="A4" s="12" t="s">
        <v>500</v>
      </c>
    </row>
    <row r="5" customFormat="false" ht="15" hidden="false" customHeight="false" outlineLevel="0" collapsed="false">
      <c r="A5" s="5" t="s">
        <v>501</v>
      </c>
      <c r="B5" s="37" t="n">
        <f aca="false">PnL!E13</f>
        <v>457237.5</v>
      </c>
    </row>
    <row r="6" customFormat="false" ht="15" hidden="false" customHeight="false" outlineLevel="0" collapsed="false">
      <c r="A6" s="5" t="s">
        <v>47</v>
      </c>
      <c r="B6" s="37" t="n">
        <f aca="false">PnL!E21</f>
        <v>-10411.965</v>
      </c>
    </row>
    <row r="7" customFormat="false" ht="15" hidden="false" customHeight="false" outlineLevel="0" collapsed="false">
      <c r="A7" s="5" t="s">
        <v>502</v>
      </c>
      <c r="B7" s="37" t="n">
        <f aca="false">Valuation!B7</f>
        <v>1371712.5</v>
      </c>
    </row>
    <row r="8" customFormat="false" ht="15" hidden="false" customHeight="false" outlineLevel="0" collapsed="false">
      <c r="A8" s="5" t="s">
        <v>503</v>
      </c>
      <c r="B8" s="53" t="n">
        <v>5</v>
      </c>
      <c r="C8" s="17" t="n">
        <f aca="false">MAX(0,B6)*B8</f>
        <v>0</v>
      </c>
      <c r="D8" s="2" t="s">
        <v>504</v>
      </c>
    </row>
    <row r="10" customFormat="false" ht="15" hidden="false" customHeight="false" outlineLevel="0" collapsed="false">
      <c r="A10" s="6" t="s">
        <v>505</v>
      </c>
      <c r="B10" s="6" t="s">
        <v>506</v>
      </c>
      <c r="C10" s="6" t="s">
        <v>507</v>
      </c>
      <c r="D10" s="6" t="s">
        <v>508</v>
      </c>
      <c r="E10" s="6" t="s">
        <v>509</v>
      </c>
      <c r="F10" s="6" t="s">
        <v>510</v>
      </c>
      <c r="G10" s="6" t="s">
        <v>511</v>
      </c>
    </row>
    <row r="11" customFormat="false" ht="48" hidden="false" customHeight="true" outlineLevel="0" collapsed="false">
      <c r="A11" s="30" t="s">
        <v>512</v>
      </c>
      <c r="B11" s="30" t="s">
        <v>513</v>
      </c>
      <c r="C11" s="30" t="s">
        <v>514</v>
      </c>
      <c r="D11" s="30" t="s">
        <v>515</v>
      </c>
      <c r="E11" s="30" t="s">
        <v>516</v>
      </c>
      <c r="F11" s="30" t="s">
        <v>64</v>
      </c>
      <c r="G11" s="30" t="s">
        <v>517</v>
      </c>
    </row>
    <row r="12" customFormat="false" ht="48" hidden="false" customHeight="true" outlineLevel="0" collapsed="false">
      <c r="A12" s="30" t="s">
        <v>518</v>
      </c>
      <c r="B12" s="30" t="s">
        <v>519</v>
      </c>
      <c r="C12" s="30" t="s">
        <v>520</v>
      </c>
      <c r="D12" s="30" t="s">
        <v>521</v>
      </c>
      <c r="E12" s="30" t="s">
        <v>522</v>
      </c>
      <c r="F12" s="30" t="s">
        <v>389</v>
      </c>
      <c r="G12" s="30" t="s">
        <v>523</v>
      </c>
    </row>
    <row r="13" customFormat="false" ht="48" hidden="false" customHeight="true" outlineLevel="0" collapsed="false">
      <c r="A13" s="30" t="s">
        <v>524</v>
      </c>
      <c r="B13" s="30" t="s">
        <v>525</v>
      </c>
      <c r="C13" s="30" t="s">
        <v>520</v>
      </c>
      <c r="D13" s="30" t="s">
        <v>526</v>
      </c>
      <c r="E13" s="30" t="s">
        <v>527</v>
      </c>
      <c r="F13" s="30" t="s">
        <v>389</v>
      </c>
      <c r="G13" s="30" t="s">
        <v>528</v>
      </c>
    </row>
    <row r="14" customFormat="false" ht="48" hidden="false" customHeight="true" outlineLevel="0" collapsed="false">
      <c r="A14" s="30" t="s">
        <v>529</v>
      </c>
      <c r="B14" s="30" t="s">
        <v>530</v>
      </c>
      <c r="C14" s="30" t="s">
        <v>531</v>
      </c>
      <c r="D14" s="30" t="s">
        <v>532</v>
      </c>
      <c r="E14" s="30" t="s">
        <v>533</v>
      </c>
      <c r="F14" s="30" t="s">
        <v>416</v>
      </c>
      <c r="G14" s="30" t="s">
        <v>534</v>
      </c>
    </row>
    <row r="15" customFormat="false" ht="48" hidden="false" customHeight="true" outlineLevel="0" collapsed="false">
      <c r="A15" s="30" t="s">
        <v>535</v>
      </c>
      <c r="B15" s="30" t="s">
        <v>536</v>
      </c>
      <c r="C15" s="30" t="s">
        <v>514</v>
      </c>
      <c r="D15" s="30" t="s">
        <v>537</v>
      </c>
      <c r="E15" s="30" t="s">
        <v>538</v>
      </c>
      <c r="F15" s="30" t="s">
        <v>389</v>
      </c>
      <c r="G15" s="30" t="s">
        <v>539</v>
      </c>
    </row>
    <row r="16" customFormat="false" ht="48" hidden="false" customHeight="true" outlineLevel="0" collapsed="false">
      <c r="A16" s="30" t="s">
        <v>540</v>
      </c>
      <c r="B16" s="30" t="s">
        <v>541</v>
      </c>
      <c r="C16" s="30" t="s">
        <v>542</v>
      </c>
      <c r="D16" s="30" t="s">
        <v>543</v>
      </c>
      <c r="E16" s="30" t="s">
        <v>544</v>
      </c>
      <c r="F16" s="30" t="s">
        <v>416</v>
      </c>
      <c r="G16" s="30" t="s">
        <v>545</v>
      </c>
    </row>
    <row r="18" customFormat="false" ht="15" hidden="false" customHeight="false" outlineLevel="0" collapsed="false">
      <c r="A18" s="2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2026-09-14T09:59:12Z</dcterms:created>
  <dc:creator>openpyxl</dc:creator>
  <dc:description/>
  <dc:language>en-US</dc:language>
  <cp:lastModifiedBy/>
  <dcterms:modified xsi:type="dcterms:W3CDTF">2026-09-14T09:59:12Z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