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cence &amp; Ownersh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Arial"/>
      <b val="1"/>
      <color rgb="002E2E2E"/>
      <sz val="14"/>
    </font>
    <font>
      <name val="Arial"/>
      <i val="1"/>
      <color rgb="00808080"/>
      <sz val="9"/>
    </font>
    <font>
      <name val="Arial"/>
      <b val="1"/>
      <color rgb="00B26A00"/>
      <sz val="10"/>
    </font>
    <font>
      <name val="Arial"/>
      <color rgb="002E2E2E"/>
      <sz val="10"/>
    </font>
    <font>
      <name val="Arial"/>
      <b val="1"/>
      <color rgb="00FFFFFF"/>
      <sz val="9"/>
    </font>
    <font>
      <name val="Arial"/>
      <b val="1"/>
      <color rgb="002E2E2E"/>
      <sz val="9"/>
    </font>
    <font>
      <name val="Arial"/>
      <color rgb="002E2E2E"/>
      <sz val="9"/>
    </font>
    <font>
      <name val="Arial"/>
      <b val="1"/>
      <color rgb="00B26A00"/>
      <sz val="9"/>
    </font>
  </fonts>
  <fills count="5">
    <fill>
      <patternFill/>
    </fill>
    <fill>
      <patternFill patternType="gray125"/>
    </fill>
    <fill>
      <patternFill patternType="solid">
        <fgColor rgb="00FFF3D6"/>
      </patternFill>
    </fill>
    <fill>
      <patternFill patternType="solid">
        <fgColor rgb="001A1A1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9" fontId="4" fillId="2" borderId="0" applyAlignment="1" pivotButton="0" quotePrefix="0" xfId="0">
      <alignment horizontal="left" vertical="center" wrapText="1"/>
    </xf>
    <xf numFmtId="2" fontId="4" fillId="2" borderId="0" applyAlignment="1" pivotButton="0" quotePrefix="0" xfId="0">
      <alignment horizontal="left" vertical="center" wrapText="1"/>
    </xf>
    <xf numFmtId="164" fontId="4" fillId="2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/>
    </xf>
    <xf numFmtId="3" fontId="7" fillId="4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3" fontId="7" fillId="0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3" customWidth="1" min="5" max="5"/>
    <col width="15" customWidth="1" min="6" max="6"/>
    <col width="15" customWidth="1" min="7" max="7"/>
    <col width="12" customWidth="1" min="8" max="8"/>
  </cols>
  <sheetData>
    <row r="1">
      <c r="A1" s="1" t="inlineStr">
        <is>
          <t>VortexDeep — Licence &amp; Ownership Pricing</t>
        </is>
      </c>
    </row>
    <row r="2" ht="28" customHeight="1">
      <c r="A2" s="2" t="inlineStr">
        <is>
          <t>Default = Managed. If the client declines the monthly managed service, offer a Licence (recurring right-to-use, you keep the IP). Full Buy-out only if they insist on owning outright.</t>
        </is>
      </c>
    </row>
    <row r="4">
      <c r="A4" s="3" t="inlineStr">
        <is>
          <t>INPUTS (edit these)</t>
        </is>
      </c>
    </row>
    <row r="5">
      <c r="A5" s="4" t="inlineStr">
        <is>
          <t>Licence % of managed-year</t>
        </is>
      </c>
      <c r="B5" s="5" t="n">
        <v>0.5</v>
      </c>
      <c r="C5" s="2" t="inlineStr">
        <is>
          <t>share of the managed year the licence keeps (maintain vs improve split). 40–60% typical.</t>
        </is>
      </c>
    </row>
    <row r="6">
      <c r="A6" s="4" t="inlineStr">
        <is>
          <t>Licence setup multiplier</t>
        </is>
      </c>
      <c r="B6" s="6" t="n">
        <v>1.3</v>
      </c>
      <c r="C6" s="2" t="inlineStr">
        <is>
          <t>one-time uplift for documentation + handover so they can run it themselves.</t>
        </is>
      </c>
    </row>
    <row r="7">
      <c r="A7" s="4" t="inlineStr">
        <is>
          <t>Buy-out: years of recurring to capitalise</t>
        </is>
      </c>
      <c r="B7" s="7" t="n">
        <v>2.5</v>
      </c>
      <c r="C7" s="2" t="inlineStr">
        <is>
          <t>buy-out = setup + (years × 12 × monthly). Protects the recurring you give up.</t>
        </is>
      </c>
    </row>
    <row r="9">
      <c r="A9" s="8" t="inlineStr">
        <is>
          <t>Package</t>
        </is>
      </c>
      <c r="B9" s="8" t="inlineStr">
        <is>
          <t>Managed setup</t>
        </is>
      </c>
      <c r="C9" s="8" t="inlineStr">
        <is>
          <t>Managed / mo</t>
        </is>
      </c>
      <c r="D9" s="8" t="inlineStr">
        <is>
          <t>Licence setup</t>
        </is>
      </c>
      <c r="E9" s="8" t="inlineStr">
        <is>
          <t>Licence / year</t>
        </is>
      </c>
      <c r="F9" s="8" t="inlineStr">
        <is>
          <t>Licence / mo (equiv)</t>
        </is>
      </c>
      <c r="G9" s="8" t="inlineStr">
        <is>
          <t>Buy-out one-time</t>
        </is>
      </c>
      <c r="H9" s="8" t="inlineStr">
        <is>
          <t>Buy-out / mo</t>
        </is>
      </c>
    </row>
    <row r="10" ht="16" customHeight="1">
      <c r="A10" s="9" t="inlineStr">
        <is>
          <t>Basic Intake</t>
        </is>
      </c>
      <c r="B10" s="10" t="n">
        <v>1275</v>
      </c>
      <c r="C10" s="10" t="n">
        <v>300</v>
      </c>
      <c r="D10" s="10">
        <f>ROUND(B10*$B$6,0)</f>
        <v/>
      </c>
      <c r="E10" s="10">
        <f>ROUND(C10*12*$B$5,0)</f>
        <v/>
      </c>
      <c r="F10" s="10">
        <f>ROUND(E10/12,0)</f>
        <v/>
      </c>
      <c r="G10" s="10">
        <f>ROUND(B10+$B$7*12*C10,0)</f>
        <v/>
      </c>
      <c r="H10" s="10" t="n">
        <v>0</v>
      </c>
    </row>
    <row r="11" ht="16" customHeight="1">
      <c r="A11" s="11" t="inlineStr">
        <is>
          <t>Basic+ AI Triage</t>
        </is>
      </c>
      <c r="B11" s="12" t="n">
        <v>2500</v>
      </c>
      <c r="C11" s="12" t="n">
        <v>525</v>
      </c>
      <c r="D11" s="12">
        <f>ROUND(B11*$B$6,0)</f>
        <v/>
      </c>
      <c r="E11" s="12">
        <f>ROUND(C11*12*$B$5,0)</f>
        <v/>
      </c>
      <c r="F11" s="12">
        <f>ROUND(E11/12,0)</f>
        <v/>
      </c>
      <c r="G11" s="12">
        <f>ROUND(B11+$B$7*12*C11,0)</f>
        <v/>
      </c>
      <c r="H11" s="12" t="n">
        <v>0</v>
      </c>
    </row>
    <row r="12" ht="16" customHeight="1">
      <c r="A12" s="9" t="inlineStr">
        <is>
          <t>Pro Multi-Channel</t>
        </is>
      </c>
      <c r="B12" s="10" t="n">
        <v>5500</v>
      </c>
      <c r="C12" s="10" t="n">
        <v>1125</v>
      </c>
      <c r="D12" s="10">
        <f>ROUND(B12*$B$6,0)</f>
        <v/>
      </c>
      <c r="E12" s="10">
        <f>ROUND(C12*12*$B$5,0)</f>
        <v/>
      </c>
      <c r="F12" s="10">
        <f>ROUND(E12/12,0)</f>
        <v/>
      </c>
      <c r="G12" s="10">
        <f>ROUND(B12+$B$7*12*C12,0)</f>
        <v/>
      </c>
      <c r="H12" s="10" t="n">
        <v>0</v>
      </c>
    </row>
    <row r="13" ht="16" customHeight="1">
      <c r="A13" s="11" t="inlineStr">
        <is>
          <t>Managed Operations</t>
        </is>
      </c>
      <c r="B13" s="12" t="n">
        <v>11250</v>
      </c>
      <c r="C13" s="12" t="n">
        <v>2500</v>
      </c>
      <c r="D13" s="12">
        <f>ROUND(B13*$B$6,0)</f>
        <v/>
      </c>
      <c r="E13" s="12">
        <f>ROUND(C13*12*$B$5,0)</f>
        <v/>
      </c>
      <c r="F13" s="12">
        <f>ROUND(E13/12,0)</f>
        <v/>
      </c>
      <c r="G13" s="12">
        <f>ROUND(B13+$B$7*12*C13,0)</f>
        <v/>
      </c>
      <c r="H13" s="12" t="n">
        <v>0</v>
      </c>
    </row>
    <row r="14" ht="16" customHeight="1">
      <c r="A14" s="9" t="inlineStr">
        <is>
          <t>Agentic Automation</t>
        </is>
      </c>
      <c r="B14" s="10" t="n">
        <v>21000</v>
      </c>
      <c r="C14" s="10" t="n">
        <v>4250</v>
      </c>
      <c r="D14" s="10">
        <f>ROUND(B14*$B$6,0)</f>
        <v/>
      </c>
      <c r="E14" s="10">
        <f>ROUND(C14*12*$B$5,0)</f>
        <v/>
      </c>
      <c r="F14" s="10">
        <f>ROUND(E14/12,0)</f>
        <v/>
      </c>
      <c r="G14" s="10">
        <f>ROUND(B14+$B$7*12*C14,0)</f>
        <v/>
      </c>
      <c r="H14" s="10" t="n">
        <v>0</v>
      </c>
    </row>
    <row r="16">
      <c r="A16" s="13" t="inlineStr">
        <is>
          <t>How to read it:</t>
        </is>
      </c>
    </row>
    <row r="17">
      <c r="A17" s="2" t="inlineStr">
        <is>
          <t>• Managed (default): you run and improve it. Setup + monthly as per your package.</t>
        </is>
      </c>
    </row>
    <row r="18">
      <c r="A18" s="2" t="inlineStr">
        <is>
          <t>• Licence (no managed service): they run it, you licence the right-to-use and keep the IP. Setup ×1.3 (handover/docs), plus an annual licence = licence% × the managed year. Keeps it recurring.</t>
        </is>
      </c>
    </row>
    <row r="19">
      <c r="A19" s="2" t="inlineStr">
        <is>
          <t>• Buy-out (premium, only if they insist): one-time = setup + years×12×monthly. You keep only general know-how. Priced so you're paid for the recurring you give up.</t>
        </is>
      </c>
    </row>
    <row r="20">
      <c r="A20" s="2" t="inlineStr">
        <is>
          <t>Licence % is the maintain-vs-improve split: 40% if your monthly is mostly active improvement, 60% if it's mostly keeping-it-running. Default 50%.</t>
        </is>
      </c>
    </row>
    <row r="21">
      <c r="A21" s="2" t="inlineStr">
        <is>
          <t>All figures use the package midpoints from your Package Reference; swap in the low/high or the calculator's live quote as needed.</t>
        </is>
      </c>
    </row>
  </sheetData>
  <mergeCells count="6">
    <mergeCell ref="A18:H18"/>
    <mergeCell ref="A21:H21"/>
    <mergeCell ref="A20:H20"/>
    <mergeCell ref="A16:H16"/>
    <mergeCell ref="A19:H19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2026-08-29T20:05:31Z</dcterms:created>
  <dcterms:modified xmlns:dcterms="http://purl.org/dc/terms/" xmlns:xsi="http://www.w3.org/2001/XMLSchema-instance" xsi:type="dcterms:W3CDTF">2026-08-29T20:05:31Z</dcterms:modified>
</cp:coreProperties>
</file>