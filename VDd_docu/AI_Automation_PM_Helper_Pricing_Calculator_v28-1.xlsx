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ART HERE" sheetId="1" state="visible" r:id="rId3"/>
    <sheet name="Product Catalogue" sheetId="2" state="visible" r:id="rId4"/>
    <sheet name="Quote Calculator" sheetId="3" state="visible" r:id="rId5"/>
    <sheet name="ROI App" sheetId="4" state="visible" r:id="rId6"/>
    <sheet name="ROI App_v1" sheetId="5" state="visible" r:id="rId7"/>
    <sheet name="ROI App_v0" sheetId="6" state="visible" r:id="rId8"/>
    <sheet name="Package Reference" sheetId="7" state="visible" r:id="rId9"/>
    <sheet name="Access Models" sheetId="8" state="visible" r:id="rId10"/>
    <sheet name="Complexity Reference" sheetId="9" state="visible" r:id="rId11"/>
    <sheet name="Example Quotes" sheetId="10" state="visible" r:id="rId12"/>
    <sheet name="Example Quotes — 3 options" sheetId="11" state="visible" r:id="rId13"/>
    <sheet name="Access &amp; Licence Pricing" sheetId="12" state="visible" r:id="rId14"/>
    <sheet name="Break-Even &amp; Runway" sheetId="13" state="visible" r:id="rId15"/>
    <sheet name="Front-Door Tools — Pricing" sheetId="14" state="visible" r:id="rId16"/>
    <sheet name="Client Quote Summary" sheetId="15" state="visible" r:id="rId17"/>
    <sheet name="MGRS - EMAIL Logic" sheetId="16" state="visible" r:id="rId18"/>
    <sheet name="AUDIT Pricing" sheetId="17" state="visible" r:id="rId19"/>
    <sheet name="Access Support Matrix" sheetId="18" state="visible" r:id="rId20"/>
    <sheet name="DOCU - Pricing Logic"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<sst xmlns="http://schemas.openxmlformats.org/spreadsheetml/2006/main" count="2482" uniqueCount="1657">
  <si>
    <t xml:space="preserve">AI Automation Pricing Calculator — VortexDeep</t>
  </si>
  <si>
    <t xml:space="preserve">Updated workbook. This sheet is the map; the Quote Calculator is the engine.</t>
  </si>
  <si>
    <t xml:space="preserve">Purpose</t>
  </si>
  <si>
    <t xml:space="preserve">Define WHAT we offer, PRICE a build, and show the three ACCESS MODELS a client can hold it under.</t>
  </si>
  <si>
    <t xml:space="preserve">The engine</t>
  </si>
  <si>
    <t xml:space="preserve">Quote Calculator — pick package + access model + support model, set the complexity counts, read setup/monthly and (new) all three access options.</t>
  </si>
  <si>
    <t xml:space="preserve">Cell colours</t>
  </si>
  <si>
    <t xml:space="preserve">Yellow = you edit.   Blue = calculated (don't type over).   Plain/grey = reference &amp; internal.</t>
  </si>
  <si>
    <t xml:space="preserve">Access models</t>
  </si>
  <si>
    <t xml:space="preserve">Managed (default) · Licence (client-facing ownership, we keep the IP) · Full transfer (INTERNAL ONLY). Full policy: IP_and_Licensing_Policy doc.</t>
  </si>
  <si>
    <t xml:space="preserve">Client sharing</t>
  </si>
  <si>
    <t xml:space="preserve">Do NOT send internal logic/pricing sheets to clients. Share only the Client Quote Summary.</t>
  </si>
  <si>
    <t xml:space="preserve">v28 · updated 2026-09 · adds Break-Even &amp; Runway sheet; fixes a formula bug in Quote Calculator F31:F34 (Extra data sources / AI generation steps adders were silently computing to 0 in v27 due to a label mismatch against Complexity Reference).</t>
  </si>
  <si>
    <t xml:space="preserve">v27 · updated 2026-08 · supersedes the old 'safe v4' notes.</t>
  </si>
  <si>
    <t xml:space="preserve">SHEET MAP</t>
  </si>
  <si>
    <t xml:space="preserve">Group</t>
  </si>
  <si>
    <t xml:space="preserve">Sheet</t>
  </si>
  <si>
    <t xml:space="preserve">What it's for</t>
  </si>
  <si>
    <t xml:space="preserve">Offer</t>
  </si>
  <si>
    <t xml:space="preserve">Product Catalogue</t>
  </si>
  <si>
    <t xml:space="preserve">What we sell: Area › Sub-area › Automation (+ front-door tools). Mirrors vortexdeep.ch.</t>
  </si>
  <si>
    <t xml:space="preserve">Engine</t>
  </si>
  <si>
    <t xml:space="preserve">Quote Calculator</t>
  </si>
  <si>
    <t xml:space="preserve">Price one build. The live calculator — start here for a quote.</t>
  </si>
  <si>
    <t xml:space="preserve">Engine ref</t>
  </si>
  <si>
    <t xml:space="preserve">Package Reference</t>
  </si>
  <si>
    <t xml:space="preserve">The 5 scope packages and their base setup/monthly ranges.</t>
  </si>
  <si>
    <t xml:space="preserve">Complexity Reference</t>
  </si>
  <si>
    <t xml:space="preserve">Adders &amp; support multipliers the calculator pulls in.</t>
  </si>
  <si>
    <t xml:space="preserve">Access</t>
  </si>
  <si>
    <t xml:space="preserve">Access Models</t>
  </si>
  <si>
    <t xml:space="preserve">The 5 access variants + what client gets / we keep + 'what it means'.</t>
  </si>
  <si>
    <t xml:space="preserve">Access Support Matrix</t>
  </si>
  <si>
    <t xml:space="preserve">The three tiers and where each is priced.</t>
  </si>
  <si>
    <t xml:space="preserve">Access &amp; Licence Pricing</t>
  </si>
  <si>
    <t xml:space="preserve">Managed / Licence / Full-transfer numbers per package.</t>
  </si>
  <si>
    <t xml:space="preserve">Company</t>
  </si>
  <si>
    <t xml:space="preserve">Break-Even &amp; Runway</t>
  </si>
  <si>
    <t xml:space="preserve">NEW in v28 — founder draw + fixed costs vs. blended client revenue -&gt; break-even client count. Tests the deck's own '6-8 clients' claim.</t>
  </si>
  <si>
    <t xml:space="preserve">Examples</t>
  </si>
  <si>
    <t xml:space="preserve">Example Quotes</t>
  </si>
  <si>
    <t xml:space="preserve">Worked example quotes (kept for reference).</t>
  </si>
  <si>
    <t xml:space="preserve">Example Quotes — 3 options</t>
  </si>
  <si>
    <t xml:space="preserve">Each build shown under all three access models (split min/max).</t>
  </si>
  <si>
    <t xml:space="preserve">Front door</t>
  </si>
  <si>
    <t xml:space="preserve">Front-Door Tools — Pricing</t>
  </si>
  <si>
    <t xml:space="preserve">AISR &amp; AIWSC tiers + market comparison (non-core services).</t>
  </si>
  <si>
    <t xml:space="preserve">Client out</t>
  </si>
  <si>
    <t xml:space="preserve">Client Quote Summary</t>
  </si>
  <si>
    <t xml:space="preserve">The only sheet you share with a client.</t>
  </si>
  <si>
    <t xml:space="preserve">Internal</t>
  </si>
  <si>
    <t xml:space="preserve">MGRS - EMAIL Logic</t>
  </si>
  <si>
    <t xml:space="preserve">Build logic for the MG Red Shift email automation (example).</t>
  </si>
  <si>
    <t xml:space="preserve">DOCU - Pricing Logic</t>
  </si>
  <si>
    <t xml:space="preserve">Counts-based pricing logic write-up.</t>
  </si>
  <si>
    <t xml:space="preserve">AUDIT Pricing</t>
  </si>
  <si>
    <t xml:space="preserve">Pricing audit notes.</t>
  </si>
  <si>
    <t xml:space="preserve">ROI App / _v1 / _v0</t>
  </si>
  <si>
    <t xml:space="preserve">ROI calculators (client value framing).</t>
  </si>
  <si>
    <t xml:space="preserve">WORKFLOW</t>
  </si>
  <si>
    <t xml:space="preserve">1) In Quote Calculator, pick Package + Access model + Support model (yellow cells).</t>
  </si>
  <si>
    <t xml:space="preserve">2) Set the complexity counts (extra channels, AI steps, CRM, approvals, reporting) + any multipliers.</t>
  </si>
  <si>
    <t xml:space="preserve">3) Read Setup / Monthly ranges — and the new 'Three access models (derived)' block for Licence &amp; Transfer.</t>
  </si>
  <si>
    <t xml:space="preserve">4) Copy the agreed numbers into Client Quote Summary to share.</t>
  </si>
  <si>
    <t xml:space="preserve">VortexDeep — Product Catalogue</t>
  </si>
  <si>
    <t xml:space="preserve">Three levels: AREA › SUB-AREA (job) › AUTOMATION (the thing we build &amp; price). Representative, not exhaustive — the list expands. Each automation shows the task PATTERN it uses (patterns recur across areas — that's our reusable IP). ★ = shortlist ready for the website.</t>
  </si>
  <si>
    <t xml:space="preserve">PATTERNS (the verbs):</t>
  </si>
  <si>
    <t xml:space="preserve">Capture · Classify &amp; route · Draft &amp; reply · Extract &amp; validate · Schedule &amp; book · Summarise &amp; report · Monitor &amp; alert · Sync &amp; log</t>
  </si>
  <si>
    <t xml:space="preserve">Area</t>
  </si>
  <si>
    <t xml:space="preserve">Sub-area (job)</t>
  </si>
  <si>
    <t xml:space="preserve">Automation</t>
  </si>
  <si>
    <t xml:space="preserve">Pattern(s)</t>
  </si>
  <si>
    <t xml:space="preserve">★ Site</t>
  </si>
  <si>
    <t xml:space="preserve">Communication &amp; Customers</t>
  </si>
  <si>
    <t xml:space="preserve">Communication &amp; Intake</t>
  </si>
  <si>
    <t xml:space="preserve">Pull every enquiry (form, email, voicemail) into one list</t>
  </si>
  <si>
    <t xml:space="preserve">Capture</t>
  </si>
  <si>
    <t xml:space="preserve">★</t>
  </si>
  <si>
    <t xml:space="preserve">Sort by topic, urgency and language</t>
  </si>
  <si>
    <t xml:space="preserve">Classify &amp; route</t>
  </si>
  <si>
    <t xml:space="preserve">Draft a holding reply for each, for your approval</t>
  </si>
  <si>
    <t xml:space="preserve">Draft &amp; reply</t>
  </si>
  <si>
    <t xml:space="preserve">Route each to the right person or inbox</t>
  </si>
  <si>
    <t xml:space="preserve">Flag anything urgent or unusual</t>
  </si>
  <si>
    <t xml:space="preserve">Monitor &amp; alert</t>
  </si>
  <si>
    <t xml:space="preserve">Log every enquiry with its outcome</t>
  </si>
  <si>
    <t xml:space="preserve">Sync &amp; log</t>
  </si>
  <si>
    <t xml:space="preserve">Customer Support</t>
  </si>
  <si>
    <t xml:space="preserve">Auto-answer repeat questions (order status, returns, how-to)</t>
  </si>
  <si>
    <t xml:space="preserve">Detect and surface urgent tickets first</t>
  </si>
  <si>
    <t xml:space="preserve">Draft replies from your knowledge base</t>
  </si>
  <si>
    <t xml:space="preserve">Escalate anything the AI is unsure about</t>
  </si>
  <si>
    <t xml:space="preserve">Tag and log resolved tickets</t>
  </si>
  <si>
    <t xml:space="preserve">Scheduling &amp; Booking</t>
  </si>
  <si>
    <t xml:space="preserve">Take booking requests any time and offer real slots</t>
  </si>
  <si>
    <t xml:space="preserve">Schedule &amp; book</t>
  </si>
  <si>
    <t xml:space="preserve">Send confirmations and reminders</t>
  </si>
  <si>
    <t xml:space="preserve">Prevent double-bookings</t>
  </si>
  <si>
    <t xml:space="preserve">Reschedule / cancel on request</t>
  </si>
  <si>
    <t xml:space="preserve">Chase no-show risks the day before</t>
  </si>
  <si>
    <t xml:space="preserve">Coordinate group or multi-person slots</t>
  </si>
  <si>
    <t xml:space="preserve">Feedback &amp; Reviews</t>
  </si>
  <si>
    <t xml:space="preserve">Collect feedback from email, reviews and surveys in one place</t>
  </si>
  <si>
    <t xml:space="preserve">Sort praise vs complaints vs questions</t>
  </si>
  <si>
    <t xml:space="preserve">Draft a reply to each, for approval</t>
  </si>
  <si>
    <t xml:space="preserve">Alert on negative reviews fast</t>
  </si>
  <si>
    <t xml:space="preserve">Summarise themes each week</t>
  </si>
  <si>
    <t xml:space="preserve">Summarise &amp; report</t>
  </si>
  <si>
    <t xml:space="preserve">Sales &amp; Growth</t>
  </si>
  <si>
    <t xml:space="preserve">Lead &amp; Sales Pipeline</t>
  </si>
  <si>
    <t xml:space="preserve">Capture leads from forms, events and referrals</t>
  </si>
  <si>
    <t xml:space="preserve">Score and prioritise the promising ones</t>
  </si>
  <si>
    <t xml:space="preserve">Draft first-touch and follow-up messages</t>
  </si>
  <si>
    <t xml:space="preserve">Nudge stalled deals before they go cold</t>
  </si>
  <si>
    <t xml:space="preserve">Keep the CRM updated automatically</t>
  </si>
  <si>
    <t xml:space="preserve">Weekly pipeline summary</t>
  </si>
  <si>
    <t xml:space="preserve">Content &amp; Marketing</t>
  </si>
  <si>
    <t xml:space="preserve">Turn one piece of content into posts + newsletter</t>
  </si>
  <si>
    <t xml:space="preserve">Draft and queue a posting schedule</t>
  </si>
  <si>
    <t xml:space="preserve">Turn recurring customer questions into content</t>
  </si>
  <si>
    <t xml:space="preserve">Repurpose across channels</t>
  </si>
  <si>
    <t xml:space="preserve">Report on what landed</t>
  </si>
  <si>
    <t xml:space="preserve">E-commerce &amp; Fulfilment</t>
  </si>
  <si>
    <t xml:space="preserve">Flag stock-outs, wrong addresses and unusual orders</t>
  </si>
  <si>
    <t xml:space="preserve">Sort the returns inbox (refund / warranty / other)</t>
  </si>
  <si>
    <t xml:space="preserve">Draft order and shipping updates</t>
  </si>
  <si>
    <t xml:space="preserve">Sync orders to fulfilment / accounting</t>
  </si>
  <si>
    <t xml:space="preserve">Daily exceptions report</t>
  </si>
  <si>
    <t xml:space="preserve">Quotes &amp; Proposals</t>
  </si>
  <si>
    <t xml:space="preserve">Build quotes from your price lists</t>
  </si>
  <si>
    <t xml:space="preserve">Extract &amp; validate</t>
  </si>
  <si>
    <t xml:space="preserve">Draft the proposal document</t>
  </si>
  <si>
    <t xml:space="preserve">Check pricing and terms before it goes out</t>
  </si>
  <si>
    <t xml:space="preserve">Log sent quotes and follow up</t>
  </si>
  <si>
    <t xml:space="preserve">Convert accepted quote to order</t>
  </si>
  <si>
    <t xml:space="preserve">Renewals &amp; Retention</t>
  </si>
  <si>
    <t xml:space="preserve">Track what's due for renewal</t>
  </si>
  <si>
    <t xml:space="preserve">Spot early warning signs of churn</t>
  </si>
  <si>
    <t xml:space="preserve">Draft renewal and win-back messages</t>
  </si>
  <si>
    <t xml:space="preserve">Sequence reminders before lapse</t>
  </si>
  <si>
    <t xml:space="preserve">Renewals summary each month</t>
  </si>
  <si>
    <t xml:space="preserve">Documents &amp; Finance</t>
  </si>
  <si>
    <t xml:space="preserve">Document &amp; Data Processing</t>
  </si>
  <si>
    <t xml:space="preserve">Read invoices, receipts, contracts, delivery notes (PDF/photo/post)</t>
  </si>
  <si>
    <t xml:space="preserve">Pull the key fields out reliably</t>
  </si>
  <si>
    <t xml:space="preserve">File and name them so they're findable</t>
  </si>
  <si>
    <t xml:space="preserve">Match documents to the right record</t>
  </si>
  <si>
    <t xml:space="preserve">Flag anything missing or off</t>
  </si>
  <si>
    <t xml:space="preserve">Log to accounting / storage</t>
  </si>
  <si>
    <t xml:space="preserve">Finance &amp; Admin</t>
  </si>
  <si>
    <t xml:space="preserve">Process invoices: capture → extract → log</t>
  </si>
  <si>
    <t xml:space="preserve">Capture · Extract</t>
  </si>
  <si>
    <t xml:space="preserve">Gather each week's due invoices automatically</t>
  </si>
  <si>
    <t xml:space="preserve">Check expense claims against policy</t>
  </si>
  <si>
    <t xml:space="preserve">Send payment reminders / dunning</t>
  </si>
  <si>
    <t xml:space="preserve">Monitor · Draft</t>
  </si>
  <si>
    <t xml:space="preserve">Flag deadlines and regulatory dates</t>
  </si>
  <si>
    <t xml:space="preserve">Reconcile confirmed payments to records</t>
  </si>
  <si>
    <t xml:space="preserve">Contracts &amp; Agreements</t>
  </si>
  <si>
    <t xml:space="preserve">Draft contracts from templates + inputs</t>
  </si>
  <si>
    <t xml:space="preserve">Extract key terms and dates</t>
  </si>
  <si>
    <t xml:space="preserve">Flag renewal / expiry / notice dates</t>
  </si>
  <si>
    <t xml:space="preserve">Route for the right sign-off</t>
  </si>
  <si>
    <t xml:space="preserve">Store signed versions, findable</t>
  </si>
  <si>
    <t xml:space="preserve">Procurement &amp; Suppliers</t>
  </si>
  <si>
    <t xml:space="preserve">Capture supplier bills and orders</t>
  </si>
  <si>
    <t xml:space="preserve">Match delivery ↔ order ↔ invoice</t>
  </si>
  <si>
    <t xml:space="preserve">Flag price or quantity mismatches</t>
  </si>
  <si>
    <t xml:space="preserve">Log to your system</t>
  </si>
  <si>
    <t xml:space="preserve">Supplier spend summary</t>
  </si>
  <si>
    <t xml:space="preserve">Compliance &amp; Filing</t>
  </si>
  <si>
    <t xml:space="preserve">Track filing and regulatory deadlines</t>
  </si>
  <si>
    <t xml:space="preserve">Check documents against rules/regulations</t>
  </si>
  <si>
    <t xml:space="preserve">Assemble the filing pack</t>
  </si>
  <si>
    <t xml:space="preserve">Alert before anything is due</t>
  </si>
  <si>
    <t xml:space="preserve">Keep an audit trail</t>
  </si>
  <si>
    <t xml:space="preserve">Operations &amp; Insight</t>
  </si>
  <si>
    <t xml:space="preserve">Internal Operations</t>
  </si>
  <si>
    <t xml:space="preserve">Route incoming tasks to the right owner</t>
  </si>
  <si>
    <t xml:space="preserve">Chase and remind on open items</t>
  </si>
  <si>
    <t xml:space="preserve">Coordinate hand-offs between steps</t>
  </si>
  <si>
    <t xml:space="preserve">Flag bottlenecks</t>
  </si>
  <si>
    <t xml:space="preserve">Log activity for later review</t>
  </si>
  <si>
    <t xml:space="preserve">Reporting &amp; Analytics</t>
  </si>
  <si>
    <t xml:space="preserve">Scheduled reports (sales, project, production)</t>
  </si>
  <si>
    <t xml:space="preserve">Pull data from several tools into one view</t>
  </si>
  <si>
    <t xml:space="preserve">Alert when numbers cross a threshold</t>
  </si>
  <si>
    <t xml:space="preserve">Turn offer inquiries into an analysis</t>
  </si>
  <si>
    <t xml:space="preserve">Capture · Summarise</t>
  </si>
  <si>
    <t xml:space="preserve">Weekly / monthly dashboard</t>
  </si>
  <si>
    <t xml:space="preserve">People &amp; Hiring</t>
  </si>
  <si>
    <t xml:space="preserve">Draft the job ad from a role brief</t>
  </si>
  <si>
    <t xml:space="preserve">Collect and de-duplicate applications</t>
  </si>
  <si>
    <t xml:space="preserve">Classify and shortlist candidates</t>
  </si>
  <si>
    <t xml:space="preserve">Schedule interviews (candidate + panel)</t>
  </si>
  <si>
    <t xml:space="preserve">Generate and track onboarding paperwork</t>
  </si>
  <si>
    <t xml:space="preserve">Draft · Monitor</t>
  </si>
  <si>
    <t xml:space="preserve">Send status updates to applicants</t>
  </si>
  <si>
    <t xml:space="preserve">Quality &amp; Process Monitoring</t>
  </si>
  <si>
    <t xml:space="preserve">Watch a process and flag exceptions</t>
  </si>
  <si>
    <t xml:space="preserve">Check outputs against a standard</t>
  </si>
  <si>
    <t xml:space="preserve">Alert the right person on a breach</t>
  </si>
  <si>
    <t xml:space="preserve">Log incidents for review</t>
  </si>
  <si>
    <t xml:space="preserve">Trend report on recurring issues</t>
  </si>
  <si>
    <t xml:space="preserve">Knowledge &amp; SOPs</t>
  </si>
  <si>
    <t xml:space="preserve">Draft SOPs from how you actually work</t>
  </si>
  <si>
    <t xml:space="preserve">Answer staff questions from your docs</t>
  </si>
  <si>
    <t xml:space="preserve">Keep procedures updated as things change</t>
  </si>
  <si>
    <t xml:space="preserve">Summarise long docs into quick guides</t>
  </si>
  <si>
    <t xml:space="preserve">Find the right document on request</t>
  </si>
  <si>
    <t xml:space="preserve">FRONT-DOOR TOOLS  (client-facing diagnostics that find &amp; qualify clients, then lead into the core work)</t>
  </si>
  <si>
    <t xml:space="preserve">AISR — AI Search Readiness</t>
  </si>
  <si>
    <t xml:space="preserve">how AI assistants (ChatGPT, Gemini, Claude) describe your business — the new SEO</t>
  </si>
  <si>
    <t xml:space="preserve">Scan how AI assistants describe you today</t>
  </si>
  <si>
    <t xml:space="preserve">Find the on-site cause of gaps or errors</t>
  </si>
  <si>
    <t xml:space="preserve">Apply approved on-site fixes</t>
  </si>
  <si>
    <t xml:space="preserve">Draft · Sync</t>
  </si>
  <si>
    <t xml:space="preserve">AIWSC — Website Security Check</t>
  </si>
  <si>
    <t xml:space="preserve">read-only security fit-check, scoped strictly by client authorization</t>
  </si>
  <si>
    <t xml:space="preserve">Read-only security fit-check (authorized scope only)</t>
  </si>
  <si>
    <t xml:space="preserve">Monitor · Validate</t>
  </si>
  <si>
    <t xml:space="preserve">Flag issues by risk level</t>
  </si>
  <si>
    <t xml:space="preserve">Report with a prioritized, plain-language fix list</t>
  </si>
  <si>
    <t xml:space="preserve">ALSO — internal capability (we can do these; not part of the core offering, not advertised on the public site):</t>
  </si>
  <si>
    <t xml:space="preserve">Website build</t>
  </si>
  <si>
    <t xml:space="preserve">simple → complex sites (vortexdeep.ch, mgredshift.ch)</t>
  </si>
  <si>
    <t xml:space="preserve">Trading-system analysis</t>
  </si>
  <si>
    <t xml:space="preserve">metrics by timeframe &amp; instrument (FX, metals…)</t>
  </si>
  <si>
    <t xml:space="preserve">★ marks a clean client-facing shortlist ready to expose on the website under each sub-area. Everything else stays as internal depth. List is representative and expandable.</t>
  </si>
  <si>
    <t xml:space="preserve">Quote Calculator — Package / Access Model / Support Model (v8)</t>
  </si>
  <si>
    <t xml:space="preserve">Step</t>
  </si>
  <si>
    <t xml:space="preserve">Field</t>
  </si>
  <si>
    <t xml:space="preserve">Value</t>
  </si>
  <si>
    <t xml:space="preserve">Explanation</t>
  </si>
  <si>
    <t xml:space="preserve">Client-facing summary</t>
  </si>
  <si>
    <t xml:space="preserve">Available Packages</t>
  </si>
  <si>
    <t xml:space="preserve">Available Access Models</t>
  </si>
  <si>
    <t xml:space="preserve">Available Support Models</t>
  </si>
  <si>
    <t xml:space="preserve">Support model</t>
  </si>
  <si>
    <t xml:space="preserve">Meaning</t>
  </si>
  <si>
    <t xml:space="preserve">1</t>
  </si>
  <si>
    <t xml:space="preserve">Client / project name</t>
  </si>
  <si>
    <t xml:space="preserve">EDIT</t>
  </si>
  <si>
    <t xml:space="preserve">Project</t>
  </si>
  <si>
    <t xml:space="preserve">No support</t>
  </si>
  <si>
    <t xml:space="preserve">build-and-transfer, client owns risk</t>
  </si>
  <si>
    <t xml:space="preserve">2</t>
  </si>
  <si>
    <t xml:space="preserve">Selected package</t>
  </si>
  <si>
    <t xml:space="preserve">Basic Intake</t>
  </si>
  <si>
    <t xml:space="preserve">EDIT: scope package only — excludes Build-and-Transfer (use Access model C6 = Build-and-transfer for handover projects)</t>
  </si>
  <si>
    <t xml:space="preserve"> </t>
  </si>
  <si>
    <t xml:space="preserve">Package</t>
  </si>
  <si>
    <t xml:space="preserve">Light support</t>
  </si>
  <si>
    <t xml:space="preserve">occasional checks/fixes</t>
  </si>
  <si>
    <t xml:space="preserve">3</t>
  </si>
  <si>
    <t xml:space="preserve">Access / ownership model</t>
  </si>
  <si>
    <t xml:space="preserve">Managed service</t>
  </si>
  <si>
    <t xml:space="preserve">EDIT: controls setup/handover premium only (not monthly)</t>
  </si>
  <si>
    <t xml:space="preserve">Access model</t>
  </si>
  <si>
    <t xml:space="preserve">Normal managed support</t>
  </si>
  <si>
    <t xml:space="preserve">default for business workflow</t>
  </si>
  <si>
    <t xml:space="preserve">4</t>
  </si>
  <si>
    <t xml:space="preserve">EDIT: controls monthly maintenance cost only (not setup)</t>
  </si>
  <si>
    <t xml:space="preserve">High-responsibility support</t>
  </si>
  <si>
    <t xml:space="preserve">stronger monitoring, faster response</t>
  </si>
  <si>
    <t xml:space="preserve">Setup range</t>
  </si>
  <si>
    <t xml:space="preserve">Agentic Automation</t>
  </si>
  <si>
    <t xml:space="preserve">Premium transfer support</t>
  </si>
  <si>
    <t xml:space="preserve">5</t>
  </si>
  <si>
    <t xml:space="preserve">Base setup low</t>
  </si>
  <si>
    <t xml:space="preserve">CALC from Package Reference</t>
  </si>
  <si>
    <t xml:space="preserve">Monthly range</t>
  </si>
  <si>
    <t xml:space="preserve">Critical support</t>
  </si>
  <si>
    <t xml:space="preserve">for operationally sensitive workflows</t>
  </si>
  <si>
    <t xml:space="preserve">6</t>
  </si>
  <si>
    <t xml:space="preserve">Base setup high</t>
  </si>
  <si>
    <t xml:space="preserve">Recommended setup</t>
  </si>
  <si>
    <t xml:space="preserve">7</t>
  </si>
  <si>
    <t xml:space="preserve">Base monthly low</t>
  </si>
  <si>
    <t xml:space="preserve">Recommended monthly</t>
  </si>
  <si>
    <t xml:space="preserve">8</t>
  </si>
  <si>
    <t xml:space="preserve">Base monthly high</t>
  </si>
  <si>
    <t xml:space="preserve">Notes</t>
  </si>
  <si>
    <t xml:space="preserve">Prices exclude third-party tool/API usage unless agreed.</t>
  </si>
  <si>
    <t xml:space="preserve">9</t>
  </si>
  <si>
    <t xml:space="preserve">Auto access setup multiplier</t>
  </si>
  <si>
    <t xml:space="preserve">CALC from Access Models col J —access model controls setup premium, not support model</t>
  </si>
  <si>
    <t xml:space="preserve">List sources</t>
  </si>
  <si>
    <t xml:space="preserve">Package Ref A4:A9 | Access Models A4:A8 | Complexity Ref K4:K9</t>
  </si>
  <si>
    <t xml:space="preserve">10</t>
  </si>
  <si>
    <t xml:space="preserve">Auto monthly support multiplier</t>
  </si>
  <si>
    <t xml:space="preserve">CALC from support model (monthly multiplier only)</t>
  </si>
  <si>
    <t xml:space="preserve">11</t>
  </si>
  <si>
    <t xml:space="preserve">Extra data sources / triggers count</t>
  </si>
  <si>
    <t xml:space="preserve">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</si>
  <si>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 xml:space="preserve">Examples:</t>
  </si>
  <si>
    <t xml:space="preserve">12</t>
  </si>
  <si>
    <t xml:space="preserve">AI generation steps count</t>
  </si>
  <si>
    <t xml:space="preserve">EDIT: count each distinct AI generation step — any HTTP module calling OpenAI or Claude for any purpose. Count per generation TYPE, not per execution. E.g. booking reply draft = 1. Invoice field extraction + booking reply draft = 2. Content repurposing call = 1.</t>
  </si>
  <si>
    <t xml:space="preserve">Extra data sources / triggers</t>
  </si>
  <si>
    <t xml:space="preserve">13</t>
  </si>
  <si>
    <t xml:space="preserve">CRM integrations count</t>
  </si>
  <si>
    <t xml:space="preserve">EDIT: count each external CRM or database system connected via Make.com (Notion, HubSpot, Airtable, Google Sheets used as a CRM, etc.). Count per SYSTEM, not per module. Notion with 3 Notion modules = still 1. Notion + HubSpot = 2.</t>
  </si>
  <si>
    <t xml:space="preserve">Each distinct inbound source beyond the base package (separate webhook endpoint, app trigger or API feed).</t>
  </si>
  <si>
    <t xml:space="preserve">14</t>
  </si>
  <si>
    <t xml:space="preserve">Approval workflows count</t>
  </si>
  <si>
    <t xml:space="preserve">EDIT: count each route where Make.com pauses and a human must review and approve before the automation sends or acts. SEEKER draft reviewed by human before reply = 1. Auto folder-move with no human gate = 0. Multiple gated routes = count each gate separately.</t>
  </si>
  <si>
    <t xml:space="preserve">Example values:</t>
  </si>
  <si>
    <t xml:space="preserve">15</t>
  </si>
  <si>
    <t xml:space="preserve">Reporting layer count</t>
  </si>
  <si>
    <t xml:space="preserve">EDIT: 0 or 1. Use 1 only if the automation writes structured output to a reporting layer: Google Sheets analytics view, Notion summary dashboard, or similar. Test-folder logging does NOT count. Standard Notion CRM entries do NOT count as reporting.</t>
  </si>
  <si>
    <t xml:space="preserve">Primary source included in package = 0</t>
  </si>
  <si>
    <t xml:space="preserve">16</t>
  </si>
  <si>
    <t xml:space="preserve">Sensitive data multiplier</t>
  </si>
  <si>
    <t xml:space="preserve">EDIT: normal = 1.0. Increase if handling sensitive data: 1.3 for confidential business info (contracts, financials, HR); 1.5 for GDPR-sensitive or EU-only data; 1.7 for health records or personal identity data. Always discuss data handling explicitly with the client before applying.</t>
  </si>
  <si>
    <t xml:space="preserve">Website form on a separate webhook = 1</t>
  </si>
  <si>
    <t xml:space="preserve">17</t>
  </si>
  <si>
    <t xml:space="preserve">Urgency multiplier</t>
  </si>
  <si>
    <t xml:space="preserve">EDIT: normal = 1.0. Use 1.2 for 2–3 week delivery. Use 1.3–1.5 for hard deadlines within days (compressed build, testing and handover). Never exceed 1.5.</t>
  </si>
  <si>
    <t xml:space="preserve">Website form + Instagram DM = 2;  or  invoice email + webhook = 2</t>
  </si>
  <si>
    <t xml:space="preserve">18</t>
  </si>
  <si>
    <t xml:space="preserve">Manual setup multiplier override</t>
  </si>
  <si>
    <t xml:space="preserve">OPTIONAL EDIT: leave blank to use the access model auto-value (from the col L lookup). Override only when the auto value does not fit — e.g. Managed service selected but this project has unusually complex API credential setup or multi-environment staging.</t>
  </si>
  <si>
    <t xml:space="preserve">Website + Instagram + invoice email = 3;  or  3 distinct API sources = 3</t>
  </si>
  <si>
    <t xml:space="preserve">19</t>
  </si>
  <si>
    <t xml:space="preserve">Manual monthly support multiplier override</t>
  </si>
  <si>
    <t xml:space="preserve">OPTIONAL EDIT: leave blank to use the support model auto-value. Override only when the auto value does not reflect the agreed SLA — e.g. Normal support selected but client has a faster-response agreement that is not yet in the reference table.</t>
  </si>
  <si>
    <t xml:space="preserve">20</t>
  </si>
  <si>
    <t xml:space="preserve">Manual custom setup add</t>
  </si>
  <si>
    <t xml:space="preserve">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</si>
  <si>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 xml:space="preserve">AI generation steps</t>
  </si>
  <si>
    <t xml:space="preserve">21</t>
  </si>
  <si>
    <t xml:space="preserve">Manual custom monthly add</t>
  </si>
  <si>
    <t xml:space="preserve">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</si>
  <si>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 xml:space="preserve">Each distinct HTTP module calling OpenAI / Claude (count per draft type, any email volume).</t>
  </si>
  <si>
    <t xml:space="preserve">Effective setup/access multiplier</t>
  </si>
  <si>
    <t xml:space="preserve">CALC</t>
  </si>
  <si>
    <t xml:space="preserve">Classify or route only, no AI generation call = 0</t>
  </si>
  <si>
    <t xml:space="preserve">Effective monthly support multiplier</t>
  </si>
  <si>
    <t xml:space="preserve">One AI generation type (reply draft, field extraction, or content call) = 1</t>
  </si>
  <si>
    <t xml:space="preserve">Setup subtotal low (before multipliers)</t>
  </si>
  <si>
    <t xml:space="preserve">Booking reply draft + invoice field extraction = 2;  or  repurposing + reply = 2</t>
  </si>
  <si>
    <t xml:space="preserve">Setup subtotal high (before multipliers)</t>
  </si>
  <si>
    <t xml:space="preserve">Monthly subtotal low (before support multiplier)</t>
  </si>
  <si>
    <t xml:space="preserve">CRM integrations — Make.com context</t>
  </si>
  <si>
    <t xml:space="preserve">Monthly subtotal high (before support multiplier)</t>
  </si>
  <si>
    <t xml:space="preserve">Each external database / CRM connected (Notion, HubSpot, Airtable, Google Sheets as CRM). Count per system, not per module.</t>
  </si>
  <si>
    <t xml:space="preserve">Calculated setup low</t>
  </si>
  <si>
    <t xml:space="preserve">Calculated setup high</t>
  </si>
  <si>
    <t xml:space="preserve">Folder routing only, no CRM = 0</t>
  </si>
  <si>
    <t xml:space="preserve">Calculated monthly low</t>
  </si>
  <si>
    <t xml:space="preserve">Notion only (any number of Notion modules) = 1</t>
  </si>
  <si>
    <t xml:space="preserve">Calculated monthly high</t>
  </si>
  <si>
    <t xml:space="preserve">Notion + HubSpot = 2</t>
  </si>
  <si>
    <t xml:space="preserve">Recommended setup quote</t>
  </si>
  <si>
    <t xml:space="preserve">Recommended monthly quote</t>
  </si>
  <si>
    <t xml:space="preserve">Approval workflows — Make.com context</t>
  </si>
  <si>
    <t xml:space="preserve">Each route where Make.com pauses and a human must review / approve before it sends or acts.</t>
  </si>
  <si>
    <t xml:space="preserve">Quote Sanity Check (auto)</t>
  </si>
  <si>
    <t xml:space="preserve">Check</t>
  </si>
  <si>
    <t xml:space="preserve">Status</t>
  </si>
  <si>
    <t xml:space="preserve">Detail</t>
  </si>
  <si>
    <t xml:space="preserve">Auto folder-move only, no human gate = 0</t>
  </si>
  <si>
    <t xml:space="preserve">Package name matches Reference</t>
  </si>
  <si>
    <t xml:space="preserve">SEEKER draft reviewed by human before reply = 1</t>
  </si>
  <si>
    <t xml:space="preserve">Access model matches Reference</t>
  </si>
  <si>
    <t xml:space="preserve">SEEKER gated + LEAD CRM entry requires approval = 2</t>
  </si>
  <si>
    <t xml:space="preserve">Support model matches Reference</t>
  </si>
  <si>
    <t xml:space="preserve">Sensitive data has approval workflow</t>
  </si>
  <si>
    <t xml:space="preserve">Reporting layer — Make.com context</t>
  </si>
  <si>
    <t xml:space="preserve">Urgency multiplier reasonable</t>
  </si>
  <si>
    <t xml:space="preserve">Handover risk acknowledged</t>
  </si>
  <si>
    <t xml:space="preserve">Test-folder log only = 0</t>
  </si>
  <si>
    <t xml:space="preserve">Reporting fits package</t>
  </si>
  <si>
    <t xml:space="preserve">Notion analytics view or Google Sheets report = 1</t>
  </si>
  <si>
    <t xml:space="preserve">Multiple separate reporting dashboards = 2 (rare)</t>
  </si>
  <si>
    <t xml:space="preserve">Tip: Status meanings:</t>
  </si>
  <si>
    <t xml:space="preserve">OK =</t>
  </si>
  <si>
    <t xml:space="preserve">no concern;</t>
  </si>
  <si>
    <t xml:space="preserve">C25 one-time add — typical operational uses:</t>
  </si>
  <si>
    <t xml:space="preserve">WARN =</t>
  </si>
  <si>
    <t xml:space="preserve">check before sending quote;</t>
  </si>
  <si>
    <t xml:space="preserve">Make.com plan upgrade (if client needs higher ops tier)</t>
  </si>
  <si>
    <t xml:space="preserve">FAIL =</t>
  </si>
  <si>
    <t xml:space="preserve">formulas returning 0 because name doesn't match;</t>
  </si>
  <si>
    <t xml:space="preserve">Third-party API onboarding or account setup fee</t>
  </si>
  <si>
    <t xml:space="preserve">NOTE =</t>
  </si>
  <si>
    <t xml:space="preserve">situation worth documenting in the client quote.</t>
  </si>
  <si>
    <t xml:space="preserve">First-month OpenAI / Claude credit (pre-funded budget)</t>
  </si>
  <si>
    <t xml:space="preserve">C26 monthly add — operational pass-through costs:</t>
  </si>
  <si>
    <t xml:space="preserve">Make.com ops: CHF 15–30 simple · 30–60 moderate · 60–120 complex /month</t>
  </si>
  <si>
    <t xml:space="preserve">THREE ACCESS MODELS (derived live from the quote above)</t>
  </si>
  <si>
    <t xml:space="preserve">OpenAI / Claude tokens: CHF 10–20 / 200–500 drafts · 20–40 / 500–2000 drafts /month</t>
  </si>
  <si>
    <t xml:space="preserve">Managed (default) =</t>
  </si>
  <si>
    <t xml:space="preserve">the quote above</t>
  </si>
  <si>
    <t xml:space="preserve">Licence =</t>
  </si>
  <si>
    <t xml:space="preserve">setup ×1.30 + annual licence ≈ 50% of the managed year (we keep the IP).</t>
  </si>
  <si>
    <t xml:space="preserve">MG Red Shift (14-module SEEKER CRM)</t>
  </si>
  <si>
    <t xml:space="preserve">Full transfer (internal only) =</t>
  </si>
  <si>
    <t xml:space="preserve">setup + 2.5×12×monthly (INTERNAL ONLY; recurring 0).</t>
  </si>
  <si>
    <t xml:space="preserve">Extra channels (C16)</t>
  </si>
  <si>
    <t xml:space="preserve">Setup</t>
  </si>
  <si>
    <t xml:space="preserve">Recurring</t>
  </si>
  <si>
    <t xml:space="preserve">AI draft workflows (C17)</t>
  </si>
  <si>
    <t xml:space="preserve">low</t>
  </si>
  <si>
    <t xml:space="preserve">high</t>
  </si>
  <si>
    <t xml:space="preserve">CRM integrations (C18)</t>
  </si>
  <si>
    <t xml:space="preserve">Approval workflows (C19)</t>
  </si>
  <si>
    <t xml:space="preserve">Managed (default)</t>
  </si>
  <si>
    <t xml:space="preserve">/ month</t>
  </si>
  <si>
    <t xml:space="preserve">Reporting layer (C20)</t>
  </si>
  <si>
    <t xml:space="preserve">Licence</t>
  </si>
  <si>
    <t xml:space="preserve">/ year (licence)</t>
  </si>
  <si>
    <t xml:space="preserve">Custom monthly add C26 (ops est.)</t>
  </si>
  <si>
    <t xml:space="preserve">CHF 30–60</t>
  </si>
  <si>
    <t xml:space="preserve">Full transfer (internal only)</t>
  </si>
  <si>
    <t xml:space="preserve">/ month (0)</t>
  </si>
  <si>
    <t xml:space="preserve">  → Make.com ops estimate</t>
  </si>
  <si>
    <t xml:space="preserve">CHF 20–40 / month</t>
  </si>
  <si>
    <t xml:space="preserve">  → OpenAI tokens estimate (SEEKER drafts)</t>
  </si>
  <si>
    <t xml:space="preserve">CHF 10–20 / month</t>
  </si>
  <si>
    <t xml:space="preserve">Transfer is a multiplier on the build — it grows with scope, so it's kept internal-only. Licence is the client-facing ownership option.</t>
  </si>
  <si>
    <t xml:space="preserve">   ROI Automation Calculator</t>
  </si>
  <si>
    <t xml:space="preserve">Unit / Notes</t>
  </si>
  <si>
    <t xml:space="preserve">CASE STUDY</t>
  </si>
  <si>
    <t xml:space="preserve"> 1. CLIENT INPUTS</t>
  </si>
  <si>
    <t xml:space="preserve">MG1</t>
  </si>
  <si>
    <t xml:space="preserve">MG2</t>
  </si>
  <si>
    <t xml:space="preserve">Hard ROI — Time Savings</t>
  </si>
  <si>
    <t xml:space="preserve">Employees Involved</t>
  </si>
  <si>
    <t xml:space="preserve">people</t>
  </si>
  <si>
    <t xml:space="preserve">Hours Lost / Week</t>
  </si>
  <si>
    <t xml:space="preserve">hours / week</t>
  </si>
  <si>
    <t xml:space="preserve">Hourly Rate (Gross)</t>
  </si>
  <si>
    <t xml:space="preserve">CHF / hour</t>
  </si>
  <si>
    <t xml:space="preserve">Hard ROI — Error Reduction</t>
  </si>
  <si>
    <t xml:space="preserve">Mistakes / Week</t>
  </si>
  <si>
    <t xml:space="preserve">mistakes / week</t>
  </si>
  <si>
    <t xml:space="preserve">Cost per Mistake</t>
  </si>
  <si>
    <t xml:space="preserve">CHF / mistake</t>
  </si>
  <si>
    <t xml:space="preserve">Soft ROI — Lost Revenue</t>
  </si>
  <si>
    <t xml:space="preserve">Lost Leads / Month</t>
  </si>
  <si>
    <t xml:space="preserve">leads / month</t>
  </si>
  <si>
    <t xml:space="preserve">Avg Value per Lead</t>
  </si>
  <si>
    <t xml:space="preserve">CHF / lead</t>
  </si>
  <si>
    <t xml:space="preserve">Investment &amp; Ongoing Costs</t>
  </si>
  <si>
    <t xml:space="preserve">One-Time Setup Cost</t>
  </si>
  <si>
    <t xml:space="preserve">CHF total — live-linked to Quote Calculator F39 (Recommended setup quote). Overtype with a fixed number to freeze a scenario.</t>
  </si>
  <si>
    <t xml:space="preserve">CHF total</t>
  </si>
  <si>
    <t xml:space="preserve">Monthly Managed AI Ops Cost</t>
  </si>
  <si>
    <t xml:space="preserve">CHF / month — live-linked to Quote Calculator F40 (Recommended monthly quote). Overtype with a fixed number to freeze a scenario.</t>
  </si>
  <si>
    <t xml:space="preserve">CHF / month</t>
  </si>
  <si>
    <t xml:space="preserve"> 2. CALCULATED ROI</t>
  </si>
  <si>
    <t xml:space="preserve">ROI</t>
  </si>
  <si>
    <t xml:space="preserve">Monthly Cost of Time</t>
  </si>
  <si>
    <t xml:space="preserve">CHF</t>
  </si>
  <si>
    <t xml:space="preserve">Monthly Cost of Errors</t>
  </si>
  <si>
    <t xml:space="preserve">Monthly Lost Revenue</t>
  </si>
  <si>
    <t xml:space="preserve">Monthly Gross Benefit</t>
  </si>
  <si>
    <t xml:space="preserve">CHF — cost of inaction</t>
  </si>
  <si>
    <t xml:space="preserve">(−) Monthly Managed AI Ops</t>
  </si>
  <si>
    <t xml:space="preserve">Net Monthly Benefit</t>
  </si>
  <si>
    <t xml:space="preserve">Annual Net Benefit</t>
  </si>
  <si>
    <t xml:space="preserve">Total Year 1 Investment</t>
  </si>
  <si>
    <t xml:space="preserve">CHF — setup + 12× monthly managed</t>
  </si>
  <si>
    <t xml:space="preserve">Payback Period</t>
  </si>
  <si>
    <t xml:space="preserve">Months</t>
  </si>
  <si>
    <t xml:space="preserve">First-Year Net ROI</t>
  </si>
  <si>
    <t xml:space="preserve">% — net Y1 return ÷ total Y1 investment (setup + 12× monthly)</t>
  </si>
  <si>
    <t xml:space="preserve">%</t>
  </si>
  <si>
    <t xml:space="preserve">Year 2+ Annual ROI</t>
  </si>
  <si>
    <t xml:space="preserve"> 3. NEGOTIATION VIEW</t>
  </si>
  <si>
    <t xml:space="preserve">Value Ceiling (monthly)</t>
  </si>
  <si>
    <t xml:space="preserve">CHF/month — max fee where client still breaks even in Year 1</t>
  </si>
  <si>
    <t xml:space="preserve">CHF/month</t>
  </si>
  <si>
    <t xml:space="preserve">Headroom — value kept by client</t>
  </si>
  <si>
    <t xml:space="preserve">CHF/month below the ceiling. Use this when client says fee is high.</t>
  </si>
  <si>
    <t xml:space="preserve">Staffing alternative comparison</t>
  </si>
  <si>
    <t xml:space="preserve">Equiv. manual staffing cost</t>
  </si>
  <si>
    <t xml:space="preserve">CHF/month — est. cost of person doing this manually. Rule of thumb CH: CHF 70k salary ≈ CHF 8,300/month fully loaded. Even 1 day/week ≈ CHF 2,000+.</t>
  </si>
  <si>
    <t xml:space="preserve">Automation saving vs. staffing</t>
  </si>
  <si>
    <t xml:space="preserve">CHF/month saved vs. hiring. Negative = staffing is cheaper.</t>
  </si>
  <si>
    <t xml:space="preserve">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</si>
  <si>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Tip: Monthly Managed AI Ops (C20) should match 'Recommended monthly quote' from Quote Calculator tab. First-Year Net ROI divides by total Year 1 spend (setup + 12× monthly). Year 2+ ROI shows the recurring return once setup is fully amortised.</t>
  </si>
  <si>
    <t xml:space="preserve">MGREDSHIFT</t>
  </si>
  <si>
    <t xml:space="preserve">CHF / month — paste from Quote Calculator C39 (Recommended monthly quote)</t>
  </si>
  <si>
    <t xml:space="preserve">% (over Year 1)</t>
  </si>
  <si>
    <t xml:space="preserve">Tip: Monthly Managed AI Ops (C20) should match 'Recommended monthly quote' from the Quote Calculator tab (cell C39). Yellow = edit, light blue = calculated.</t>
  </si>
  <si>
    <t xml:space="preserve">Package Pricing Reference</t>
  </si>
  <si>
    <t xml:space="preserve">EDITABLE RANGE: update package names, price ranges, scope notes and access model here. Quote Calculator reads columns A:E by package name.</t>
  </si>
  <si>
    <t xml:space="preserve">Setup Low</t>
  </si>
  <si>
    <t xml:space="preserve">Setup High</t>
  </si>
  <si>
    <t xml:space="preserve">Monthly Low</t>
  </si>
  <si>
    <t xml:space="preserve">Monthly High</t>
  </si>
  <si>
    <t xml:space="preserve">Typical scope</t>
  </si>
  <si>
    <t xml:space="preserve">Best for</t>
  </si>
  <si>
    <t xml:space="preserve">Internal note</t>
  </si>
  <si>
    <t xml:space="preserve">Commercial label</t>
  </si>
  <si>
    <t xml:space="preserve">Typical use by automation type</t>
  </si>
  <si>
    <t xml:space="preserve">Email/forms intake, rule-based routing, booking link, simple folders/labels</t>
  </si>
  <si>
    <t xml:space="preserve">Simple intake, low complexity</t>
  </si>
  <si>
    <t xml:space="preserve">Results/dashboard only</t>
  </si>
  <si>
    <t xml:space="preserve">Keep scope tight</t>
  </si>
  <si>
    <t xml:space="preserve">AI Intake Basic</t>
  </si>
  <si>
    <t xml:space="preserve">Communication &amp; Intake; Document routing (no AI extraction); E-commerce order notifications; Finance reminders. Rule-based only — no AI required.</t>
  </si>
  <si>
    <t xml:space="preserve">Basic+ AI Triage</t>
  </si>
  <si>
    <t xml:space="preserve">AI classification, CRM/Notion log, folder routing, draft support</t>
  </si>
  <si>
    <t xml:space="preserve">MG Red Shift-style workflow</t>
  </si>
  <si>
    <t xml:space="preserve">Results/dashboard + workflow summary</t>
  </si>
  <si>
    <t xml:space="preserve">Good first AI package</t>
  </si>
  <si>
    <t xml:space="preserve">AI Intake Triage Basic+</t>
  </si>
  <si>
    <t xml:space="preserve">Communication &amp; Intake (AI classify); Lead &amp; Sales Pipeline (CRM log); Document Processing (AI field extraction); Customer Support (ticket triage); E-commerce (AI categorisation).</t>
  </si>
  <si>
    <t xml:space="preserve">Pro Multi-Channel</t>
  </si>
  <si>
    <t xml:space="preserve">Email + social media, AI classification, drafts, approval workflow</t>
  </si>
  <si>
    <t xml:space="preserve">Multiple channels, repeated questions</t>
  </si>
  <si>
    <t xml:space="preserve">Dashboard + workflow chart</t>
  </si>
  <si>
    <t xml:space="preserve">Needs fallback and approval gates</t>
  </si>
  <si>
    <t xml:space="preserve">AI Workflow Pro</t>
  </si>
  <si>
    <t xml:space="preserve">Communication &amp; Intake (multi-source); Content &amp; Marketing (AI draft + publish review); Lead &amp; Sales Pipeline (multi-source pipeline); Document Processing (multi-source); Customer Support (multi-channel triage).</t>
  </si>
  <si>
    <t xml:space="preserve">Managed Operations</t>
  </si>
  <si>
    <t xml:space="preserve">CRM, monitoring, reports, monthly improvements, support</t>
  </si>
  <si>
    <t xml:space="preserve">Ongoing operational support</t>
  </si>
  <si>
    <t xml:space="preserve">Dashboard, reports, limited logic visibility</t>
  </si>
  <si>
    <t xml:space="preserve">Define support limits</t>
  </si>
  <si>
    <t xml:space="preserve">Managed AI Operations</t>
  </si>
  <si>
    <t xml:space="preserve">Reporting &amp; Analytics (KPI digests, management reports); Finance &amp; Admin (reconciliation, overdue reminders); Internal Ops &amp; Approvals (ongoing routing); Scheduling &amp; Booking (managed flows). Any category requiring ongoing monitoring and improvement.</t>
  </si>
  <si>
    <t xml:space="preserve">Calendar/CRM actions, multi-step decisions, audit and governance</t>
  </si>
  <si>
    <t xml:space="preserve">Complex controlled actions</t>
  </si>
  <si>
    <t xml:space="preserve">Approval console + blueprint summary</t>
  </si>
  <si>
    <t xml:space="preserve">Quote individually</t>
  </si>
  <si>
    <t xml:space="preserve">Agentic AI Operations</t>
  </si>
  <si>
    <t xml:space="preserve">Scheduling &amp; Booking (AI slot proposals, calendar actions); Lead &amp; Sales Pipeline (autonomous follow-up sequences); Finance &amp; Admin (exception detection + action); Internal Ops (conditional approval chains). Any category needing multi-step AI decisions with audit.</t>
  </si>
  <si>
    <t xml:space="preserve">Build-and-Transfer</t>
  </si>
  <si>
    <t xml:space="preserve">Automation built in client workspace and handed over</t>
  </si>
  <si>
    <t xml:space="preserve">Client wants ownership</t>
  </si>
  <si>
    <t xml:space="preserve">Full access/export/documentation</t>
  </si>
  <si>
    <t xml:space="preserve">LEGACY — do not select as package. Use a scope package in C5 and set Access model = Build-and-transfer in C6.</t>
  </si>
  <si>
    <t xml:space="preserve">Build &amp; Transfer</t>
  </si>
  <si>
    <t xml:space="preserve">All automation categories — applies when client requires full IP and operational ownership post-handover, regardless of automation type.</t>
  </si>
  <si>
    <t xml:space="preserve">Access &amp; Ownership Pricing Logic</t>
  </si>
  <si>
    <t xml:space="preserve">these five models are the granular access variants that implement the three policy tiers (Managed / Licence / Full transfer). See IP &amp; Licensing Policy.</t>
  </si>
  <si>
    <t xml:space="preserve">Model</t>
  </si>
  <si>
    <t xml:space="preserve">Client receives</t>
  </si>
  <si>
    <t xml:space="preserve">You retain</t>
  </si>
  <si>
    <t xml:space="preserve">Pricing effect</t>
  </si>
  <si>
    <t xml:space="preserve">Monthly effect</t>
  </si>
  <si>
    <t xml:space="preserve">Risk</t>
  </si>
  <si>
    <t xml:space="preserve">Use when</t>
  </si>
  <si>
    <t xml:space="preserve">Client wording</t>
  </si>
  <si>
    <t xml:space="preserve">Default setup multiplier</t>
  </si>
  <si>
    <t xml:space="preserve">Typical range</t>
  </si>
  <si>
    <t xml:space="preserve">Pricing use in FIXED calculator</t>
  </si>
  <si>
    <t xml:space="preserve">Policy tier</t>
  </si>
  <si>
    <t xml:space="preserve">Results, dashboards, reports, approval queue</t>
  </si>
  <si>
    <t xml:space="preserve">Make logic, prompts, reusable blueprints</t>
  </si>
  <si>
    <t xml:space="preserve">Normal</t>
  </si>
  <si>
    <t xml:space="preserve">x1.0 monthly</t>
  </si>
  <si>
    <t xml:space="preserve">Low</t>
  </si>
  <si>
    <t xml:space="preserve">Default</t>
  </si>
  <si>
    <t xml:space="preserve">We manage the automation and provide outputs/support.</t>
  </si>
  <si>
    <t xml:space="preserve">Best default model</t>
  </si>
  <si>
    <t xml:space="preserve">x1.0</t>
  </si>
  <si>
    <t xml:space="preserve">Managed service: no handover premium.</t>
  </si>
  <si>
    <t xml:space="preserve">Logic visibility</t>
  </si>
  <si>
    <t xml:space="preserve">Workflow summary, Mermaid/chart, status rules</t>
  </si>
  <si>
    <t xml:space="preserve">Implementation details and reusable logic</t>
  </si>
  <si>
    <t xml:space="preserve">Normal or small add-on</t>
  </si>
  <si>
    <t xml:space="preserve">Client wants transparency</t>
  </si>
  <si>
    <t xml:space="preserve">You receive workflow documentation without internal implementation.</t>
  </si>
  <si>
    <t xml:space="preserve">Good trust-building option</t>
  </si>
  <si>
    <t xml:space="preserve">x1.0–x1.15</t>
  </si>
  <si>
    <t xml:space="preserve">Transparency/documentation premium.</t>
  </si>
  <si>
    <t xml:space="preserve">Limited admin</t>
  </si>
  <si>
    <t xml:space="preserve">Dashboard, approvals, run summaries</t>
  </si>
  <si>
    <t xml:space="preserve">Scenario edit rights and blueprint export</t>
  </si>
  <si>
    <t xml:space="preserve">+10–25%</t>
  </si>
  <si>
    <t xml:space="preserve">x1.1–1.25 monthly</t>
  </si>
  <si>
    <t xml:space="preserve">Medium</t>
  </si>
  <si>
    <t xml:space="preserve">Client needs stronger control</t>
  </si>
  <si>
    <t xml:space="preserve">You can review outcomes while we manage the system.</t>
  </si>
  <si>
    <t xml:space="preserve">Managed clients</t>
  </si>
  <si>
    <t xml:space="preserve">x1.10–x1.25</t>
  </si>
  <si>
    <t xml:space="preserve">Limited admin/client controls.</t>
  </si>
  <si>
    <t xml:space="preserve">Client-owned workspace</t>
  </si>
  <si>
    <t xml:space="preserve">Automation runs in client workspace</t>
  </si>
  <si>
    <t xml:space="preserve">Methodology and reusable templates</t>
  </si>
  <si>
    <t xml:space="preserve">+25–75%</t>
  </si>
  <si>
    <t xml:space="preserve">x0.5–1.5 monthly depending support</t>
  </si>
  <si>
    <t xml:space="preserve">Compliance/enterprise</t>
  </si>
  <si>
    <t xml:space="preserve">Built in your workspace; support remains available.</t>
  </si>
  <si>
    <t xml:space="preserve">Higher setup</t>
  </si>
  <si>
    <t xml:space="preserve">x1.25–x1.75</t>
  </si>
  <si>
    <t xml:space="preserve">Client-owned workspace/setup burden.</t>
  </si>
  <si>
    <t xml:space="preserve">Build-and-transfer</t>
  </si>
  <si>
    <t xml:space="preserve">Full Make scenario, export, documentation</t>
  </si>
  <si>
    <t xml:space="preserve">General know-how only</t>
  </si>
  <si>
    <t xml:space="preserve">x1.5–x3 setup</t>
  </si>
  <si>
    <t xml:space="preserve">x0–x3 monthly depending support</t>
  </si>
  <si>
    <t xml:space="preserve">High</t>
  </si>
  <si>
    <t xml:space="preserve">INTERNAL INFORMATION ONLY — not a client-facing offer</t>
  </si>
  <si>
    <t xml:space="preserve">We build and hand over the automation asset.</t>
  </si>
  <si>
    <t xml:space="preserve">Documented for internal clarity; not sold. See IP &amp; Licensing Policy.</t>
  </si>
  <si>
    <t xml:space="preserve">x1.5–x3.0</t>
  </si>
  <si>
    <t xml:space="preserve">Build-and-transfer default; override if needed.</t>
  </si>
  <si>
    <t xml:space="preserve">Full transfer — internal info only</t>
  </si>
  <si>
    <t xml:space="preserve">Client</t>
  </si>
  <si>
    <t xml:space="preserve">VD</t>
  </si>
  <si>
    <t xml:space="preserve">what it means?</t>
  </si>
  <si>
    <t xml:space="preserve">Approvals</t>
  </si>
  <si>
    <t xml:space="preserve">You review and OK an action before it happens.</t>
  </si>
  <si>
    <t xml:space="preserve">Dashboards</t>
  </si>
  <si>
    <t xml:space="preserve">A live screen showing what the automation is doing and its status.</t>
  </si>
  <si>
    <t xml:space="preserve">Results</t>
  </si>
  <si>
    <t xml:space="preserve">The finished output of a run (sorted messages, extracted data, etc.).</t>
  </si>
  <si>
    <t xml:space="preserve">Reports</t>
  </si>
  <si>
    <t xml:space="preserve">Periodic summaries (daily/weekly) of what was processed.</t>
  </si>
  <si>
    <t xml:space="preserve">Approval Queue</t>
  </si>
  <si>
    <t xml:space="preserve">The list of items waiting for your yes/no before they're sent or done.</t>
  </si>
  <si>
    <t xml:space="preserve">Charts (Mermaid, &lt;other&gt;)</t>
  </si>
  <si>
    <t xml:space="preserve">A visual diagram of how the workflow flows — for understanding, not editing.</t>
  </si>
  <si>
    <t xml:space="preserve">Status Rules</t>
  </si>
  <si>
    <t xml:space="preserve">The plain rules that decide what counts as done, pending, or failed.</t>
  </si>
  <si>
    <t xml:space="preserve">Run Summaries</t>
  </si>
  <si>
    <t xml:space="preserve">A short recap of each run: how many handled, flagged, errored.</t>
  </si>
  <si>
    <t xml:space="preserve">Scenarios (Make, n8n, &lt;other&gt;)</t>
  </si>
  <si>
    <t xml:space="preserve">The actual automation build (the connected steps) inside Make/n8n.</t>
  </si>
  <si>
    <t xml:space="preserve">Logic (Make, n8n, &lt;other&gt;)</t>
  </si>
  <si>
    <t xml:space="preserve">The decision rules inside the scenario — how it classifies and routes.</t>
  </si>
  <si>
    <t xml:space="preserve">Prompts (Make, n8n, &lt;other&gt;)</t>
  </si>
  <si>
    <t xml:space="preserve">The exact instructions given to the AI at each step.</t>
  </si>
  <si>
    <t xml:space="preserve">Blueprints (Make, n8n, &lt;other&gt;)</t>
  </si>
  <si>
    <t xml:space="preserve">A reusable export of a scenario that lets it be rebuilt. We retain this.</t>
  </si>
  <si>
    <t xml:space="preserve">Documentation</t>
  </si>
  <si>
    <t xml:space="preserve">Written explanation of what the automation does and how to operate it.</t>
  </si>
  <si>
    <t xml:space="preserve">Export?</t>
  </si>
  <si>
    <t xml:space="preserve">Whether a copy of the scenario file can be taken out of the tool.</t>
  </si>
  <si>
    <t xml:space="preserve">reusable blueprints</t>
  </si>
  <si>
    <t xml:space="preserve">Our library of scenario templates reused across clients. Ours only.</t>
  </si>
  <si>
    <t xml:space="preserve">reusable logic</t>
  </si>
  <si>
    <t xml:space="preserve">Our library of decision patterns reused across clients. Ours only.</t>
  </si>
  <si>
    <t xml:space="preserve">implementation details</t>
  </si>
  <si>
    <t xml:space="preserve">The specific technical wiring and config behind the scenario. Ours only.</t>
  </si>
  <si>
    <t xml:space="preserve">scenario edit rights</t>
  </si>
  <si>
    <t xml:space="preserve">Permission to change the automation's build (granted only in Limited admin).</t>
  </si>
  <si>
    <t xml:space="preserve">blueprint exports</t>
  </si>
  <si>
    <t xml:space="preserve">The ability to export the blueprint file. Ours only.</t>
  </si>
  <si>
    <t xml:space="preserve">methodology</t>
  </si>
  <si>
    <t xml:space="preserve">Our process for discovering, scoping and building automations. Never shared.</t>
  </si>
  <si>
    <t xml:space="preserve">reusable templates</t>
  </si>
  <si>
    <t xml:space="preserve">Our standard building blocks used across projects. Ours only.</t>
  </si>
  <si>
    <t xml:space="preserve">general know-how</t>
  </si>
  <si>
    <t xml:space="preserve">Generic experience we keep after any engagement.</t>
  </si>
  <si>
    <t xml:space="preserve">Complexity Adders &amp; Multipliers</t>
  </si>
  <si>
    <t xml:space="preserve">Support Model Lookup - Editable</t>
  </si>
  <si>
    <t xml:space="preserve">Factor</t>
  </si>
  <si>
    <t xml:space="preserve">Rule</t>
  </si>
  <si>
    <t xml:space="preserve">When to apply</t>
  </si>
  <si>
    <t xml:space="preserve">Example</t>
  </si>
  <si>
    <t xml:space="preserve">Support Model</t>
  </si>
  <si>
    <t xml:space="preserve">Monthly Multiplier</t>
  </si>
  <si>
    <t xml:space="preserve">Setup Handover Multiplier</t>
  </si>
  <si>
    <t xml:space="preserve">Typical Use</t>
  </si>
  <si>
    <t xml:space="preserve">Client Access</t>
  </si>
  <si>
    <t xml:space="preserve">Support Responsibility</t>
  </si>
  <si>
    <t xml:space="preserve">Pricing Note</t>
  </si>
  <si>
    <t xml:space="preserve">Internal Note</t>
  </si>
  <si>
    <t xml:space="preserve">per source / trigger</t>
  </si>
  <si>
    <t xml:space="preserve">Additional data source, trigger, or inbound channel beyond the scope included in the package</t>
  </si>
  <si>
    <t xml:space="preserve">Email inbox, social DM, document upload trigger, API feed, scheduled database poll</t>
  </si>
  <si>
    <t xml:space="preserve">invoice email trigger + webhook + Instagram DM = 3 sources</t>
  </si>
  <si>
    <t xml:space="preserve">Build-and-transfer with no monthly support</t>
  </si>
  <si>
    <t xml:space="preserve">Full handover</t>
  </si>
  <si>
    <t xml:space="preserve">None after handover</t>
  </si>
  <si>
    <t xml:space="preserve">0x monthly</t>
  </si>
  <si>
    <t xml:space="preserve">Legacy setup multiplier normalized to 1. Setup premium now belongs to Access Models / fixed calculator.</t>
  </si>
  <si>
    <t xml:space="preserve">per workflow type</t>
  </si>
  <si>
    <t xml:space="preserve">AI generates any output: reply drafts, extracted document fields, summarised text, repurposed content</t>
  </si>
  <si>
    <t xml:space="preserve">Each distinct AI generation type adds complexity — count per type, not per execution</t>
  </si>
  <si>
    <t xml:space="preserve">invoice field extraction + booking reply draft = 2 generation steps</t>
  </si>
  <si>
    <t xml:space="preserve">Client owns automation, occasional help</t>
  </si>
  <si>
    <t xml:space="preserve">Full/limited</t>
  </si>
  <si>
    <t xml:space="preserve">Limited fixes</t>
  </si>
  <si>
    <t xml:space="preserve">0.5x monthly</t>
  </si>
  <si>
    <t xml:space="preserve">CRM integration</t>
  </si>
  <si>
    <t xml:space="preserve">per CRM</t>
  </si>
  <si>
    <t xml:space="preserve">Notion/Airtable/HubSpot records</t>
  </si>
  <si>
    <t xml:space="preserve">Status and field mapping</t>
  </si>
  <si>
    <t xml:space="preserve">Notion DB</t>
  </si>
  <si>
    <t xml:space="preserve">Default managed service</t>
  </si>
  <si>
    <t xml:space="preserve">Dashboard/results</t>
  </si>
  <si>
    <t xml:space="preserve">Normal monitoring/support</t>
  </si>
  <si>
    <t xml:space="preserve">1.0x monthly</t>
  </si>
  <si>
    <t xml:space="preserve">Default.</t>
  </si>
  <si>
    <t xml:space="preserve">Approval workflow</t>
  </si>
  <si>
    <t xml:space="preserve">per approval path</t>
  </si>
  <si>
    <t xml:space="preserve">Human review needed</t>
  </si>
  <si>
    <t xml:space="preserve">Important for sensitive sectors</t>
  </si>
  <si>
    <t xml:space="preserve">approve before send</t>
  </si>
  <si>
    <t xml:space="preserve">High-responsibility maintenance</t>
  </si>
  <si>
    <t xml:space="preserve">Important business workflow</t>
  </si>
  <si>
    <t xml:space="preserve">Dashboard/results + stronger control</t>
  </si>
  <si>
    <t xml:space="preserve">Higher reliability support</t>
  </si>
  <si>
    <t xml:space="preserve">1.5x monthly</t>
  </si>
  <si>
    <t xml:space="preserve">Setup premium should be explicit via access model/manual add, not hidden in support model.</t>
  </si>
  <si>
    <t xml:space="preserve">Reporting layer</t>
  </si>
  <si>
    <t xml:space="preserve">yes/no</t>
  </si>
  <si>
    <t xml:space="preserve">Dashboards, summaries, KPI reports</t>
  </si>
  <si>
    <t xml:space="preserve">monthly report</t>
  </si>
  <si>
    <t xml:space="preserve">Transferred asset but you still maintain</t>
  </si>
  <si>
    <t xml:space="preserve">Ongoing maintenance</t>
  </si>
  <si>
    <t xml:space="preserve">2.0x monthly</t>
  </si>
  <si>
    <t xml:space="preserve">Use Access Models / fixed calculator for transfer setup premium.</t>
  </si>
  <si>
    <t xml:space="preserve">Sensitive data</t>
  </si>
  <si>
    <t xml:space="preserve">x1.3 to x1.7</t>
  </si>
  <si>
    <t xml:space="preserve">Health/legal/finance/high privacy</t>
  </si>
  <si>
    <t xml:space="preserve">Apply mainly to setup and monthly</t>
  </si>
  <si>
    <t xml:space="preserve">therapist</t>
  </si>
  <si>
    <t xml:space="preserve">Complex/agentic/high-risk system</t>
  </si>
  <si>
    <t xml:space="preserve">Full/controlled</t>
  </si>
  <si>
    <t xml:space="preserve">High responsibility</t>
  </si>
  <si>
    <t xml:space="preserve">Up to 3.0x monthly</t>
  </si>
  <si>
    <t xml:space="preserve">Use manual setup add/urgency multiplier for critical setup impact.</t>
  </si>
  <si>
    <t xml:space="preserve">Urgency</t>
  </si>
  <si>
    <t xml:space="preserve">x1.2 to x1.5</t>
  </si>
  <si>
    <t xml:space="preserve">Fast delivery required</t>
  </si>
  <si>
    <t xml:space="preserve">Apply to setup</t>
  </si>
  <si>
    <t xml:space="preserve">launch this week</t>
  </si>
  <si>
    <t xml:space="preserve">x1.5 to x3.0</t>
  </si>
  <si>
    <t xml:space="preserve">Client receives scenario/blueprint</t>
  </si>
  <si>
    <t xml:space="preserve">own Make workspace</t>
  </si>
  <si>
    <t xml:space="preserve">Monthly support model</t>
  </si>
  <si>
    <t xml:space="preserve">Monthly multiplier</t>
  </si>
  <si>
    <t xml:space="preserve">Typical monthly logic</t>
  </si>
  <si>
    <t xml:space="preserve">You remain responsible for</t>
  </si>
  <si>
    <t xml:space="preserve">Pricing note</t>
  </si>
  <si>
    <t xml:space="preserve">Internal decision</t>
  </si>
  <si>
    <t xml:space="preserve">No recurring fee</t>
  </si>
  <si>
    <t xml:space="preserve">Build-and-transfer with no support</t>
  </si>
  <si>
    <t xml:space="preserve">Delivered automation only</t>
  </si>
  <si>
    <t xml:space="preserve">Nothing after handover</t>
  </si>
  <si>
    <t xml:space="preserve">client self-maintains</t>
  </si>
  <si>
    <t xml:space="preserve">Use rarely</t>
  </si>
  <si>
    <t xml:space="preserve">Ad-hoc checks / small fixes</t>
  </si>
  <si>
    <t xml:space="preserve">Client owns automation but may need help</t>
  </si>
  <si>
    <t xml:space="preserve">Occasional support</t>
  </si>
  <si>
    <t xml:space="preserve">Limited support only</t>
  </si>
  <si>
    <t xml:space="preserve">quarterly help</t>
  </si>
  <si>
    <t xml:space="preserve">0.5x to 1.0x monthly</t>
  </si>
  <si>
    <t xml:space="preserve">Define hours</t>
  </si>
  <si>
    <t xml:space="preserve">Standard monitoring and minor improvements</t>
  </si>
  <si>
    <t xml:space="preserve">Managed service default</t>
  </si>
  <si>
    <t xml:space="preserve">Reports/support</t>
  </si>
  <si>
    <t xml:space="preserve">Normal reliability support</t>
  </si>
  <si>
    <t xml:space="preserve">Basic+/Pro managed</t>
  </si>
  <si>
    <t xml:space="preserve">Strong monitoring, quick fixes, change support</t>
  </si>
  <si>
    <t xml:space="preserve">Client owns or depends heavily on system</t>
  </si>
  <si>
    <t xml:space="preserve">Higher support availability</t>
  </si>
  <si>
    <t xml:space="preserve">Higher operational responsibility</t>
  </si>
  <si>
    <t xml:space="preserve">mission-critical workflow</t>
  </si>
  <si>
    <t xml:space="preserve">1.5x to 3.0x monthly</t>
  </si>
  <si>
    <t xml:space="preserve">Premium</t>
  </si>
  <si>
    <t xml:space="preserve">Transferred asset + ongoing maintenance</t>
  </si>
  <si>
    <t xml:space="preserve">Build-and-transfer but you still maintain it</t>
  </si>
  <si>
    <t xml:space="preserve">Full asset + managed care</t>
  </si>
  <si>
    <t xml:space="preserve">Ongoing maintenance despite transfer</t>
  </si>
  <si>
    <t xml:space="preserve">client owns Make, you maintain</t>
  </si>
  <si>
    <t xml:space="preserve">2.0x typical</t>
  </si>
  <si>
    <t xml:space="preserve">Charge clearly</t>
  </si>
  <si>
    <t xml:space="preserve">High urgency / high responsibility</t>
  </si>
  <si>
    <t xml:space="preserve">Complex agentic systems</t>
  </si>
  <si>
    <t xml:space="preserve">Priority support</t>
  </si>
  <si>
    <t xml:space="preserve">Major ongoing responsibility</t>
  </si>
  <si>
    <t xml:space="preserve">Calendar/CRM agent with SLA-like expectation</t>
  </si>
  <si>
    <t xml:space="preserve">Custom quote</t>
  </si>
  <si>
    <t xml:space="preserve">Example Quote Ranges</t>
  </si>
  <si>
    <t xml:space="preserve">STALE — v28 fix (see START HERE) corrected the Quote Calculator's 'AI generation steps' and 'Extra data sources' adders, which had been silently computing to CHF 0 in v27. Only the MG Red Shift v4.0 row below has been re-verified and corrected (cross-checked against DOCU - Pricing Logic and AUDIT Pricing). Every other row here still reflects pre-fix arithmetic — re-run each through the live Quote Calculator with its actual counts before quoting a client from this sheet. See column K.</t>
  </si>
  <si>
    <t xml:space="preserve">Why</t>
  </si>
  <si>
    <t xml:space="preserve">MG Red Shift v4.0 — AI-drafted SEEKER reply (base)</t>
  </si>
  <si>
    <t xml:space="preserve">AI classification, Notion DB, folder routing, SEEKER draft support</t>
  </si>
  <si>
    <t xml:space="preserve">Managed / hybrid</t>
  </si>
  <si>
    <t xml:space="preserve">No automatic sending; AI draft held for review. CORRECTED in v28: recomputed from Basic+ AI Triage base + AI generation(1) + CRM(1) + Approval(1), Normal managed support — matches AUDIT Pricing's own independent hand-calc (recommended ~CHF 6,800 / 1,600). Note: DOCU - Pricing Logic!F121 mislabels this package 'Basic Intake' in one worked table (B495/B579 in the same sheet correctly say Basic+ AI Triage) — that internal contradiction is unresolved, flagged separately.</t>
  </si>
  <si>
    <t xml:space="preserve">CORRECTED (v28)</t>
  </si>
  <si>
    <t xml:space="preserve">Therapist Gmail + booking link</t>
  </si>
  <si>
    <t xml:space="preserve">Email/form intake, booking triage, no direct advice</t>
  </si>
  <si>
    <t xml:space="preserve">Human approval</t>
  </si>
  <si>
    <t xml:space="preserve">NEEDS RE-QUOTE (predates v28 fix)</t>
  </si>
  <si>
    <t xml:space="preserve">Therapist Instagram + Gmail + drafts</t>
  </si>
  <si>
    <t xml:space="preserve">Multiple channels and draft approval workflow</t>
  </si>
  <si>
    <t xml:space="preserve">Managed</t>
  </si>
  <si>
    <t xml:space="preserve">Sensitive data needs strict boundaries</t>
  </si>
  <si>
    <t xml:space="preserve">Small agency CRM + reporting</t>
  </si>
  <si>
    <t xml:space="preserve">CRM, monitoring, reporting, improvement backlog</t>
  </si>
  <si>
    <t xml:space="preserve">Recurring service value</t>
  </si>
  <si>
    <t xml:space="preserve">Calendar/CRM agent</t>
  </si>
  <si>
    <t xml:space="preserve">Controlled multi-step actions with approvals</t>
  </si>
  <si>
    <t xml:space="preserve">Controlled access</t>
  </si>
  <si>
    <t xml:space="preserve">Client full handover</t>
  </si>
  <si>
    <t xml:space="preserve">Transfers Make logic and documentation</t>
  </si>
  <si>
    <t xml:space="preserve">Client-owned</t>
  </si>
  <si>
    <t xml:space="preserve">Price 1.5x to 3x setup</t>
  </si>
  <si>
    <t xml:space="preserve">MG Red Shift v4.1 — template SEEKER reply</t>
  </si>
  <si>
    <t xml:space="preserve">Same triage; SEEKER reply is a prepared template (no AI generation). Simplest of the three.</t>
  </si>
  <si>
    <t xml:space="preserve">Template reply; no AI draft</t>
  </si>
  <si>
    <t xml:space="preserve">MG Red Shift v4.2 + v4.1 — dual intake (email + webform)</t>
  </si>
  <si>
    <t xml:space="preserve">v4.1 process across two intake paths (email then webform): extra source + duplicated classify/route.</t>
  </si>
  <si>
    <t xml:space="preserve">No automatic sending; two channels</t>
  </si>
  <si>
    <t xml:space="preserve">Example Quotes — each build, three access options</t>
  </si>
  <si>
    <t xml:space="preserve">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 STALE (v28): only the MG Red Shift v4.0 block below has been re-verified against the corrected Quote Calculator; every other block still reflects pre-fix arithmetic — see column I on each block, and re-run before quoting a client.</t>
  </si>
  <si>
    <t xml:space="preserve">scope: Basic Intake</t>
  </si>
  <si>
    <t xml:space="preserve">Option</t>
  </si>
  <si>
    <t xml:space="preserve">Setup min</t>
  </si>
  <si>
    <t xml:space="preserve">Setup max</t>
  </si>
  <si>
    <t xml:space="preserve">Recurring min</t>
  </si>
  <si>
    <t xml:space="preserve">Recurring max</t>
  </si>
  <si>
    <t xml:space="preserve">Unit</t>
  </si>
  <si>
    <t xml:space="preserve">What the client holds</t>
  </si>
  <si>
    <t xml:space="preserve">IP / notes</t>
  </si>
  <si>
    <t xml:space="preserve">Results + right to use; we run &amp; improve it</t>
  </si>
  <si>
    <t xml:space="preserve">+ Licence option</t>
  </si>
  <si>
    <t xml:space="preserve">/ year</t>
  </si>
  <si>
    <t xml:space="preserve">Runs for them; bounded right-to-use</t>
  </si>
  <si>
    <t xml:space="preserve">+ Full transfer (internal only)</t>
  </si>
  <si>
    <t xml:space="preserve">They OWN the build outright</t>
  </si>
  <si>
    <t xml:space="preserve">MG Red Shift v4.0 — SEEKER reply</t>
  </si>
  <si>
    <t xml:space="preserve">scope: Basic+ AI Triage</t>
  </si>
  <si>
    <t xml:space="preserve">scope: Pro Multi-Channel</t>
  </si>
  <si>
    <t xml:space="preserve">scope: Managed Operations</t>
  </si>
  <si>
    <t xml:space="preserve">scope: Agentic Automation</t>
  </si>
  <si>
    <t xml:space="preserve">Formula (edit to taste): Licence setup = Managed setup ×1.30 · Licence annual = Managed monthly ×12 ×0.50 · Transfer one-time = Managed setup + 2.5×12×Managed monthly · Transfer recurring = 0.</t>
  </si>
  <si>
    <t xml:space="preserve">Licence 'Recurring' is the annual licence (unit = /year). Managed &amp; Transfer recurring are monthly (unit = /month). Transfer grows with scope — Basic ~9k, Agentic ~87k–210k — so it's a multiplier, kept internal-only.</t>
  </si>
  <si>
    <t xml:space="preserve">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</si>
  <si>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 xml:space="preserve">INPUTS (edit)</t>
  </si>
  <si>
    <t xml:space="preserve">Licence % of managed-year</t>
  </si>
  <si>
    <t xml:space="preserve">share of the managed year the licence keeps (maintain-vs-improve split). 40–60% typical.</t>
  </si>
  <si>
    <t xml:space="preserve">Licence setup multiplier</t>
  </si>
  <si>
    <t xml:space="preserve">one-time uplift for documentation + handover so they can run it themselves.</t>
  </si>
  <si>
    <t xml:space="preserve">Buy-out: years of recurring to capitalise</t>
  </si>
  <si>
    <t xml:space="preserve">buy-out one-time = setup + (years × 12 × monthly). Protects the recurring you give up.</t>
  </si>
  <si>
    <t xml:space="preserve">Managed setup</t>
  </si>
  <si>
    <t xml:space="preserve">Managed / mo</t>
  </si>
  <si>
    <t xml:space="preserve">Licence setup</t>
  </si>
  <si>
    <t xml:space="preserve">Licence / year</t>
  </si>
  <si>
    <t xml:space="preserve">Licence / mo (equiv)</t>
  </si>
  <si>
    <t xml:space="preserve">Full transfer one-time
(internal info only)</t>
  </si>
  <si>
    <t xml:space="preserve">Transfer / mo</t>
  </si>
  <si>
    <t xml:space="preserve">How to read it:</t>
  </si>
  <si>
    <t xml:space="preserve">• Managed (default): you run and improve it. Setup + monthly per the package. Recurring, you keep the IP.</t>
  </si>
  <si>
    <t xml:space="preserve">• Licence (no managed service): they run it; you licence the right-to-use and keep the IP. Setup ×1.3 (handover/docs) + an annual licence = licence% × the managed year. Still recurring.</t>
  </si>
  <si>
    <t xml:space="preserve">• Full transfer (INTERNAL INFORMATION ONLY — not offered as a path): if ever considered, one-time = setup + years×12×monthly, so we're paid for the recurring we give up. We keep only general know-how.</t>
  </si>
  <si>
    <t xml:space="preserve">Licence % = the maintain-vs-improve split: 40% if your monthly is mostly active improvement, 60% if mostly keeping-it-running. Default 50%.</t>
  </si>
  <si>
    <t xml:space="preserve">Figures use Package Reference midpoints; for a specific deal use the Quote Calculator's setup/monthly in place of the midpoint.</t>
  </si>
  <si>
    <t xml:space="preserve">Policy source-of-truth: VortexDeep_IP_and_Licensing_Policy_v01. Full transfer is documented, not sold.</t>
  </si>
  <si>
    <t xml:space="preserve">Break-Even &amp; Runway — company-level, not per-quote</t>
  </si>
  <si>
    <t xml:space="preserve">Answers the open item in claude_VD_v13_change_sheet.md: 'Is break-even at 6-8 clients supported by the pricing model?' Nothing else in VD docu computes this — the deck states it, this sheet tests it. Cell colours match the rest of the workbook: yellow = you edit, blue = calculated, don't type over.</t>
  </si>
  <si>
    <t xml:space="preserve">1) ASSUMED CLIENT MIX -&gt; blended monthly fee per active client (live from Access &amp; Licence Pricing)</t>
  </si>
  <si>
    <t xml:space="preserve">Managed / mo (live)</t>
  </si>
  <si>
    <t xml:space="preserve">Mix weight (edit, must total 100%)</t>
  </si>
  <si>
    <t xml:space="preserve">Weight total (must = 100%)</t>
  </si>
  <si>
    <t xml:space="preserve">Blended monthly fee per active client (CHF)</t>
  </si>
  <si>
    <t xml:space="preserve">2) MONTHLY FIXED COST BASE (edit — your own numbers; nothing to link this to yet)</t>
  </si>
  <si>
    <t xml:space="preserve">Founder monthly draw (CHF)</t>
  </si>
  <si>
    <t xml:space="preserve">Other fixed monthly costs (CHF) — tools, insurance, accounting, admin</t>
  </si>
  <si>
    <t xml:space="preserve">Gross margin on delivery (%) — 1 minus your own time/subcontractor cost as a share of fee</t>
  </si>
  <si>
    <t xml:space="preserve">Delivery pass-through (Make.com ops, AI API tokens per Quote Calculator C26/C27 guidance) sits outside this margin — keep it out of both sides.</t>
  </si>
  <si>
    <t xml:space="preserve">Total fixed monthly cost (CHF)</t>
  </si>
  <si>
    <t xml:space="preserve">Contribution margin per client / month (CHF)</t>
  </si>
  <si>
    <t xml:space="preserve">3) BREAK-EVEN</t>
  </si>
  <si>
    <t xml:space="preserve">Break-even client count</t>
  </si>
  <si>
    <t xml:space="preserve">Monthly revenue at break-even (CHF)</t>
  </si>
  <si>
    <t xml:space="preserve">Deck check (Slides 6-7 claim ~6-8 clients)</t>
  </si>
  <si>
    <t xml:space="preserve">4) PRE-REVENUE RUNWAY (optional)</t>
  </si>
  <si>
    <t xml:space="preserve">Starting cash available (CHF) — leave 0 if not modelling this</t>
  </si>
  <si>
    <t xml:space="preserve">Runway at zero clients (months)</t>
  </si>
  <si>
    <t xml:space="preserve">5) SENSITIVITY — break-even client count at different founder draws (holds row 2 mix + row 17-18 fixed)</t>
  </si>
  <si>
    <t xml:space="preserve">Founder draw scenario</t>
  </si>
  <si>
    <t xml:space="preserve">Break-even clients</t>
  </si>
  <si>
    <t xml:space="preserve">Lean (CHF 4,000/mo)</t>
  </si>
  <si>
    <t xml:space="preserve">Base (= C16 above)</t>
  </si>
  <si>
    <t xml:space="preserve">Comfortable (CHF 8,000/mo)</t>
  </si>
  <si>
    <t xml:space="preserve">Source note: Package monthly fees pull live from 'Access &amp; Licence Pricing' (itself live from 'Package Reference'), so this sheet updates automatically if package pricing changes or the F31:F34 adder fix changes the underlying quotes. The client-mix weights, founder draw, other fixed costs, gross margin and starting cash are this sheet's own assumptions — state them out loud before quoting this number to a jury.</t>
  </si>
  <si>
    <t xml:space="preserve">Front-Door Tools — Pricing (AISR &amp; AIWSC)</t>
  </si>
  <si>
    <t xml:space="preserve">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</si>
  <si>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 xml:space="preserve">AISR — AI Search Readiness   ·   pipeline &amp; 3 packages (prices per AISR-Process.docx)</t>
  </si>
  <si>
    <t xml:space="preserve">Pipeline:</t>
  </si>
  <si>
    <t xml:space="preserve">1 Audit (free, no AI) → 2 Fill facts → 3 Test/teaser (free) → 4 Fix (paid) → 5 Verify → Managed (paid). Client sees only a TEASER; the full report, fixes and implementation stay behind payment.</t>
  </si>
  <si>
    <t xml:space="preserve">Price (CHF)</t>
  </si>
  <si>
    <t xml:space="preserve">What the client gets</t>
  </si>
  <si>
    <t xml:space="preserve">Note</t>
  </si>
  <si>
    <t xml:space="preserve">min</t>
  </si>
  <si>
    <t xml:space="preserve">max</t>
  </si>
  <si>
    <t xml:space="preserve">note</t>
  </si>
  <si>
    <t xml:space="preserve">/ AI</t>
  </si>
  <si>
    <t xml:space="preserve">?</t>
  </si>
  <si>
    <t xml:space="preserve">Free teaser</t>
  </si>
  <si>
    <t xml:space="preserve">-</t>
  </si>
  <si>
    <t xml:space="preserve">Audit + readiness score + 2–3 real AI errors</t>
  </si>
  <si>
    <t xml:space="preserve">read-only; cents of API</t>
  </si>
  <si>
    <t xml:space="preserve">no</t>
  </si>
  <si>
    <t xml:space="preserve">Wins the project — your Fit Check</t>
  </si>
  <si>
    <t xml:space="preserve">Fix</t>
  </si>
  <si>
    <t xml:space="preserve">one-time</t>
  </si>
  <si>
    <t xml:space="preserve">Full readiness report + implemented fixes + before/after</t>
  </si>
  <si>
    <t xml:space="preserve">approved on-site edits</t>
  </si>
  <si>
    <t xml:space="preserve">The full report lives here, not in the teaser</t>
  </si>
  <si>
    <t xml:space="preserve">month</t>
  </si>
  <si>
    <t xml:space="preserve">Repeat testing + small approved fixes over time</t>
  </si>
  <si>
    <t xml:space="preserve">ongoing</t>
  </si>
  <si>
    <t xml:space="preserve">yes</t>
  </si>
  <si>
    <t xml:space="preserve">Off-site citation work is the effective half</t>
  </si>
  <si>
    <t xml:space="preserve">Source: your AISR-Process.docx (documented prices). Free = steps 1–3; Paid = full report + fixes + verify + managed.</t>
  </si>
  <si>
    <t xml:space="preserve">AIWSC — Website Security Check   ·   two axes: DEPTH (numbered) × AUTHORIZATION (named)</t>
  </si>
  <si>
    <t xml:space="preserve">Your AIWSC-Scanning-Policy.docx is explicit: keep depth and authorization apart — mixing them into one number line causes confusion.</t>
  </si>
  <si>
    <t xml:space="preserve">DEPTH — the mode numbers (on every report &amp; filename)</t>
  </si>
  <si>
    <t xml:space="preserve">Mode</t>
  </si>
  <si>
    <t xml:space="preserve">Reads</t>
  </si>
  <si>
    <t xml:space="preserve">Permission</t>
  </si>
  <si>
    <t xml:space="preserve">Command</t>
  </si>
  <si>
    <t xml:space="preserve">mode-00 triage</t>
  </si>
  <si>
    <t xml:space="preserve">Public records only: DNS + certificate</t>
  </si>
  <si>
    <t xml:space="preserve">None needed (internal)</t>
  </si>
  <si>
    <t xml:space="preserve">triage --client &lt;domain&gt;</t>
  </si>
  <si>
    <t xml:space="preserve">mode-05 inspect</t>
  </si>
  <si>
    <t xml:space="preserve">The delivered page(s) you name: headers, cookies, version + above</t>
  </si>
  <si>
    <t xml:space="preserve">inspect --client &lt;domain-or-URL&gt;</t>
  </si>
  <si>
    <t xml:space="preserve">mode-10 scan</t>
  </si>
  <si>
    <t xml:space="preserve">Full light scan: above + the tool's own checks (e.g. redirect test)</t>
  </si>
  <si>
    <t xml:space="preserve">Needs authorization</t>
  </si>
  <si>
    <t xml:space="preserve">scan --client &lt;domain&gt;</t>
  </si>
  <si>
    <t xml:space="preserve">mode-15 scan --deeper</t>
  </si>
  <si>
    <t xml:space="preserve">Above + sensitive-file exposure probe (.env / .git)</t>
  </si>
  <si>
    <t xml:space="preserve">Needs auth covering ACTIVE testing</t>
  </si>
  <si>
    <t xml:space="preserve">scan --client &lt;domain&gt; --deeper</t>
  </si>
  <si>
    <t xml:space="preserve">AUTHORIZATION — named, not numbered (who said yes)</t>
  </si>
  <si>
    <t xml:space="preserve">self-owned</t>
  </si>
  <si>
    <t xml:space="preserve">a domain we control — self-attested</t>
  </si>
  <si>
    <t xml:space="preserve">built-by-VD</t>
  </si>
  <si>
    <t xml:space="preserve">site we built/maintain — consent as a standing clause in the contract</t>
  </si>
  <si>
    <t xml:space="preserve">client</t>
  </si>
  <si>
    <t xml:space="preserve">the site owner's written consent (self-serve: prove ownership = the consent)</t>
  </si>
  <si>
    <t xml:space="preserve">Same depth (e.g. mode-10) can run under any authorization — depth and authorization are independent.</t>
  </si>
  <si>
    <t xml:space="preserve">COMMERCIAL — free front door, paid fixes (AIWSC has no documented price yet; figures indicative)</t>
  </si>
  <si>
    <t xml:space="preserve">Tier</t>
  </si>
  <si>
    <t xml:space="preserve">Depth</t>
  </si>
  <si>
    <t xml:space="preserve">/ auth</t>
  </si>
  <si>
    <t xml:space="preserve">Free scan</t>
  </si>
  <si>
    <t xml:space="preserve">Light scan + plain-language report, self-serve, ownership-verified</t>
  </si>
  <si>
    <t xml:space="preserve">mode 00–10 · owner-initiated</t>
  </si>
  <si>
    <t xml:space="preserve">The front door (no cold outreach)</t>
  </si>
  <si>
    <t xml:space="preserve">Agreed remediation (certs, headers, email auth, updates) + re-scan proof</t>
  </si>
  <si>
    <t xml:space="preserve">approved changes · client consent</t>
  </si>
  <si>
    <t xml:space="preserve">Where the work is paid</t>
  </si>
  <si>
    <t xml:space="preserve">Deep check</t>
  </si>
  <si>
    <t xml:space="preserve">add-on</t>
  </si>
  <si>
    <t xml:space="preserve">mode-15 active exposure probe (.env/.git)</t>
  </si>
  <si>
    <t xml:space="preserve">needs ACTIVE-testing auth</t>
  </si>
  <si>
    <t xml:space="preserve">Only inside a proper engagement</t>
  </si>
  <si>
    <t xml:space="preserve">Periodic re-scan + monitoring</t>
  </si>
  <si>
    <t xml:space="preserve">scoped standing consent</t>
  </si>
  <si>
    <t xml:space="preserve">Or refer deep manual pentest to a partner</t>
  </si>
  <si>
    <t xml:space="preserve">GUARDRAILS (from your own docs)</t>
  </si>
  <si>
    <t xml:space="preserve">• Read-only &amp; invited only: read what a site already exposes; never alter/break in; never scan strangers uninvited.</t>
  </si>
  <si>
    <t xml:space="preserve">• Authority = ownership OR written consent. Building a site doesn't grant it — but lets consent be a standing contract clause.</t>
  </si>
  <si>
    <t xml:space="preserve">• AIWSC is a scan-level assessment, NOT a manual penetration test — refer true pentests to a specialist partner.</t>
  </si>
  <si>
    <t xml:space="preserve">• Have a Swiss lawyer review the standing-clause wording and any outreach before the first client.</t>
  </si>
  <si>
    <t xml:space="preserve">• SECURITY: API_KEYS.txt is still committed in VDt_02_aisr — rotate those keys and make the repo private.</t>
  </si>
  <si>
    <t xml:space="preserve">MARKET COMPARISON (2026)  —  where VortexDeep sits vs typical providers</t>
  </si>
  <si>
    <t xml:space="preserve">Market figures are USD/EUR; treat as rough CHF parity (USD ≈ 0.85 CHF, EUR ≈ 0.94 CHF). VD is deliberately at the accessible / SME end — below agencies. The edge is honesty + human-in-the-loop, not being cheapest.</t>
  </si>
  <si>
    <t xml:space="preserve">AISR — AI Search Readiness (AEO / GEO)</t>
  </si>
  <si>
    <t xml:space="preserve">VD (CHF)</t>
  </si>
  <si>
    <t xml:space="preserve">Typical market (2026)</t>
  </si>
  <si>
    <t xml:space="preserve">TM (USD)</t>
  </si>
  <si>
    <t xml:space="preserve">Where VD sits</t>
  </si>
  <si>
    <t xml:space="preserve">TM</t>
  </si>
  <si>
    <t xml:space="preserve">Free teaser / scan</t>
  </si>
  <si>
    <t xml:space="preserve">Free audits &amp; 30-min calls common; tracking tools:</t>
  </si>
  <si>
    <t xml:space="preserve">At/below — free front door</t>
  </si>
  <si>
    <t xml:space="preserve">One-time (audit → fix)</t>
  </si>
  <si>
    <t xml:space="preserve">One-time audits:</t>
  </si>
  <si>
    <t xml:space="preserve">fixed 'foundation' builds ~$5,000</t>
  </si>
  <si>
    <t xml:space="preserve">Mid-market one-time, below retainers</t>
  </si>
  <si>
    <t xml:space="preserve">Managed / month</t>
  </si>
  <si>
    <t xml:space="preserve">Mid-market retainers:</t>
  </si>
  <si>
    <t xml:space="preserve">entry $1,000–2,500</t>
  </si>
  <si>
    <t xml:space="preserve">Well below agencies — SME-accessible</t>
  </si>
  <si>
    <t xml:space="preserve">(Enterprise)</t>
  </si>
  <si>
    <t xml:space="preserve">(not offered)</t>
  </si>
  <si>
    <t xml:space="preserve">Per month:</t>
  </si>
  <si>
    <t xml:space="preserve">VD doesn't play here (non-core)</t>
  </si>
  <si>
    <t xml:space="preserve">Sources: Digital Elevator, FuelOnline, OutreachBloom, WebFX, HouseOfMVPs (2026).</t>
  </si>
  <si>
    <t xml:space="preserve">2026-08</t>
  </si>
  <si>
    <t xml:space="preserve">USD</t>
  </si>
  <si>
    <t xml:space="preserve">EUR</t>
  </si>
  <si>
    <t xml:space="preserve">year</t>
  </si>
  <si>
    <t xml:space="preserve">USD/mo</t>
  </si>
  <si>
    <t xml:space="preserve">Free scans common; DIY scanner tools</t>
  </si>
  <si>
    <t xml:space="preserve">At market — free front door</t>
  </si>
  <si>
    <t xml:space="preserve">One-time fix / assessment</t>
  </si>
  <si>
    <t xml:space="preserve">Scoped web-app assessments $4,000–10,000; remediation ≈30% of audit</t>
  </si>
  <si>
    <t xml:space="preserve">remediation ≈30% of audit</t>
  </si>
  <si>
    <t xml:space="preserve">Below — honestly scan-level, not pentest</t>
  </si>
  <si>
    <t xml:space="preserve">Deep check (mode-15)</t>
  </si>
  <si>
    <t xml:space="preserve">(bundled into paid assessments)</t>
  </si>
  <si>
    <t xml:space="preserve">Light add-on</t>
  </si>
  <si>
    <t xml:space="preserve">Small-org annual:</t>
  </si>
  <si>
    <t xml:space="preserve">(≈ 250 – 670/mo)</t>
  </si>
  <si>
    <t xml:space="preserve">At/below market</t>
  </si>
  <si>
    <t xml:space="preserve">(Manual pentest)</t>
  </si>
  <si>
    <t xml:space="preserve">Manual pentest:</t>
  </si>
  <si>
    <t xml:space="preserve">Out of scope — VD refers out</t>
  </si>
  <si>
    <t xml:space="preserve">Sources: Invicti, DeepStrike, BrightDefense, BudgetSecurity, Code Bridge (2026). Note: a 'pentest' under ~$4k is usually just a scan.</t>
  </si>
  <si>
    <t xml:space="preserve">WHY THE PRICE HOLDS — the differentiators (from the tool internals)</t>
  </si>
  <si>
    <t xml:space="preserve">• AISR is ground-truth-based: it measures AI answers against what's TRUE about the business (products, what it is NOT, claims never to make) — not vanity metrics.</t>
  </si>
  <si>
    <t xml:space="preserve">• AISR fixes are evidence-based and gimmick-free: no llms.txt tricks, no schema unbacked by visible content; every fix is minimum-change and human-approved.</t>
  </si>
  <si>
    <t xml:space="preserve">• AIWSC is honestly scoped: read-only, consent-first, plain-language, with disclaimers — a trustworthy front door, never fear-sold, never a pentest in disguise.</t>
  </si>
  <si>
    <t xml:space="preserve">• Both start FREE and convert up as trust grows — the same human-in-the-loop posture as the core offering. That's the sell, not undercutting on price.</t>
  </si>
  <si>
    <t xml:space="preserve">Client-Facing Quote Summary Template</t>
  </si>
  <si>
    <t xml:space="preserve">Project name</t>
  </si>
  <si>
    <t xml:space="preserve">Enter project name</t>
  </si>
  <si>
    <t xml:space="preserve">Package direction</t>
  </si>
  <si>
    <t xml:space="preserve">Enter package direction</t>
  </si>
  <si>
    <t xml:space="preserve">One-line scope</t>
  </si>
  <si>
    <t xml:space="preserve">Example: AI intake triage for website/email inquiries with classification, routing, Notion logging, and draft support.</t>
  </si>
  <si>
    <t xml:space="preserve">Included</t>
  </si>
  <si>
    <t xml:space="preserve">List included channels, categories, automations, and approvals.</t>
  </si>
  <si>
    <t xml:space="preserve">Not included</t>
  </si>
  <si>
    <t xml:space="preserve">List postponed or excluded items.</t>
  </si>
  <si>
    <t xml:space="preserve">Setup fee</t>
  </si>
  <si>
    <t xml:space="preserve">Enter setup fee or range.</t>
  </si>
  <si>
    <t xml:space="preserve">Monthly managed service</t>
  </si>
  <si>
    <t xml:space="preserve">Enter monthly fee or range.</t>
  </si>
  <si>
    <t xml:space="preserve">Managed service / hybrid / client-owned / build-and-transfer.</t>
  </si>
  <si>
    <t xml:space="preserve">Client responsibilities</t>
  </si>
  <si>
    <t xml:space="preserve">Provide access, approve test cases, review drafts, confirm go-live.</t>
  </si>
  <si>
    <t xml:space="preserve">Provider responsibilities</t>
  </si>
  <si>
    <t xml:space="preserve">Build, test, monitor, support, update rules/prompts as agreed.</t>
  </si>
  <si>
    <t xml:space="preserve">Approval points</t>
  </si>
  <si>
    <t xml:space="preserve">Scope approval, blueprint approval, go-live approval.</t>
  </si>
  <si>
    <t xml:space="preserve">Prices exclude third-party software/API usage unless agreed otherwise.</t>
  </si>
  <si>
    <t xml:space="preserve">Internal reminder</t>
  </si>
  <si>
    <t xml:space="preserve">Copy into a proposal/email. Do not share internal calculator unless intended.</t>
  </si>
  <si>
    <t xml:space="preserve">Prepared on</t>
  </si>
  <si>
    <t xml:space="preserve">2026-06-23</t>
  </si>
  <si>
    <t xml:space="preserve">No support / light support / normal managed / high-responsibility / premium transfer support.</t>
  </si>
  <si>
    <t xml:space="preserve">Build-and-transfer note</t>
  </si>
  <si>
    <t xml:space="preserve">If full automation ownership is transferred, setup and monthly support may be multiplied depending on access and responsibility.</t>
  </si>
  <si>
    <t xml:space="preserve">LIVE REFERENCE (auto from Quote Calculator — copy into the fields above; do not edit these cells)</t>
  </si>
  <si>
    <t xml:space="preserve">Recommended setup quote (CHF)</t>
  </si>
  <si>
    <t xml:space="preserve">Recommended monthly quote (CHF)</t>
  </si>
  <si>
    <t xml:space="preserve">MGREDSHIFT v4.0 vs Direct Email Intake Expansion</t>
  </si>
  <si>
    <t xml:space="preserve">Access model applies to every product — Managed / Licence / Full transfer (internal). See Access Models · Access &amp; Licence Pricing · IP &amp; Licensing Policy.</t>
  </si>
  <si>
    <t xml:space="preserve">Existing MGREDSHIFT v4.0</t>
  </si>
  <si>
    <t xml:space="preserve">Expansion for other clients</t>
  </si>
  <si>
    <t xml:space="preserve">Why it matters</t>
  </si>
  <si>
    <t xml:space="preserve">Input source</t>
  </si>
  <si>
    <t xml:space="preserve">Website contact form via webhook only.</t>
  </si>
  <si>
    <t xml:space="preserve">Add direct inbox trigger, e.g. Gmail/IMAP/Outlook “watch emails”.</t>
  </si>
  <si>
    <t xml:space="preserve">Counts as +1 intake channel/source.</t>
  </si>
  <si>
    <t xml:space="preserve">Direct emails do not use the website form structure and may never reach the existing webhook scenario.</t>
  </si>
  <si>
    <t xml:space="preserve">Message structure</t>
  </si>
  <si>
    <t xml:space="preserve">Structured form fields: name, email, phone, subject, message.</t>
  </si>
  <si>
    <t xml:space="preserve">Normalize unstructured email into the same internal fields: source_type, sender, subject, body, phone/WhatsApp, detected country.</t>
  </si>
  <si>
    <t xml:space="preserve">Small setup increase.</t>
  </si>
  <si>
    <t xml:space="preserve">Without normalization, the classifier receives inconsistent inputs and misses cases.</t>
  </si>
  <si>
    <t xml:space="preserve">Router / pre-branch</t>
  </si>
  <si>
    <t xml:space="preserve">Classifier runs after webhook input and router acts on LEAD / SEEKER / SPAM / TEST.</t>
  </si>
  <si>
    <t xml:space="preserve">Add small source router/pre-branch: website_form vs direct_email, then merge both into the same classification logic.</t>
  </si>
  <si>
    <t xml:space="preserve">Small to medium setup increase.</t>
  </si>
  <si>
    <t xml:space="preserve">Keeps one central classifier while allowing several input channels.</t>
  </si>
  <si>
    <t xml:space="preserve">Classification logic</t>
  </si>
  <si>
    <t xml:space="preserve">Good for website enquiries. Foreign distributor requests are handled when they arrive through the form.</t>
  </si>
  <si>
    <t xml:space="preserve">Add fallback terms for direct emails: India, Gujarat, +91, WhatsApp, distributor, reseller, agency, purchase in [country].</t>
  </si>
  <si>
    <t xml:space="preserve">Usually included in the add-on.</t>
  </si>
  <si>
    <t xml:space="preserve">Direct emails often use broken wording, so keyword fallback improves SEEKER detection.</t>
  </si>
  <si>
    <t xml:space="preserve">Deduplication</t>
  </si>
  <si>
    <t xml:space="preserve">Less critical when each form submission is unique.</t>
  </si>
  <si>
    <t xml:space="preserve">Use email message ID / thread ID / timestamp to avoid duplicated processing.</t>
  </si>
  <si>
    <t xml:space="preserve">Part of realistic business version.</t>
  </si>
  <si>
    <t xml:space="preserve">Inbox triggers can re-read, forward, or re-process messages if not controlled.</t>
  </si>
  <si>
    <t xml:space="preserve">Routing and logging</t>
  </si>
  <si>
    <t xml:space="preserve">Folder routing + Notion logging + manual review.</t>
  </si>
  <si>
    <t xml:space="preserve">Add email labels/folders, status logging, error route and optional reply draft path.</t>
  </si>
  <si>
    <t xml:space="preserve">Moves from simple branch to managed workflow.</t>
  </si>
  <si>
    <t xml:space="preserve">Client sees a reliable operational process, not only an AI classification.</t>
  </si>
  <si>
    <t xml:space="preserve">Recommended classification</t>
  </si>
  <si>
    <t xml:space="preserve">Basic+ AI Triage.</t>
  </si>
  <si>
    <t xml:space="preserve">Still Basic+ if one inbox and same logic; low Pro if multiple inboxes, email-specific drafts or social channels are added.</t>
  </si>
  <si>
    <t xml:space="preserve">Use change request if added later.</t>
  </si>
  <si>
    <t xml:space="preserve">Scope expansion changes responsibility, testing and support needs.</t>
  </si>
  <si>
    <t xml:space="preserve">Practical conclusion</t>
  </si>
  <si>
    <t xml:space="preserve">For MG Red Shift, modification may not be needed now because direct foreign requests can be handled manually.</t>
  </si>
  <si>
    <t xml:space="preserve">For client projects, direct email intake should be discussed in discovery and priced as an optional intake-source add-on.</t>
  </si>
  <si>
    <t xml:space="preserve">Default quote: CHF 900–1’500 setup + CHF 150–300/month.</t>
  </si>
  <si>
    <t xml:space="preserve">This protects against underpricing and makes scope boundaries clear.</t>
  </si>
  <si>
    <t xml:space="preserve">Pricing Calculator Audit</t>
  </si>
  <si>
    <t xml:space="preserve">Workbook</t>
  </si>
  <si>
    <t xml:space="preserve">AI_Automation_PM_Helper_Pricing_Calculator_v6_Streamlined_MJS_updated_email_intake.xlsx</t>
  </si>
  <si>
    <t xml:space="preserve">Audit focus</t>
  </si>
  <si>
    <t xml:space="preserve">Quote Calculator, C5 package + C6 support model, Build-and-Transfer pricing, workbook consistency</t>
  </si>
  <si>
    <t xml:space="preserve">Verdict</t>
  </si>
  <si>
    <t xml:space="preserve">Impact</t>
  </si>
  <si>
    <t xml:space="preserve">Recommended fix</t>
  </si>
  <si>
    <t xml:space="preserve">Priority</t>
  </si>
  <si>
    <t xml:space="preserve">Overall</t>
  </si>
  <si>
    <t xml:space="preserve">PARTLY OK</t>
  </si>
  <si>
    <t xml:space="preserve">Standard managed packages calculate logically for the current inputs.</t>
  </si>
  <si>
    <t xml:space="preserve">Usable for Basic/Pro/Managed quotes with care.</t>
  </si>
  <si>
    <t xml:space="preserve">Keep package selection and support model, but add stronger checks.</t>
  </si>
  <si>
    <t xml:space="preserve">C5 + C6 combination</t>
  </si>
  <si>
    <t xml:space="preserve">TECHNICALLY OK</t>
  </si>
  <si>
    <t xml:space="preserve">C5 drives base package via Package Reference; C6 drives support/setup multipliers via Complexity Reference.</t>
  </si>
  <si>
    <t xml:space="preserve">Combination works mathematically.</t>
  </si>
  <si>
    <t xml:space="preserve">Keep, but separate package/support/access model more clearly.</t>
  </si>
  <si>
    <t xml:space="preserve">FAIL</t>
  </si>
  <si>
    <t xml:space="preserve">Build-and-Transfer has base setup/monthly = 0 in Package Reference, so calculator can return 0 or too-low setup.</t>
  </si>
  <si>
    <t xml:space="preserve">Underpricing risk, especially if counts are not entered.</t>
  </si>
  <si>
    <t xml:space="preserve">Treat Build-and-Transfer as access/ownership model OR give it a non-zero base.</t>
  </si>
  <si>
    <t xml:space="preserve">Support multiplier logic</t>
  </si>
  <si>
    <t xml:space="preserve">WARN</t>
  </si>
  <si>
    <t xml:space="preserve">For Build-and-Transfer, Normal managed support uses setup multiplier 1.0, while No support uses 1.5, so 'normal support' can make setup cheaper than 'no support'.</t>
  </si>
  <si>
    <t xml:space="preserve">Commercially inconsistent.</t>
  </si>
  <si>
    <t xml:space="preserve">Move handover/setup multiplier to a separate access model field.</t>
  </si>
  <si>
    <t xml:space="preserve">Hard-coded adders</t>
  </si>
  <si>
    <t xml:space="preserve">Quote formulas C29:C32 use hard-coded adder amounts instead of reading Complexity Reference A:E.</t>
  </si>
  <si>
    <t xml:space="preserve">Changing reference prices will not update calculator.</t>
  </si>
  <si>
    <t xml:space="preserve">Use lookups / SUMPRODUCT against Complexity Reference.</t>
  </si>
  <si>
    <t xml:space="preserve">Dropdowns</t>
  </si>
  <si>
    <t xml:space="preserve">C5/C6 dropdowns are fixed text lists, not dynamic ranges from reference sheets.</t>
  </si>
  <si>
    <t xml:space="preserve">If reference names change, dropdowns can go stale.</t>
  </si>
  <si>
    <t xml:space="preserve">Use data validation references to Package Reference and Complexity Reference ranges.</t>
  </si>
  <si>
    <t xml:space="preserve">Example Build-and-Transfer quote is CHF 4'500–15'000 / 0–1'000 monthly, but calculator can output lower values.</t>
  </si>
  <si>
    <t xml:space="preserve">Inconsistent client guidance.</t>
  </si>
  <si>
    <t xml:space="preserve">Align reference, calculator and examples.</t>
  </si>
  <si>
    <t xml:space="preserve">ROI App</t>
  </si>
  <si>
    <t xml:space="preserve">NOTE</t>
  </si>
  <si>
    <t xml:space="preserve">ROI math is coherent, but setup/monthly costs are manual, not linked to Quote Calculator.</t>
  </si>
  <si>
    <t xml:space="preserve">Manual copy errors possible.</t>
  </si>
  <si>
    <t xml:space="preserve">Link ROI inputs to Quote Calculator cells or clearly mark as manual scenario input.</t>
  </si>
  <si>
    <t xml:space="preserve">Client summary is manual and not linked to calculator outputs.</t>
  </si>
  <si>
    <t xml:space="preserve">Manual quote-copy risk.</t>
  </si>
  <si>
    <t xml:space="preserve">Optional: formula-link key outputs.</t>
  </si>
  <si>
    <t xml:space="preserve">Pricing Logic tabs</t>
  </si>
  <si>
    <t xml:space="preserve">Direct Email Intake Branch pricing is documented but not connected to Quote Calculator.</t>
  </si>
  <si>
    <t xml:space="preserve">Email-intake scope can be missed or double-counted.</t>
  </si>
  <si>
    <t xml:space="preserve">Add an optional Direct Email Branch add-on or map it clearly to Extra Channel + Draft + Approval counts.</t>
  </si>
  <si>
    <t xml:space="preserve">Current Quote Calculator inputs</t>
  </si>
  <si>
    <t xml:space="preserve">Selected package (C5)</t>
  </si>
  <si>
    <t xml:space="preserve">Support model (C6)</t>
  </si>
  <si>
    <t xml:space="preserve">Extra channels count (C15)</t>
  </si>
  <si>
    <t xml:space="preserve">AI draft workflows count (C16)</t>
  </si>
  <si>
    <t xml:space="preserve">CRM integrations count (C17)</t>
  </si>
  <si>
    <t xml:space="preserve">Approval workflows count (C18)</t>
  </si>
  <si>
    <t xml:space="preserve">Reporting layer count (C19)</t>
  </si>
  <si>
    <t xml:space="preserve">Sensitive data multiplier (C20)</t>
  </si>
  <si>
    <t xml:space="preserve">Urgency multiplier (C21)</t>
  </si>
  <si>
    <t xml:space="preserve">Current calculated result</t>
  </si>
  <si>
    <t xml:space="preserve">Setup low</t>
  </si>
  <si>
    <t xml:space="preserve">Setup high</t>
  </si>
  <si>
    <t xml:space="preserve">Monthly low</t>
  </si>
  <si>
    <t xml:space="preserve">Monthly high</t>
  </si>
  <si>
    <t xml:space="preserve">Recommended</t>
  </si>
  <si>
    <t xml:space="preserve">Basic+ AI Triage + Normal managed support</t>
  </si>
  <si>
    <t xml:space="preserve">Setup 6800 / Monthly 1600</t>
  </si>
  <si>
    <t xml:space="preserve">Build-and-Transfer test with current counts</t>
  </si>
  <si>
    <t xml:space="preserve">Setup 6400 / Monthly 0</t>
  </si>
  <si>
    <t xml:space="preserve">Setup 6400 / Monthly 500</t>
  </si>
  <si>
    <t xml:space="preserve">Setup 4300 / Monthly 1100</t>
  </si>
  <si>
    <t xml:space="preserve">Setup 6400 / Monthly 1600</t>
  </si>
  <si>
    <t xml:space="preserve">Setup 8500 / Monthly 2100</t>
  </si>
  <si>
    <t xml:space="preserve">Setup 12800 / Monthly 3200</t>
  </si>
  <si>
    <t xml:space="preserve">Build-and-Transfer zero-count test</t>
  </si>
  <si>
    <t xml:space="preserve">Setup 0 / Monthly 0</t>
  </si>
  <si>
    <t xml:space="preserve">Practical recommendation</t>
  </si>
  <si>
    <t xml:space="preserve">Best structure</t>
  </si>
  <si>
    <t xml:space="preserve">Package = Basic/Basic+/Pro/Managed/Agentic. Access/ownership model = Managed service / Logic visibility / Limited admin / Client-owned / Build-and-transfer. Support model = No/Light/Normal/High/Premium/Critical.</t>
  </si>
  <si>
    <t xml:space="preserve">Minimum quick fix</t>
  </si>
  <si>
    <t xml:space="preserve">Set Build-and-Transfer base setup low/high to at least the Example Quotes range CHF 4'500–15'000, or remove it from C5 and handle it as an access multiplier.</t>
  </si>
  <si>
    <t xml:space="preserve">Commercial rule</t>
  </si>
  <si>
    <t xml:space="preserve">Build-and-Transfer should normally never be cheaper than the same automation as a managed build; it transfers more asset value and needs documentation/testing/handover.</t>
  </si>
  <si>
    <t xml:space="preserve">Access model is separate from the product. All three tiers below apply to any product. Where each is priced:</t>
  </si>
  <si>
    <t xml:space="preserve">• Managed (default):</t>
  </si>
  <si>
    <t xml:space="preserve">Package Reference — setup + monthly.</t>
  </si>
  <si>
    <t xml:space="preserve">• Licence:</t>
  </si>
  <si>
    <t xml:space="preserve">Access &amp; Licence Pricing — setup ×1.3 + annual licence (we keep the IP).</t>
  </si>
  <si>
    <t xml:space="preserve">• Full transfer:</t>
  </si>
  <si>
    <t xml:space="preserve">INTERNAL INFORMATION ONLY — the support-level table below.</t>
  </si>
  <si>
    <t xml:space="preserve">Full transfer — support-level detail (internal only):</t>
  </si>
  <si>
    <t xml:space="preserve">Build-and-Transfer Matrix</t>
  </si>
  <si>
    <t xml:space="preserve">Shows current formula outputs for Build-and-Transfer using the current Quote Calculator counts and using zero counts.</t>
  </si>
  <si>
    <t xml:space="preserve">Current counts: setup range</t>
  </si>
  <si>
    <t xml:space="preserve">Current counts: monthly range</t>
  </si>
  <si>
    <t xml:space="preserve">Current recommended</t>
  </si>
  <si>
    <t xml:space="preserve">Zero counts: setup range</t>
  </si>
  <si>
    <t xml:space="preserve">Zero counts: monthly range</t>
  </si>
  <si>
    <t xml:space="preserve">CHF 3'000 - 9'750</t>
  </si>
  <si>
    <t xml:space="preserve">CHF 0 - 0</t>
  </si>
  <si>
    <t xml:space="preserve">CHF 6'400 / CHF 0</t>
  </si>
  <si>
    <t xml:space="preserve">CHF 250 - 800</t>
  </si>
  <si>
    <t xml:space="preserve">CHF 6'400 / CHF 500</t>
  </si>
  <si>
    <t xml:space="preserve">CHF 2'000 - 6'500</t>
  </si>
  <si>
    <t xml:space="preserve">CHF 500 - 1'600</t>
  </si>
  <si>
    <t xml:space="preserve">CHF 4'300 / CHF 1'100</t>
  </si>
  <si>
    <t xml:space="preserve">CHF 750 - 2'400</t>
  </si>
  <si>
    <t xml:space="preserve">CHF 6'400 / CHF 1'600</t>
  </si>
  <si>
    <t xml:space="preserve">CHF 4'000 - 13'000</t>
  </si>
  <si>
    <t xml:space="preserve">CHF 1'000 - 3'200</t>
  </si>
  <si>
    <t xml:space="preserve">CHF 8'500 / CHF 2'100</t>
  </si>
  <si>
    <t xml:space="preserve">CHF 6'000 - 19'500</t>
  </si>
  <si>
    <t xml:space="preserve">CHF 1'500 - 4'800</t>
  </si>
  <si>
    <t xml:space="preserve">CHF 12'800 / CHF 3'200</t>
  </si>
  <si>
    <t xml:space="preserve">Conclusion</t>
  </si>
  <si>
    <t xml:space="preserve">Zero-count Build-and-Transfer returns CHF 0 setup/monthly across all support models because the package base is 0.</t>
  </si>
  <si>
    <t xml:space="preserve">With current counts, Normal managed support gives lower setup than No support because setup multipliers are attached to support model, not to access/ownership model.</t>
  </si>
  <si>
    <t xml:space="preserve">Document Automation — Pricing Logic (counts methodology)</t>
  </si>
  <si>
    <t xml:space="preserve">Q</t>
  </si>
  <si>
    <t xml:space="preserve">great, but that all has to be calculated before giving Client price</t>
  </si>
  <si>
    <t xml:space="preserve">A</t>
  </si>
  <si>
    <t xml:space="preserve">Yes, exactly. These “count” fields must be estimated before giving the final client price.</t>
  </si>
  <si>
    <t xml:space="preserve">But not too early.</t>
  </si>
  <si>
    <t xml:space="preserve">Correct order</t>
  </si>
  <si>
    <t xml:space="preserve">1. After Phase 1 — Discovery</t>
  </si>
  <si>
    <t xml:space="preserve">You can give only a rough price direction:</t>
  </si>
  <si>
    <t xml:space="preserve">Based on current understanding, this looks like a Basic+ / Pro project, likely in the range of CHF X–Y setup and CHF X–Y/month.</t>
  </si>
  <si>
    <t xml:space="preserve">At this point, counts are still approximate.</t>
  </si>
  <si>
    <t xml:space="preserve">2. After Phase 2 — Scope / MVP Design</t>
  </si>
  <si>
    <t xml:space="preserve">Now you can calculate more seriously.</t>
  </si>
  <si>
    <t xml:space="preserve">Because Phase 2 defines:</t>
  </si>
  <si>
    <t xml:space="preserve">included channels</t>
  </si>
  <si>
    <t xml:space="preserve">excluded channels</t>
  </si>
  <si>
    <t xml:space="preserve">AI draft workflows</t>
  </si>
  <si>
    <t xml:space="preserve">CRM/database needs</t>
  </si>
  <si>
    <t xml:space="preserve">approval workflows</t>
  </si>
  <si>
    <t xml:space="preserve">reporting</t>
  </si>
  <si>
    <t xml:space="preserve">access model</t>
  </si>
  <si>
    <t xml:space="preserve">support model</t>
  </si>
  <si>
    <t xml:space="preserve">This is where you fill the Quote Calculator.</t>
  </si>
  <si>
    <t xml:space="preserve">3. After Phase 3 — Solution Blueprint</t>
  </si>
  <si>
    <t xml:space="preserve">Now you can give the confirmed offer.</t>
  </si>
  <si>
    <t xml:space="preserve">Because by then you know:</t>
  </si>
  <si>
    <t xml:space="preserve">exact workflow</t>
  </si>
  <si>
    <t xml:space="preserve">exact tools</t>
  </si>
  <si>
    <t xml:space="preserve">routing logic</t>
  </si>
  <si>
    <t xml:space="preserve">risk level</t>
  </si>
  <si>
    <t xml:space="preserve">error handling</t>
  </si>
  <si>
    <t xml:space="preserve">access/security needs</t>
  </si>
  <si>
    <t xml:space="preserve">build effort</t>
  </si>
  <si>
    <t xml:space="preserve">Practical rule</t>
  </si>
  <si>
    <t xml:space="preserve">Use the calculator like this:</t>
  </si>
  <si>
    <t xml:space="preserve">Project moment</t>
  </si>
  <si>
    <t xml:space="preserve">Price type</t>
  </si>
  <si>
    <t xml:space="preserve">Before discovery</t>
  </si>
  <si>
    <t xml:space="preserve">no real price, only starting-from package</t>
  </si>
  <si>
    <t xml:space="preserve">After Phase 1</t>
  </si>
  <si>
    <t xml:space="preserve">rough estimate</t>
  </si>
  <si>
    <t xml:space="preserve">After Phase 2</t>
  </si>
  <si>
    <t xml:space="preserve">proposed quote</t>
  </si>
  <si>
    <t xml:space="preserve">After Phase 3</t>
  </si>
  <si>
    <t xml:space="preserve">confirmed final offer</t>
  </si>
  <si>
    <t xml:space="preserve">After changes</t>
  </si>
  <si>
    <t xml:space="preserve">change request / extra cost</t>
  </si>
  <si>
    <t xml:space="preserve">For client communication</t>
  </si>
  <si>
    <t xml:space="preserve">I would say:</t>
  </si>
  <si>
    <t xml:space="preserve">After the discovery call, I can give you an indicative range. The final fixed price is confirmed after we define the MVP scope and automation boundaries.</t>
  </si>
  <si>
    <t xml:space="preserve">This protects you from underpricing.</t>
  </si>
  <si>
    <t xml:space="preserve">Internally</t>
  </si>
  <si>
    <t xml:space="preserve">The calculator is mainly used after Phase 2.</t>
  </si>
  <si>
    <t xml:space="preserve">Phase 1 gives you raw answers.</t>
  </si>
  <si>
    <t xml:space="preserve">Phase 2 converts them into counts.</t>
  </si>
  <si>
    <t xml:space="preserve">Then the Quote Calculator gives the price.</t>
  </si>
  <si>
    <t xml:space="preserve">So yes: before giving the client a serious price, you must first define the counts and package/access model.</t>
  </si>
  <si>
    <t xml:space="preserve">Direct Email Intake Branch — Pricing Logic / Change Request</t>
  </si>
  <si>
    <t xml:space="preserve">Price logic</t>
  </si>
  <si>
    <t xml:space="preserve">Setup add (CHF)</t>
  </si>
  <si>
    <t xml:space="preserve">Setup add</t>
  </si>
  <si>
    <t xml:space="preserve">Monthly add</t>
  </si>
  <si>
    <t xml:space="preserve">When to use</t>
  </si>
  <si>
    <t xml:space="preserve">Simple direct-email branch</t>
  </si>
  <si>
    <t xml:space="preserve">Add one direct inbox trigger and send messages into the existing classifier after basic normalization.</t>
  </si>
  <si>
    <t xml:space="preserve">Client has one inbox and wants same classification logic as website form.</t>
  </si>
  <si>
    <t xml:space="preserve">Direct email + filters/logging</t>
  </si>
  <si>
    <t xml:space="preserve">Add inbox trigger, normalization, sender/message metadata, duplicate prevention, routing labels/folders, error path and logging.</t>
  </si>
  <si>
    <t xml:space="preserve">Most realistic business version; recommended default for client quote.</t>
  </si>
  <si>
    <t xml:space="preserve">Direct email + draft / approval logic</t>
  </si>
  <si>
    <t xml:space="preserve">Add email-specific draft replies, approval handling, status tracking and safer exception handling.</t>
  </si>
  <si>
    <t xml:space="preserve">Client expects AI-assisted replies or approval workflow, not only classification.</t>
  </si>
  <si>
    <t xml:space="preserve">Pricing rule</t>
  </si>
  <si>
    <t xml:space="preserve">If defined before project start, include it in the package scope and count it as an additional intake channel/source. If requested later, price it as a change request.</t>
  </si>
  <si>
    <t xml:space="preserve">usually+</t>
  </si>
  <si>
    <t xml:space="preserve">Usually +CHF /month</t>
  </si>
  <si>
    <t xml:space="preserve">Use this rule when scope expands from webhook-only to inbox + webhook.</t>
  </si>
  <si>
    <t xml:space="preserve">Commercial note</t>
  </si>
  <si>
    <t xml:space="preserve">This is not only “add Gmail trigger”. It adds a second source, normalization, deduplication, routing reliability, testing and support responsibility.</t>
  </si>
  <si>
    <t xml:space="preserve">This explains why the add-on has both setup and monthly impact.</t>
  </si>
  <si>
    <t xml:space="preserve">how this modification enable us to define properly for price calculation each wished or considered, or offered automation?</t>
  </si>
  <si>
    <t xml:space="preserve">Good question — this is the core workflow gap. The calculator fields give you the inputs, but you still need a clear rule for how to read any automation and translate it into those fields. Here's the complete mapping logic:</t>
  </si>
  <si>
    <t xml:space="preserve">Step 1 — Pick the package (C5) by overall complexity</t>
  </si>
  <si>
    <t xml:space="preserve">Automation complexity</t>
  </si>
  <si>
    <t xml:space="preserve">Single channel, classify/route only, no AI</t>
  </si>
  <si>
    <t xml:space="preserve">Single channel, classify + 1 AI draft type</t>
  </si>
  <si>
    <t xml:space="preserve">Multiple channels or sources, classify + AI</t>
  </si>
  <si>
    <t xml:space="preserve">Full ops: multi-channel, AI, CRM, monitoring</t>
  </si>
  <si>
    <t xml:space="preserve">Autonomous agents, self-healing flows</t>
  </si>
  <si>
    <t xml:space="preserve">Step 2 — Fill the count fields by scanning the Make.com scenario</t>
  </si>
  <si>
    <t xml:space="preserve">Go through the scenario module by module and ask one question per field:</t>
  </si>
  <si>
    <t xml:space="preserve">Extra channels (C16): how many separate inbound sources exist beyond the one included in the package? Count each distinct webhook endpoint or app trigger.</t>
  </si>
  <si>
    <t xml:space="preserve">AI draft workflows (C17): how many distinct HTTP→OpenAI/Claude calls exist? Count per draft type, not per email processed.</t>
  </si>
  <si>
    <t xml:space="preserve">CRM integrations (C18): how many different external database systems are written to or read from? Count per system, not per module.</t>
  </si>
  <si>
    <t xml:space="preserve">Approval workflows (C19): how many places does the scenario pause and wait for a human before acting?</t>
  </si>
  <si>
    <t xml:space="preserve">Reporting layer (C20): is there a structured output to a dashboard or analytics view?</t>
  </si>
  <si>
    <t xml:space="preserve">Step 3 — Set the multipliers (C21–C22) by project context</t>
  </si>
  <si>
    <t xml:space="preserve">These aren't about the automation itself — they're about the client and delivery situation. Sensitive data and urgency are commercial decisions, not technical ones.</t>
  </si>
  <si>
    <t xml:space="preserve">Step 4 — Choose access and support models (C6, C7) by the commercial arrangement</t>
  </si>
  <si>
    <t xml:space="preserve">C6 answers who owns the automation after delivery</t>
  </si>
  <si>
    <t xml:space="preserve">C7 answers what ongoing support level is agreed</t>
  </si>
  <si>
    <t xml:space="preserve">Step 5 — Add operational costs to C26</t>
  </si>
  <si>
    <t xml:space="preserve">After filling all count fields, estimate and add Make.com operations + API token budget as a monthly pass-through in C26.</t>
  </si>
  <si>
    <t xml:space="preserve">Applied to your three options, the inputs would be:</t>
  </si>
  <si>
    <t xml:space="preserve">Option A (classify only)</t>
  </si>
  <si>
    <t xml:space="preserve">Option B (classify + AI draft)</t>
  </si>
  <si>
    <t xml:space="preserve">Option C (email service + classify)</t>
  </si>
  <si>
    <t xml:space="preserve">MG Red Shift</t>
  </si>
  <si>
    <t xml:space="preserve">C5 Package</t>
  </si>
  <si>
    <t xml:space="preserve">Corrected (v28): was 'Basic Intake', contradicting this sheet's own B495/B579 ('Basic+ AI Triage / AI Intake Triage Basic+') and the MGRS - EMAIL Logic and Example Quotes sheets, which all agree. Fixed to match the weight of evidence.</t>
  </si>
  <si>
    <t xml:space="preserve">C16 Extra channels</t>
  </si>
  <si>
    <t xml:space="preserve">C17 AI draft</t>
  </si>
  <si>
    <t xml:space="preserve">C18 CRM</t>
  </si>
  <si>
    <t xml:space="preserve">C19 Approval</t>
  </si>
  <si>
    <t xml:space="preserve">C20 Reporting</t>
  </si>
  <si>
    <t xml:space="preserve">C26 ops/month</t>
  </si>
  <si>
    <t xml:space="preserve">CHF 15–20</t>
  </si>
  <si>
    <t xml:space="preserve">CHF 25–45</t>
  </si>
  <si>
    <t xml:space="preserve">CHF 20–30</t>
  </si>
  <si>
    <t xml:space="preserve">The calculator can then price each of these as a distinct configuration just by changing those six inputs — which is exactly what the modified D and F columns now guide you through, step by step, for any new automation you design or propose.</t>
  </si>
  <si>
    <t xml:space="preserve">quickly back to price calculations: how would you explain pricing? There will be some customers who think price is too expansive. What would you say then?</t>
  </si>
  <si>
    <t xml:space="preserve">Good question — and an honest one, because some prospects genuinely can't afford it, and some just haven't yet understood what they're paying for. Those are two very different situations and need different responses.</t>
  </si>
  <si>
    <t xml:space="preserve">First: understand which objection it actually is</t>
  </si>
  <si>
    <t xml:space="preserve">"Too expensive" usually means one of four things:</t>
  </si>
  <si>
    <t xml:space="preserve">"I don't see why it costs that much" — a value communication problem</t>
  </si>
  <si>
    <t xml:space="preserve">"I can't afford it right now" — a cash flow or budget problem</t>
  </si>
  <si>
    <t xml:space="preserve">"I can get something similar cheaper" — a comparison problem</t>
  </si>
  <si>
    <t xml:space="preserve">"I don't trust it will work" — a risk problem</t>
  </si>
  <si>
    <t xml:space="preserve">Don't respond to all four the same way.</t>
  </si>
  <si>
    <t xml:space="preserve">For "I don't see the value"</t>
  </si>
  <si>
    <t xml:space="preserve">This is the most common and the most fixable. The answer is a ROI calculation, done in front of them.</t>
  </si>
  <si>
    <t xml:space="preserve">"Let's work out the numbers together. How many hours per week does your team currently spend on the tasks we'd automate? What does an hour of that person's time cost you fully loaded — salary, social contributions, overhead?"</t>
  </si>
  <si>
    <t xml:space="preserve">A Swiss SME employee with a CHF 70,000 salary costs around CHF 90–100/hour fully loaded. If you're saving 10 hours per week, that's CHF 900–1,000/week, or CHF 4,000/month. The managed service fee suddenly looks very different.</t>
  </si>
  <si>
    <t xml:space="preserve">The conversation shifts from "what does this cost?" to "what does NOT doing this cost you every month?"</t>
  </si>
  <si>
    <t xml:space="preserve">For "I can't afford it right now"</t>
  </si>
  <si>
    <t xml:space="preserve">Be honest about whether this is the right moment for them. But also explore:</t>
  </si>
  <si>
    <t xml:space="preserve">Start smaller. The Basic package exists for a reason. A simpler scope, lower setup, lower monthly. Prove value, then expand.</t>
  </si>
  <si>
    <t xml:space="preserve">The setup fee vs monthly split. Some clients struggle with upfront costs but can handle ongoing. There may be flexibility in phasing the setup payment.</t>
  </si>
  <si>
    <t xml:space="preserve">The timing question. If they can't afford the automation but also can't afford to keep doing it manually, that's actually the strongest case — not the weakest.</t>
  </si>
  <si>
    <t xml:space="preserve">For "I can get it cheaper elsewhere"</t>
  </si>
  <si>
    <t xml:space="preserve">Ask what exactly they're comparing to. Usually it's one of three things:</t>
  </si>
  <si>
    <t xml:space="preserve">A freelancer on Upwork/Fiverr. They'll build something once, it'll break when Make.com updates an API, there's no monitoring, no error handling, and no one picks up the phone. That's not a managed service, that's a prototype.</t>
  </si>
  <si>
    <t xml:space="preserve">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</si>
  <si>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 xml:space="preserve">Another agency. Fair comparison. Then the question is: what's the scope, what's included in the monthly, and what happens when something breaks?</t>
  </si>
  <si>
    <t xml:space="preserve">For "I don't trust it will work"</t>
  </si>
  <si>
    <t xml:space="preserve">This is actually the easiest one, because VortexDeep's phase-gated model is the answer:</t>
  </si>
  <si>
    <t xml:space="preserve">"You don't pay for a finished product. You approve every phase before we move to the next. After Phase 2 — Scope and MVP Design — you'll have a locked spec and a firm price. If that spec doesn't justify the investment, we stop there. You've paid for clarity, not a leap of faith."</t>
  </si>
  <si>
    <t xml:space="preserve">What you should never do</t>
  </si>
  <si>
    <t xml:space="preserve">Don't immediately offer a discount. It signals that the price wasn't real in the first place, and it attracts clients who will keep pushing. If you discount early, you'll discount forever.</t>
  </si>
  <si>
    <t xml:space="preserve">Don't get defensive. "Our pricing is competitive for the market" sounds like a non-answer. Be concrete.</t>
  </si>
  <si>
    <t xml:space="preserve">Don't try to convince someone who genuinely can't afford it. The right client is one where the ROI is obvious and the budget exists. Chasing the wrong clients costs you time that should go to finding the right ones.</t>
  </si>
  <si>
    <t xml:space="preserve">One line you can use</t>
  </si>
  <si>
    <t xml:space="preserve">If you need a single sentence for the first pushback:</t>
  </si>
  <si>
    <t xml:space="preserve">"Walk me through what you're currently spending — in time or in errors — on the process we'd replace. In my experience, clients who say this is expensive haven't yet run that number."</t>
  </si>
  <si>
    <t xml:space="preserve">Then be quiet and let them think. Most will do the maths themselves.</t>
  </si>
  <si>
    <t xml:space="preserve">that is why we have within Helper_Pricing a tab: ROI App which can help estimate quickly spending and errors. many thanks for your feedback</t>
  </si>
  <si>
    <t xml:space="preserve">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</si>
  <si>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 xml:space="preserve">Two small practical suggestions for how to use it:</t>
  </si>
  <si>
    <t xml:space="preserve">Use it in the discovery meeting, not after. Don't send it as a follow-up PDF. Walk through it live — screen share or sit next to them. The conversation that happens while filling it in is often more valuable than the output.</t>
  </si>
  <si>
    <t xml:space="preserve">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</si>
  <si>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 xml:space="preserve">If you ever want to strengthen the ROI tab further — for example adding a "months to break even" line, or a side-by-side of manual cost vs automation cost over 1 and 2 years — that would be a quick addition worth considering.</t>
  </si>
  <si>
    <t xml:space="preserve">Good luck building the client base. The framework is solid, the pricing logic is sound, and the meeting prep is ready. Now it's just about getting in the room with the right people.</t>
  </si>
  <si>
    <t xml:space="preserve">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</si>
  <si>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 xml:space="preserve">Yes — I have the refactored file in outputs. Let me read the ROI App tab fully first before touching anything.Now I have the full picture. Let me diagnose both issues precisely before touching anything.Clear diagnosis:</t>
  </si>
  <si>
    <t xml:space="preserve">Payback — correct (C29 already nets out monthly costs)</t>
  </si>
  <si>
    <t xml:space="preserve">First-Year ROI — wrong denominator. Uses only setup (CHF 3,500) instead of total year-1 spend (CHF 22,700). Inflates the real client ROI from an honest 104% to a misleading 675%</t>
  </si>
  <si>
    <t xml:space="preserve">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</si>
  <si>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 xml:space="preserve">Root cause confirmed: The payback period formula was always correct — dividing setup cost by net monthly benefit is right because the monthly managed cost is already deducted in that net figure. The bug was exclusively in First-Year ROI.</t>
  </si>
  <si>
    <t xml:space="preserve">What was wrong: The First-Year ROI denominator only included the setup fee (CHF 3,500), ignoring the 12 months of managed service payments (12 × CHF 1,600 = CHF 19,200). This inflated the ROI from an honest 104% to a misleading 675% for a typical small project.</t>
  </si>
  <si>
    <t xml:space="preserve">Three changes made:</t>
  </si>
  <si>
    <t xml:space="preserve">New row — "Total Year 1 Investment": Shows the full amount the client actually spends in year one (setup + 12× monthly). For the realistic example: CHF 3,500 + CHF 19,200 = CHF 22,700. This makes the ROI calculation transparent — the client can see exactly what goes into the denominator.</t>
  </si>
  <si>
    <t xml:space="preserve">Fixed row — "First-Year Net ROI": Now divides by Total Year 1 Investment instead of just setup. Result goes from 675% → 104% for the realistic example. Still a strong number, but honest — and far more credible in a client conversation than 675%.</t>
  </si>
  <si>
    <t xml:space="preserve">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</si>
  <si>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 xml:space="preserve">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</si>
  <si>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 xml:space="preserve">Good observation — the ROI App, if shown openly, becomes a negotiating surface. That's a risk, but also an opportunity if you know how to use it.</t>
  </si>
  <si>
    <t xml:space="preserve">The new objection you're identifying</t>
  </si>
  <si>
    <t xml:space="preserve">"My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</si>
  <si>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 xml:space="preserve">So the real objection underneath is often: "Why am I paying forever for something that should eventually be done?"</t>
  </si>
  <si>
    <t xml:space="preserve">That needs a direct answer.</t>
  </si>
  <si>
    <t xml:space="preserve">What to say</t>
  </si>
  <si>
    <t xml:space="preserve">On the recurring model:</t>
  </si>
  <si>
    <t xml:space="preserve">"The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</si>
  <si>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 xml:space="preserve">Then the comparison: a part-time person in Switzerland doing 10 hours/week at CHF 60/hour costs CHF 2,400/month — without sick days, notice periods, or mistakes. You're cheaper than a human doing the same job worse.</t>
  </si>
  <si>
    <t xml:space="preserve">On the ROI App as the antidote to all five objections:</t>
  </si>
  <si>
    <t xml:space="preserve">The ROI App is actually most powerful when you hand it to the client and let them fill it in themselves. Use it diagnostically:</t>
  </si>
  <si>
    <t xml:space="preserve">Their numbers show...</t>
  </si>
  <si>
    <t xml:space="preserve">Real objection</t>
  </si>
  <si>
    <t xml:space="preserve">Right response</t>
  </si>
  <si>
    <t xml:space="preserve">ROI clearly positive, but they still object</t>
  </si>
  <si>
    <t xml:space="preserve">Trust / risk</t>
  </si>
  <si>
    <t xml:space="preserve">Phase-gated model. They don't pay for results until they see them.</t>
  </si>
  <si>
    <t xml:space="preserve">ROI marginal</t>
  </si>
  <si>
    <t xml:space="preserve">Wrong scope</t>
  </si>
  <si>
    <t xml:space="preserve">Reduce scope, not price. Find the one thing worth automating.</t>
  </si>
  <si>
    <t xml:space="preserve">ROI negative</t>
  </si>
  <si>
    <t xml:space="preserve">Genuinely wrong fit</t>
  </si>
  <si>
    <t xml:space="preserve">Tell them. Builds more trust than a sale.</t>
  </si>
  <si>
    <t xml:space="preserve">ROI strong but monthly feels high</t>
  </si>
  <si>
    <t xml:space="preserve">Commitment aversion</t>
  </si>
  <si>
    <t xml:space="preserve">Show the value ceiling calculation (below).</t>
  </si>
  <si>
    <t xml:space="preserve">ROI strong but can't pay upfront</t>
  </si>
  <si>
    <t xml:space="preserve">Cash flow</t>
  </si>
  <si>
    <t xml:space="preserve">Annual prepay at a discount, or defer setup fee.</t>
  </si>
  <si>
    <t xml:space="preserve">The value ceiling — the most powerful number you're not showing yet</t>
  </si>
  <si>
    <t xml:space="preserve">Right now the ROI App shows what the client gets. It doesn't show what they could pay and still be ahead. That's the missing row.</t>
  </si>
  <si>
    <t xml:space="preserve">Value Ceiling = maximum monthly fee where Year 1 still breaks even:</t>
  </si>
  <si>
    <t xml:space="preserve">= (Monthly Gross Benefit × 12 − Setup Fee) ÷ 12</t>
  </si>
  <si>
    <t xml:space="preserve">For the realistic G example: = (3,860 × 12 − 3,500) ÷ 12 = CHF 3,568/month</t>
  </si>
  <si>
    <t xml:space="preserve">You're charging CHF 1,600. Their value ceiling is CHF 3,568. You're leaving CHF 1,968/month of value with them. Say that explicitly.</t>
  </si>
  <si>
    <t xml:space="preserve">When a client says "CHF 1,600 seems high," you can respond:</t>
  </si>
  <si>
    <t xml:space="preserve">"Based on your own numbers, the most you could pay and still break even in year one is CHF 3,568. We're charging CHF 1,600. You're keeping more than half the value."</t>
  </si>
  <si>
    <t xml:space="preserve">That reframes the entire conversation.</t>
  </si>
  <si>
    <t xml:space="preserve">What I'd add to the ROI App</t>
  </si>
  <si>
    <t xml:space="preserve">Three new rows would make it a proper negotiation tool:</t>
  </si>
  <si>
    <t xml:space="preserve">Value Ceiling (monthly) — = (C27*12 - C19) / 12 — maximum monthly fee to break even in Y1</t>
  </si>
  <si>
    <t xml:space="preserve">Your headroom — = C_ValueCeiling - C20 — how much under the ceiling you are</t>
  </si>
  <si>
    <t xml:space="preserve">Internal staffing alternative — a yellow input cell: "What would it cost to hire someone part-time to do this manually? (CHF/month)" — then a comparison row</t>
  </si>
  <si>
    <t xml:space="preserve">The third one is especially good in a live conversation. You ask the client to enter their own estimate of what a person doing this job would cost. They do the maths. You don't.</t>
  </si>
  <si>
    <t xml:space="preserve">Want me to add those three rows to the ROI App now?</t>
  </si>
  <si>
    <t xml:space="preserve">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</si>
  <si>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 xml:space="preserve">That's a brilliant analogy — let me address it properly, then implement the rows.</t>
  </si>
  <si>
    <t xml:space="preserve">The Krankenkasse argument — use it</t>
  </si>
  <si>
    <t xml:space="preserve">The parallel is exact and you should use it explicitly. Here's the framing:</t>
  </si>
  <si>
    <t xml:space="preserve">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</si>
  <si>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 xml:space="preserve">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</si>
  <si>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 xml:space="preserve">What makes it even stronger: Krankenkasse has no ROI calculation. You genuinely might never need it. With VortexDeep, the ROI App shows the client they're already ahead even if they use the service every single month and nothing ever breaks.</t>
  </si>
  <si>
    <t xml:space="preserve">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</si>
  <si>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 xml:space="preserve">One line you can use in a meeting:</t>
  </si>
  <si>
    <t xml:space="preserve">"Think about it like Krankenkasse. You pay every month, and the best months are the ones where you never needed to call us. That's not money wasted — that's the system working."</t>
  </si>
  <si>
    <t xml:space="preserve">Now adding the three rows:Emoji encoded as surrogates — quick fix:G36 Value Ceiling = CHF 3,568 and G37 Headroom = CHF 1,968 — exactly matching the expected numbers. Zero errors, 84 formulas.Done. The ROI App now has a full Section 3 — Negotiation View with five new rows:</t>
  </si>
  <si>
    <t xml:space="preserve">Value Ceiling (monthly) — the maximum fee you could charge and the client still breaks even in year one. For the realistic small project example it calculates CHF 3,568/month. You're charging CHF 1,600. That gap is the argument.</t>
  </si>
  <si>
    <t xml:space="preserve">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</si>
  <si>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 xml:space="preserve">Staffing alternative (yellow input) — the client enters what they think it would cost to have a person do this manually. Pre-filled with zero and a prompt. The rule-of-thumb note is in the D column: CHF 70k salary ≈ CHF 8,300/month fully loaded, one day a week already costs CHF 2,000+.</t>
  </si>
  <si>
    <t xml:space="preserve">Automation saving vs. staffing — once they enter a number, this row shows the monthly saving. Negative means staffing is actually cheaper — in which case you have the wrong scope, not the wrong price.</t>
  </si>
  <si>
    <t xml:space="preserve">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</si>
  <si>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That last line is the twist that makes the analogy work even better than the original. Krankenkasse offers no ROI calculation — you just pay and hope. VortexDeep gives you the number up front. It's a stronger position, not a weaker one.</t>
  </si>
  <si>
    <t xml:space="preserve">what means TRIAGE in for rxample: data triage, ai automation?</t>
  </si>
  <si>
    <t xml:space="preserve">In AI automation, triage means rapidly assessing, classifying, prioritizing, and routing incoming information so that the right action happens next.</t>
  </si>
  <si>
    <t xml:space="preserve">The term comes from medicine, where patients are prioritized based on urgency. In automation, the same principle applies to emails, documents, tickets, leads, invoices, support requests, and similar inputs.</t>
  </si>
  <si>
    <t xml:space="preserve">Data triage</t>
  </si>
  <si>
    <t xml:space="preserve">Data triage is the process of:</t>
  </si>
  <si>
    <t xml:space="preserve">identifying what the data is</t>
  </si>
  <si>
    <t xml:space="preserve">extracting important information</t>
  </si>
  <si>
    <t xml:space="preserve">determining its priority</t>
  </si>
  <si>
    <t xml:space="preserve">deciding where it should go</t>
  </si>
  <si>
    <t xml:space="preserve">deciding what should happen next</t>
  </si>
  <si>
    <t xml:space="preserve">Example:</t>
  </si>
  <si>
    <t xml:space="preserve">Incoming document</t>
  </si>
  <si>
    <t xml:space="preserve">↓</t>
  </si>
  <si>
    <t xml:space="preserve">AI identifies it as an invoice</t>
  </si>
  <si>
    <t xml:space="preserve">Extracts supplier, amount, due date</t>
  </si>
  <si>
    <t xml:space="preserve">Priority = High (due in 3 days)</t>
  </si>
  <si>
    <t xml:space="preserve">Routes to Finance</t>
  </si>
  <si>
    <t xml:space="preserve">Creates approval task</t>
  </si>
  <si>
    <t xml:space="preserve">Email triage</t>
  </si>
  <si>
    <t xml:space="preserve">This is exactly what you've been building for MG Red Shift.</t>
  </si>
  <si>
    <t xml:space="preserve">New email</t>
  </si>
  <si>
    <t xml:space="preserve">AI classifies:</t>
  </si>
  <si>
    <t xml:space="preserve">Lead</t>
  </si>
  <si>
    <t xml:space="preserve">Existing Customer</t>
  </si>
  <si>
    <t xml:space="preserve">Technical Question</t>
  </si>
  <si>
    <t xml:space="preserve">Seeker (outside CH/LI)</t>
  </si>
  <si>
    <t xml:space="preserve">Spam</t>
  </si>
  <si>
    <t xml:space="preserve">Depending on category:</t>
  </si>
  <si>
    <t xml:space="preserve">create CRM record</t>
  </si>
  <si>
    <t xml:space="preserve">draft reply</t>
  </si>
  <si>
    <t xml:space="preserve">notify sales</t>
  </si>
  <si>
    <t xml:space="preserve">archive</t>
  </si>
  <si>
    <t xml:space="preserve">ignore</t>
  </si>
  <si>
    <t xml:space="preserve">This is AI-powered email triage.</t>
  </si>
  <si>
    <t xml:space="preserve">AI triage</t>
  </si>
  <si>
    <t xml:space="preserve">AI triage means using an AI model to make the initial decision instead of a person.</t>
  </si>
  <si>
    <t xml:space="preserve">Example prompt:</t>
  </si>
  <si>
    <t xml:space="preserve">"Read this email and classify it into one of these categories. Return urgency, sentiment, language, recommended department, and next action."</t>
  </si>
  <si>
    <t xml:space="preserve">Output:</t>
  </si>
  <si>
    <t xml:space="preserve">{</t>
  </si>
  <si>
    <t xml:space="preserve">  "category": "Lead",</t>
  </si>
  <si>
    <t xml:space="preserve">  "urgency": "Medium",</t>
  </si>
  <si>
    <t xml:space="preserve">  "language": "German",</t>
  </si>
  <si>
    <t xml:space="preserve">  "sentiment": "Positive",</t>
  </si>
  <si>
    <t xml:space="preserve">  "next_action": "Draft quotation"</t>
  </si>
  <si>
    <t xml:space="preserve">}</t>
  </si>
  <si>
    <t xml:space="preserve">Then your automation continues from there.</t>
  </si>
  <si>
    <t xml:space="preserve">Support ticket triage</t>
  </si>
  <si>
    <t xml:space="preserve">Customer writes:</t>
  </si>
  <si>
    <t xml:space="preserve">"Our production line stopped."</t>
  </si>
  <si>
    <t xml:space="preserve">AI determines:</t>
  </si>
  <si>
    <t xml:space="preserve">Category: Technical Support</t>
  </si>
  <si>
    <t xml:space="preserve">Severity: Critical</t>
  </si>
  <si>
    <t xml:space="preserve">Customer: Enterprise</t>
  </si>
  <si>
    <t xml:space="preserve">Response SLA: 30 minutes</t>
  </si>
  <si>
    <t xml:space="preserve">Notify engineer immediately</t>
  </si>
  <si>
    <t xml:space="preserve">No human has to perform the initial sorting.</t>
  </si>
  <si>
    <t xml:space="preserve">Lead triage</t>
  </si>
  <si>
    <t xml:space="preserve">Website form arrives.</t>
  </si>
  <si>
    <t xml:space="preserve">AI evaluates:</t>
  </si>
  <si>
    <t xml:space="preserve">Budget</t>
  </si>
  <si>
    <t xml:space="preserve">Country</t>
  </si>
  <si>
    <t xml:space="preserve">Company size</t>
  </si>
  <si>
    <t xml:space="preserve">Industry</t>
  </si>
  <si>
    <t xml:space="preserve">Buying intent</t>
  </si>
  <si>
    <t xml:space="preserve">Result:</t>
  </si>
  <si>
    <t xml:space="preserve">Hot Lead</t>
  </si>
  <si>
    <t xml:space="preserve">Warm Lead</t>
  </si>
  <si>
    <t xml:space="preserve">Cold Lead</t>
  </si>
  <si>
    <t xml:space="preserve">Not Qualified</t>
  </si>
  <si>
    <t xml:space="preserve">Sales only receives the qualified leads.</t>
  </si>
  <si>
    <t xml:space="preserve">Document triage</t>
  </si>
  <si>
    <t xml:space="preserve">A folder receives PDFs.</t>
  </si>
  <si>
    <t xml:space="preserve">AI identifies:</t>
  </si>
  <si>
    <t xml:space="preserve">Contract</t>
  </si>
  <si>
    <t xml:space="preserve">Invoice</t>
  </si>
  <si>
    <t xml:space="preserve">Purchase Order</t>
  </si>
  <si>
    <t xml:space="preserve">Delivery Note</t>
  </si>
  <si>
    <t xml:space="preserve">Passport</t>
  </si>
  <si>
    <t xml:space="preserve">CV</t>
  </si>
  <si>
    <t xml:space="preserve">Then routes each document into the appropriate workflow.</t>
  </si>
  <si>
    <t xml:space="preserve">Where triage fits in an AI automation</t>
  </si>
  <si>
    <t xml:space="preserve">A common pattern is:</t>
  </si>
  <si>
    <t xml:space="preserve">Input</t>
  </si>
  <si>
    <t xml:space="preserve">   │</t>
  </si>
  <si>
    <t xml:space="preserve">   ▼</t>
  </si>
  <si>
    <t xml:space="preserve">AI TRIAGE</t>
  </si>
  <si>
    <t xml:space="preserve">(Classify • Prioritize • Extract)</t>
  </si>
  <si>
    <t xml:space="preserve">Decision</t>
  </si>
  <si>
    <t xml:space="preserve">   ├── CRM</t>
  </si>
  <si>
    <t xml:space="preserve">   ├── Email reply</t>
  </si>
  <si>
    <t xml:space="preserve">   ├── Human approval</t>
  </si>
  <si>
    <t xml:space="preserve">   ├── Calendar</t>
  </si>
  <si>
    <t xml:space="preserve">   ├── Database</t>
  </si>
  <si>
    <t xml:space="preserve">   └── Archive</t>
  </si>
  <si>
    <t xml:space="preserve">Triage is often the first AI step after data enters a workflow.</t>
  </si>
  <si>
    <t xml:space="preserve">For VortexDeep</t>
  </si>
  <si>
    <t xml:space="preserve">"Triage" could become one of your core service concepts because nearly every business receives unstructured information that must be organized before work can begin.</t>
  </si>
  <si>
    <t xml:space="preserve">For example:</t>
  </si>
  <si>
    <t xml:space="preserve">Email Triage – classify, prioritize, and route incoming emails.</t>
  </si>
  <si>
    <t xml:space="preserve">Document Triage – identify, extract, and organize information from documents.</t>
  </si>
  <si>
    <t xml:space="preserve">Lead Triage – qualify and prioritize sales inquiries.</t>
  </si>
  <si>
    <t xml:space="preserve">Support Triage – assess urgency and assign tickets.</t>
  </si>
  <si>
    <t xml:space="preserve">Workflow Triage – determine the next action in a business process based on incoming data.</t>
  </si>
  <si>
    <t xml:space="preserve">In other words, triage is the intelligent decision layer that sits between incoming information and automated business actions. It's a concise term that accurately describes a key capability in many AI automation systems.</t>
  </si>
  <si>
    <t xml:space="preserve">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</si>
  <si>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 xml:space="preserve">Yes, that’s a good direction.</t>
  </si>
  <si>
    <t xml:space="preserve">1. Would adding email/social intake classify it higher?</t>
  </si>
  <si>
    <t xml:space="preserve">Yes, depending on complexity.</t>
  </si>
  <si>
    <t xml:space="preserve">Right now MG Red Shift is best classified as:</t>
  </si>
  <si>
    <t xml:space="preserve">Basic+ AI Triage / AI Intake Triage Basic+</t>
  </si>
  <si>
    <t xml:space="preserve">Because it does:</t>
  </si>
  <si>
    <t xml:space="preserve">website form → AI classification → JSON parse → folder routing → Notion logging → manual review</t>
  </si>
  <si>
    <t xml:space="preserve">Your v4.0 flow confirms this structure: OpenAI classification runs before the router, and the router acts only on LEAD / SEEKER / SPAM / TEST.</t>
  </si>
  <si>
    <t xml:space="preserve">If you add:</t>
  </si>
  <si>
    <t xml:space="preserve">Added scope</t>
  </si>
  <si>
    <t xml:space="preserve">Package level</t>
  </si>
  <si>
    <t xml:space="preserve">Website form + one inbox, same logic</t>
  </si>
  <si>
    <t xml:space="preserve">Multiple inboxes / email provider + website form</t>
  </si>
  <si>
    <t xml:space="preserve">Basic+ or low Pro</t>
  </si>
  <si>
    <t xml:space="preserve">Email + Instagram / WhatsApp / LinkedIn</t>
  </si>
  <si>
    <t xml:space="preserve">Draft replies + approval workflow</t>
  </si>
  <si>
    <t xml:space="preserve">Monthly reporting, monitoring, improvements</t>
  </si>
  <si>
    <t xml:space="preserve">CRM/calendar actions with approvals</t>
  </si>
  <si>
    <t xml:space="preserve">So yes: with email + social media + same classification logic, it can move toward Pro Multi-Channel.</t>
  </si>
  <si>
    <t xml:space="preserve">2. Monthly maintenance — how to explain it</t>
  </si>
  <si>
    <t xml:space="preserve">I would not call it “maintenance” only. Better:</t>
  </si>
  <si>
    <t xml:space="preserve">Because it includes:</t>
  </si>
  <si>
    <t xml:space="preserve">monitoring failed runs</t>
  </si>
  <si>
    <t xml:space="preserve">checking classification quality</t>
  </si>
  <si>
    <t xml:space="preserve">updating prompts/categories</t>
  </si>
  <si>
    <t xml:space="preserve">adapting when client business rules change</t>
  </si>
  <si>
    <t xml:space="preserve">fixing API/provider changes</t>
  </si>
  <si>
    <t xml:space="preserve">reviewing edge cases</t>
  </si>
  <si>
    <t xml:space="preserve">usage/cost monitoring</t>
  </si>
  <si>
    <t xml:space="preserve">monthly improvement notes</t>
  </si>
  <si>
    <t xml:space="preserve">small workflow adjustments</t>
  </si>
  <si>
    <t xml:space="preserve">Client-facing explanation:</t>
  </si>
  <si>
    <t xml:space="preserve">The automation is not a static file. It handles live messages, changing wording, changing customer behaviour, provider updates and business rules. The monthly service keeps the workflow monitored, adjusted and reliable.</t>
  </si>
  <si>
    <t xml:space="preserve">Commercially:</t>
  </si>
  <si>
    <t xml:space="preserve">For MG Red Shift, I would use Normal managed support.</t>
  </si>
  <si>
    <t xml:space="preserve">3. ROI explanation for MG Red Shift automation</t>
  </si>
  <si>
    <t xml:space="preserve">Yes, ROI can be explained clearly, but use conservative numbers.</t>
  </si>
  <si>
    <t xml:space="preserve">The ROI is not only “time saved”. It is also:</t>
  </si>
  <si>
    <t xml:space="preserve">fewer wrong manual classifications</t>
  </si>
  <si>
    <t xml:space="preserve">faster separation of real CH/LI leads from foreign SEEKERS</t>
  </si>
  <si>
    <t xml:space="preserve">less risk of replying wrongly about export/distribution</t>
  </si>
  <si>
    <t xml:space="preserve">better CRM/Notion recordkeeping</t>
  </si>
  <si>
    <t xml:space="preserve">less inbox clutter</t>
  </si>
  <si>
    <t xml:space="preserve">consistent manual review process</t>
  </si>
  <si>
    <t xml:space="preserve">Simple ROI formula:</t>
  </si>
  <si>
    <t xml:space="preserve">Monthly benefit =</t>
  </si>
  <si>
    <t xml:space="preserve">time saved</t>
  </si>
  <si>
    <t xml:space="preserve">+ avoided mistakes</t>
  </si>
  <si>
    <t xml:space="preserve">+ retained lead/opportunity value</t>
  </si>
  <si>
    <t xml:space="preserve">Example conservative MG Red Shift case:</t>
  </si>
  <si>
    <t xml:space="preserve">ROI factor</t>
  </si>
  <si>
    <t xml:space="preserve">Time saved: 2 h/week × CHF 80 × 4</t>
  </si>
  <si>
    <t xml:space="preserve">CHF 640/month</t>
  </si>
  <si>
    <t xml:space="preserve">Avoided mistakes: 2/month × CHF 150</t>
  </si>
  <si>
    <t xml:space="preserve">CHF 300/month</t>
  </si>
  <si>
    <t xml:space="preserve">Preserved commercial opportunity value</t>
  </si>
  <si>
    <t xml:space="preserve">CHF 250/month</t>
  </si>
  <si>
    <t xml:space="preserve">Total estimated monthly benefit</t>
  </si>
  <si>
    <t xml:space="preserve">CHF 1’190/month</t>
  </si>
  <si>
    <t xml:space="preserve">If setup is CHF 3’500:</t>
  </si>
  <si>
    <t xml:space="preserve">Payback = 3500 / 1190 = approx. 3 months</t>
  </si>
  <si>
    <t xml:space="preserve">So for MG Red Shift I would write:</t>
  </si>
  <si>
    <t xml:space="preserve">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</si>
  <si>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 xml:space="preserve">For your pricing sheet, I’d place MG Red Shift as:</t>
  </si>
  <si>
    <t xml:space="preserve">Package: Basic+ AI Triage</t>
  </si>
  <si>
    <t xml:space="preserve">Setup: CHF 2’500 – 4’500</t>
  </si>
  <si>
    <t xml:space="preserve">Monthly: CHF 500 – 900</t>
  </si>
  <si>
    <t xml:space="preserve">Support model: Normal managed support</t>
  </si>
  <si>
    <t xml:space="preserve">If you add email + social media + draft approvals, then I’d move it to:</t>
  </si>
  <si>
    <t xml:space="preserve">Package: Pro Multi-Channel</t>
  </si>
  <si>
    <t xml:space="preserve">Setup: CHF 3’500 – 7’500+</t>
  </si>
  <si>
    <t xml:space="preserve">Monthly: CHF 750 – 1’500+</t>
  </si>
  <si>
    <t xml:space="preserve">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</si>
  <si>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 xml:space="preserve">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</si>
  <si>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 xml:space="preserve">Why licence ≠ transfer, even when it feels identical</t>
  </si>
  <si>
    <t xml:space="preserve">Your confusion is completely reasonable, because the thing the client ends up with can look the same in both cases. The difference isn't what they hold — it's what they're legally allowed to do with it, and who owns it. Think in layers:</t>
  </si>
  <si>
    <t xml:space="preserve">The outputs (sorted inbox, drafts, dashboards) — the client always gets these.</t>
  </si>
  <si>
    <t xml:space="preserve">The right to use the automation for their business.</t>
  </si>
  <si>
    <t xml:space="preserve">The build artifact (the actual Make scenario, prompts, routing rules).</t>
  </si>
  <si>
    <t xml:space="preserve">The methodology — your discovery process, your pattern library, the judgment about what to build and how. This is the "our knowledge" you're protecting.</t>
  </si>
  <si>
    <t xml:space="preserve">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</si>
  <si>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 xml:space="preserve">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</si>
  <si>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 xml:space="preserve">Two analogies make it click:</t>
  </si>
  <si>
    <t xml:space="preserve">Renting vs. selling a flat. In both, someone else lives there. But a tenant follows a lease, can't sell your flat, and you're still the owner. A buyer owns it outright and can do anything — including sell it to your rival. Licence = lease; transfer = sale.</t>
  </si>
  <si>
    <t xml:space="preserve">Microsoft licences you Windows. It runs on your laptop, but you don't own Windows — you can't resell it or build a competing OS from it. If they transferred it, you'd own the source code. Same software in your hands; completely different rights.</t>
  </si>
  <si>
    <t xml:space="preserve">The part you're really worried about</t>
  </si>
  <si>
    <t xml:space="preserve">Your deeper worry, I think, is: "if a licensed client can open the Make scenario and see the boxes, haven't they got my 'how'?" Two answers:</t>
  </si>
  <si>
    <t xml:space="preserve">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</si>
  <si>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 xml:space="preserve">Second — if protecting the "how" is paramount, the licence doesn't have to expose the internals at all. Your Access Models sheet already has the gradations for this, and they're the real answer to your question:</t>
  </si>
  <si>
    <t xml:space="preserve">Run it black-boxed on your side — the client gets outputs + a right to use, and never sees the build. Maximum protection.</t>
  </si>
  <si>
    <t xml:space="preserve">Licence a logic summary (a Mermaid chart, status rules) — they understand what it does without the editable implementation.</t>
  </si>
  <si>
    <t xml:space="preserve">Runs in their workspace, but licensed — for compliance/data reasons the automation lives in their environment, yet the terms forbid copying or transferring it, and the reusable patterns remain yours.</t>
  </si>
  <si>
    <t xml:space="preserve">So the licence isn't one thing — it's a dial on how much the client sees, none of which is ownership, and none of which includes the methodology.</t>
  </si>
  <si>
    <t xml:space="preserve">The policy fix</t>
  </si>
  <si>
    <t xml:space="preserve">Given your firm position — no full transfer, at any price — the honest model is two tiers, not three:</t>
  </si>
  <si>
    <t xml:space="preserve">Managed (default): you run and improve it. Recurring, you keep everything.</t>
  </si>
  <si>
    <t xml:space="preserve">Licence: a bounded right-to-use for clients who want more autonomy or data-in-their-workspace — you keep ownership, the IP, and the methodology, and the terms prevent resale/reverse-engineering. Still recurring (annual licence).</t>
  </si>
  <si>
    <t xml:space="preserve">And drop "Build-and-transfer" — or keep it only as an explicit "we don't sell the asset — here's why" line, which is itself a trust signal ("we're not for sale because our clients need us to keep existing"). The buy-out row I added earlier now contradicts your policy, so it should go.</t>
  </si>
  <si>
    <t xml:space="preserve">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</si>
  <si>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 xml:space="preserve">So, two concrete things I'd do — tell me to go:</t>
  </si>
  <si>
    <t xml:space="preserve">Fix the v12 calculator → remove/neutralise the Build-and-transfer row so the tool matches your policy: Managed + Licence only, with the licence variants (black-box / logic-summary / client-workspace) as the dial. The buy-out columns come out.</t>
  </si>
  <si>
    <t xml:space="preserve">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</si>
  <si>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 xml:space="preserve">Want both? And one decision that shapes them: should "full transfer" be removed entirely from the calculator, or kept visible as an explicit "not offered" line (which some clients respect more than silence)?</t>
  </si>
</sst>
</file>

<file path=xl/styles.xml><?xml version="1.0" encoding="utf-8"?>
<styleSheet xmlns="http://schemas.openxmlformats.org/spreadsheetml/2006/main">
  <numFmts count="8">
    <numFmt numFmtId="164" formatCode="General"/>
    <numFmt numFmtId="165" formatCode="General"/>
    <numFmt numFmtId="166" formatCode="#,##0"/>
    <numFmt numFmtId="167" formatCode="0.0"/>
    <numFmt numFmtId="168" formatCode="0%"/>
    <numFmt numFmtId="169" formatCode="0.0%"/>
    <numFmt numFmtId="170" formatCode="0.00"/>
    <numFmt numFmtId="171" formatCode="#,##0.00"/>
  </numFmts>
  <fonts count="101">
    <font>
      <sz val="11"/>
      <name val="Calibri"/>
      <family val="0"/>
      <charset val="1"/>
    </font>
    <font>
      <sz val="10"/>
      <name val="Arial"/>
      <family val="0"/>
    </font>
    <font>
      <sz val="10"/>
      <name val="Arial"/>
      <family val="0"/>
    </font>
    <font>
      <sz val="10"/>
      <name val="Arial"/>
      <family val="0"/>
    </font>
    <font>
      <b val="true"/>
      <sz val="12"/>
      <color rgb="FFFFFFFF"/>
      <name val="Calibri"/>
      <family val="2"/>
      <charset val="1"/>
    </font>
    <font>
      <i val="true"/>
      <sz val="9.5"/>
      <color rgb="FFC00000"/>
      <name val="Arial"/>
      <family val="2"/>
      <charset val="1"/>
    </font>
    <font>
      <b val="true"/>
      <sz val="10"/>
      <color rgb="FF2E2E2E"/>
      <name val="Arial"/>
      <family val="2"/>
      <charset val="1"/>
    </font>
    <font>
      <sz val="10"/>
      <color rgb="FF2E2E2E"/>
      <name val="Arial"/>
      <family val="2"/>
      <charset val="1"/>
    </font>
    <font>
      <b val="true"/>
      <sz val="10.5"/>
      <color rgb="FFFFFFFF"/>
      <name val="Arial"/>
      <family val="2"/>
      <charset val="1"/>
    </font>
    <font>
      <b val="true"/>
      <sz val="9"/>
      <color rgb="FFFFFFFF"/>
      <name val="Arial"/>
      <family val="2"/>
      <charset val="1"/>
    </font>
    <font>
      <b val="true"/>
      <sz val="9"/>
      <color rgb="FF1F6F6F"/>
      <name val="Arial"/>
      <family val="2"/>
      <charset val="1"/>
    </font>
    <font>
      <b val="true"/>
      <sz val="9"/>
      <color rgb="FF2E2E2E"/>
      <name val="Arial"/>
      <family val="2"/>
      <charset val="1"/>
    </font>
    <font>
      <sz val="9"/>
      <color rgb="FF808080"/>
      <name val="Arial"/>
      <family val="2"/>
      <charset val="1"/>
    </font>
    <font>
      <sz val="9.5"/>
      <color rgb="FF2E2E2E"/>
      <name val="Arial"/>
      <family val="2"/>
      <charset val="1"/>
    </font>
    <font>
      <i val="true"/>
      <sz val="9"/>
      <color rgb="FFC00000"/>
      <name val="Arial"/>
      <family val="2"/>
      <charset val="1"/>
    </font>
    <font>
      <sz val="11"/>
      <color rgb="FFC00000"/>
      <name val="Calibri"/>
      <family val="2"/>
      <charset val="1"/>
    </font>
    <font>
      <b val="true"/>
      <sz val="9.5"/>
      <color rgb="FF2E2E2E"/>
      <name val="Arial"/>
      <family val="2"/>
      <charset val="1"/>
    </font>
    <font>
      <sz val="9"/>
      <color rgb="FF2E2E2E"/>
      <name val="Arial"/>
      <family val="2"/>
      <charset val="1"/>
    </font>
    <font>
      <i val="true"/>
      <sz val="8.5"/>
      <color rgb="FF1F6F6F"/>
      <name val="Arial"/>
      <family val="2"/>
      <charset val="1"/>
    </font>
    <font>
      <sz val="10"/>
      <color rgb="FFB26A00"/>
      <name val="Arial"/>
      <family val="2"/>
      <charset val="1"/>
    </font>
    <font>
      <b val="true"/>
      <sz val="10"/>
      <color rgb="FFFFFFFF"/>
      <name val="Arial"/>
      <family val="2"/>
      <charset val="1"/>
    </font>
    <font>
      <i val="true"/>
      <sz val="9"/>
      <color rgb="FF808080"/>
      <name val="Arial"/>
      <family val="2"/>
      <charset val="1"/>
    </font>
    <font>
      <b val="true"/>
      <sz val="9.5"/>
      <color rgb="FFB26A00"/>
      <name val="Arial"/>
      <family val="2"/>
      <charset val="1"/>
    </font>
    <font>
      <i val="true"/>
      <sz val="8.5"/>
      <color rgb="FF808080"/>
      <name val="Arial"/>
      <family val="2"/>
      <charset val="1"/>
    </font>
    <font>
      <sz val="11"/>
      <name val="Cambria"/>
      <family val="1"/>
      <charset val="1"/>
    </font>
    <font>
      <b val="true"/>
      <sz val="11"/>
      <color rgb="FFFFFFFF"/>
      <name val="Cambria"/>
      <family val="1"/>
      <charset val="1"/>
    </font>
    <font>
      <b val="true"/>
      <sz val="11"/>
      <name val="Cambria"/>
      <family val="1"/>
      <charset val="1"/>
    </font>
    <font>
      <sz val="11"/>
      <color theme="0"/>
      <name val="Cambria"/>
      <family val="1"/>
      <charset val="1"/>
    </font>
    <font>
      <i val="true"/>
      <sz val="11"/>
      <name val="Cambria"/>
      <family val="1"/>
      <charset val="1"/>
    </font>
    <font>
      <i val="true"/>
      <sz val="11"/>
      <color rgb="FFC00000"/>
      <name val="Cambria"/>
      <family val="1"/>
      <charset val="1"/>
    </font>
    <font>
      <b val="true"/>
      <sz val="11"/>
      <color rgb="FFFF0000"/>
      <name val="Cambria"/>
      <family val="1"/>
      <charset val="1"/>
    </font>
    <font>
      <b val="true"/>
      <sz val="11"/>
      <color rgb="FF2E2E2E"/>
      <name val="Cambria"/>
      <family val="1"/>
      <charset val="1"/>
    </font>
    <font>
      <sz val="11"/>
      <color rgb="FF808080"/>
      <name val="Cambria"/>
      <family val="1"/>
      <charset val="1"/>
    </font>
    <font>
      <b val="true"/>
      <sz val="11"/>
      <color rgb="FF1F6F6F"/>
      <name val="Cambria"/>
      <family val="1"/>
      <charset val="1"/>
    </font>
    <font>
      <sz val="11"/>
      <color rgb="FF1F6F6F"/>
      <name val="Cambria"/>
      <family val="1"/>
      <charset val="1"/>
    </font>
    <font>
      <b val="true"/>
      <sz val="11"/>
      <color rgb="FFB26A00"/>
      <name val="Cambria"/>
      <family val="1"/>
      <charset val="1"/>
    </font>
    <font>
      <sz val="11"/>
      <name val="Segoe UI"/>
      <family val="0"/>
      <charset val="1"/>
    </font>
    <font>
      <b val="true"/>
      <sz val="16"/>
      <color rgb="FFFFFFFF"/>
      <name val="Segoe UI"/>
      <family val="0"/>
      <charset val="1"/>
    </font>
    <font>
      <b val="true"/>
      <sz val="11"/>
      <color rgb="FFFFFFFF"/>
      <name val="Segoe UI"/>
      <family val="0"/>
      <charset val="1"/>
    </font>
    <font>
      <b val="true"/>
      <sz val="12"/>
      <color rgb="FF1F2937"/>
      <name val="Segoe UI"/>
      <family val="0"/>
      <charset val="1"/>
    </font>
    <font>
      <b val="true"/>
      <sz val="11"/>
      <name val="Segoe UI"/>
      <family val="0"/>
      <charset val="1"/>
    </font>
    <font>
      <b val="true"/>
      <sz val="11"/>
      <color rgb="FF4B5563"/>
      <name val="Segoe UI"/>
      <family val="0"/>
      <charset val="1"/>
    </font>
    <font>
      <sz val="11"/>
      <color rgb="FF374151"/>
      <name val="Segoe UI"/>
      <family val="0"/>
      <charset val="1"/>
    </font>
    <font>
      <sz val="11"/>
      <color rgb="FF4B5563"/>
      <name val="Segoe UI"/>
      <family val="0"/>
      <charset val="1"/>
    </font>
    <font>
      <b val="true"/>
      <sz val="11"/>
      <color rgb="FFFF0000"/>
      <name val="Segoe UI"/>
      <family val="0"/>
      <charset val="1"/>
    </font>
    <font>
      <sz val="11"/>
      <color rgb="FFB91C1C"/>
      <name val="Segoe UI"/>
      <family val="0"/>
      <charset val="1"/>
    </font>
    <font>
      <b val="true"/>
      <sz val="12"/>
      <color rgb="FF374151"/>
      <name val="Segoe UI"/>
      <family val="0"/>
      <charset val="1"/>
    </font>
    <font>
      <b val="true"/>
      <sz val="12"/>
      <color rgb="FFFFFFFF"/>
      <name val="Segoe UI"/>
      <family val="0"/>
      <charset val="1"/>
    </font>
    <font>
      <sz val="11"/>
      <color rgb="FF000000"/>
      <name val="Calibri"/>
      <family val="2"/>
      <charset val="1"/>
    </font>
    <font>
      <i val="true"/>
      <sz val="11"/>
      <color rgb="FF000000"/>
      <name val="Calibri"/>
      <family val="2"/>
      <charset val="1"/>
    </font>
    <font>
      <i val="true"/>
      <sz val="10"/>
      <color rgb="FF374151"/>
      <name val="Calibri"/>
      <family val="2"/>
      <charset val="1"/>
    </font>
    <font>
      <i val="true"/>
      <sz val="11"/>
      <name val="Calibri"/>
      <family val="2"/>
      <charset val="1"/>
    </font>
    <font>
      <sz val="10"/>
      <color rgb="FF4B5563"/>
      <name val="Segoe UI"/>
      <family val="0"/>
      <charset val="1"/>
    </font>
    <font>
      <b val="true"/>
      <sz val="11"/>
      <name val="Calibri"/>
      <family val="2"/>
      <charset val="1"/>
    </font>
    <font>
      <b val="true"/>
      <sz val="11"/>
      <color rgb="FFFFFFFF"/>
      <name val="Calibri"/>
      <family val="2"/>
      <charset val="1"/>
    </font>
    <font>
      <i val="true"/>
      <sz val="11"/>
      <color rgb="FF808080"/>
      <name val="Cambria"/>
      <family val="1"/>
      <charset val="1"/>
    </font>
    <font>
      <sz val="11"/>
      <color rgb="FFFF0000"/>
      <name val="Calibri"/>
      <family val="2"/>
      <charset val="1"/>
    </font>
    <font>
      <sz val="11"/>
      <color rgb="FFFFFFFF"/>
      <name val="Calibri"/>
      <family val="2"/>
      <charset val="1"/>
    </font>
    <font>
      <b val="true"/>
      <sz val="9"/>
      <color rgb="FFB26A00"/>
      <name val="Arial"/>
      <family val="2"/>
      <charset val="1"/>
    </font>
    <font>
      <sz val="11"/>
      <name val="Calibri"/>
      <family val="2"/>
      <charset val="1"/>
    </font>
    <font>
      <b val="true"/>
      <sz val="11"/>
      <color rgb="FF7C2D12"/>
      <name val="Cambria"/>
      <family val="0"/>
      <charset val="1"/>
    </font>
    <font>
      <b val="true"/>
      <sz val="11"/>
      <name val="Cambria"/>
      <family val="0"/>
      <charset val="1"/>
    </font>
    <font>
      <sz val="9"/>
      <color rgb="FFFFFFFF"/>
      <name val="Arial"/>
      <family val="2"/>
      <charset val="1"/>
    </font>
    <font>
      <b val="true"/>
      <sz val="8.5"/>
      <color rgb="FFFFFFFF"/>
      <name val="Arial"/>
      <family val="2"/>
      <charset val="1"/>
    </font>
    <font>
      <sz val="8.5"/>
      <color rgb="FF2E2E2E"/>
      <name val="Arial"/>
      <family val="2"/>
      <charset val="1"/>
    </font>
    <font>
      <sz val="8.5"/>
      <color rgb="FF808080"/>
      <name val="Arial"/>
      <family val="2"/>
      <charset val="1"/>
    </font>
    <font>
      <sz val="9.5"/>
      <color rgb="FF1F6F6F"/>
      <name val="Arial"/>
      <family val="2"/>
      <charset val="1"/>
    </font>
    <font>
      <sz val="8.5"/>
      <color rgb="FF1F6F6F"/>
      <name val="Arial"/>
      <family val="2"/>
      <charset val="1"/>
    </font>
    <font>
      <sz val="9.5"/>
      <color rgb="FFB26A00"/>
      <name val="Arial"/>
      <family val="2"/>
      <charset val="1"/>
    </font>
    <font>
      <sz val="8.5"/>
      <color rgb="FFB26A00"/>
      <name val="Arial"/>
      <family val="2"/>
      <charset val="1"/>
    </font>
    <font>
      <i val="true"/>
      <sz val="8.5"/>
      <color rgb="FF8C8C8C"/>
      <name val="Arial"/>
      <family val="2"/>
      <charset val="1"/>
    </font>
    <font>
      <b val="true"/>
      <sz val="12"/>
      <color rgb="FFFFFFFF"/>
      <name val="Calibri"/>
      <family val="0"/>
      <charset val="1"/>
    </font>
    <font>
      <b val="true"/>
      <sz val="11"/>
      <name val="Calibri"/>
      <family val="0"/>
      <charset val="1"/>
    </font>
    <font>
      <b val="true"/>
      <sz val="10"/>
      <name val="Cambria"/>
      <family val="0"/>
      <charset val="1"/>
    </font>
    <font>
      <i val="true"/>
      <sz val="11"/>
      <color rgb="FF4B5563"/>
      <name val="Calibri"/>
      <family val="0"/>
      <charset val="1"/>
    </font>
    <font>
      <sz val="11"/>
      <name val="Calibri Light"/>
      <family val="2"/>
      <charset val="1"/>
    </font>
    <font>
      <b val="true"/>
      <sz val="11"/>
      <color rgb="FFFFFFFF"/>
      <name val="Calibri Light"/>
      <family val="2"/>
      <charset val="1"/>
    </font>
    <font>
      <i val="true"/>
      <sz val="11"/>
      <color rgb="FFC00000"/>
      <name val="Calibri Light"/>
      <family val="2"/>
      <charset val="1"/>
    </font>
    <font>
      <b val="true"/>
      <sz val="11"/>
      <color rgb="FF2E2E2E"/>
      <name val="Calibri Light"/>
      <family val="2"/>
      <charset val="1"/>
    </font>
    <font>
      <sz val="11"/>
      <color rgb="FFC00000"/>
      <name val="Calibri Light"/>
      <family val="2"/>
      <charset val="1"/>
    </font>
    <font>
      <sz val="11"/>
      <color rgb="FF2E2E2E"/>
      <name val="Calibri Light"/>
      <family val="2"/>
      <charset val="1"/>
    </font>
    <font>
      <sz val="11"/>
      <color rgb="FF808080"/>
      <name val="Calibri Light"/>
      <family val="2"/>
      <charset val="1"/>
    </font>
    <font>
      <i val="true"/>
      <sz val="11"/>
      <color rgb="FF8C8C8C"/>
      <name val="Calibri Light"/>
      <family val="2"/>
      <charset val="1"/>
    </font>
    <font>
      <i val="true"/>
      <sz val="11"/>
      <color rgb="FFB26A00"/>
      <name val="Calibri Light"/>
      <family val="2"/>
      <charset val="1"/>
    </font>
    <font>
      <sz val="11"/>
      <color rgb="FF1F6F6F"/>
      <name val="Calibri Light"/>
      <family val="2"/>
      <charset val="1"/>
    </font>
    <font>
      <sz val="11"/>
      <color rgb="FFB26A00"/>
      <name val="Calibri Light"/>
      <family val="2"/>
      <charset val="1"/>
    </font>
    <font>
      <i val="true"/>
      <sz val="11"/>
      <color rgb="FF808080"/>
      <name val="Calibri Light"/>
      <family val="2"/>
      <charset val="1"/>
    </font>
    <font>
      <b val="true"/>
      <sz val="11"/>
      <color rgb="FFFFFFFF"/>
      <name val="Calibri"/>
      <family val="0"/>
      <charset val="1"/>
    </font>
    <font>
      <b val="true"/>
      <sz val="12"/>
      <color rgb="FF2E2E2E"/>
      <name val="Arial"/>
      <family val="2"/>
      <charset val="1"/>
    </font>
    <font>
      <i val="true"/>
      <sz val="9"/>
      <color rgb="FF1F6F6F"/>
      <name val="Arial"/>
      <family val="2"/>
      <charset val="1"/>
    </font>
    <font>
      <b val="true"/>
      <sz val="11"/>
      <color rgb="FF000000"/>
      <name val="Calibri"/>
      <family val="2"/>
      <charset val="1"/>
    </font>
    <font>
      <sz val="9.5"/>
      <color rgb="FF808080"/>
      <name val="Arial"/>
      <family val="2"/>
      <charset val="1"/>
    </font>
    <font>
      <b val="true"/>
      <sz val="18"/>
      <name val="Calibri"/>
      <family val="2"/>
      <charset val="1"/>
    </font>
    <font>
      <b val="true"/>
      <sz val="13"/>
      <name val="Calibri"/>
      <family val="2"/>
      <charset val="1"/>
    </font>
    <font>
      <i val="true"/>
      <sz val="9"/>
      <color rgb="FF4B5563"/>
      <name val="Cambria"/>
      <family val="0"/>
      <charset val="1"/>
    </font>
    <font>
      <i val="true"/>
      <sz val="11"/>
      <color rgb="FFFF0000"/>
      <name val="Calibri"/>
      <family val="2"/>
      <charset val="1"/>
    </font>
    <font>
      <sz val="10"/>
      <name val="Arial Unicode MS"/>
      <family val="2"/>
      <charset val="1"/>
    </font>
    <font>
      <b val="true"/>
      <sz val="13.5"/>
      <name val="Calibri"/>
      <family val="2"/>
      <charset val="1"/>
    </font>
    <font>
      <sz val="13"/>
      <name val="Calibri"/>
      <family val="2"/>
      <charset val="1"/>
    </font>
    <font>
      <b val="true"/>
      <sz val="13"/>
      <color rgb="FFFF0000"/>
      <name val="Calibri"/>
      <family val="2"/>
      <charset val="1"/>
    </font>
    <font>
      <sz val="11"/>
      <color theme="0"/>
      <name val="Calibri"/>
      <family val="2"/>
      <charset val="1"/>
    </font>
  </fonts>
  <fills count="38">
    <fill>
      <patternFill patternType="none"/>
    </fill>
    <fill>
      <patternFill patternType="gray125"/>
    </fill>
    <fill>
      <patternFill patternType="solid">
        <fgColor rgb="FF1F4E78"/>
        <bgColor rgb="FF374151"/>
      </patternFill>
    </fill>
    <fill>
      <patternFill patternType="solid">
        <fgColor rgb="FFF1F5F9"/>
        <bgColor rgb="FFF3F4F6"/>
      </patternFill>
    </fill>
    <fill>
      <patternFill patternType="solid">
        <fgColor rgb="FF1A1A1A"/>
        <bgColor rgb="FF1F2937"/>
      </patternFill>
    </fill>
    <fill>
      <patternFill patternType="solid">
        <fgColor rgb="FF1F6F6F"/>
        <bgColor rgb="FF0F766E"/>
      </patternFill>
    </fill>
    <fill>
      <patternFill patternType="solid">
        <fgColor rgb="FFB0143C"/>
        <bgColor rgb="FFB91C1C"/>
      </patternFill>
    </fill>
    <fill>
      <patternFill patternType="solid">
        <fgColor rgb="FFF2F2F2"/>
        <bgColor rgb="FFF3F4F6"/>
      </patternFill>
    </fill>
    <fill>
      <patternFill patternType="solid">
        <fgColor rgb="FF0F766E"/>
        <bgColor rgb="FF1F6F6F"/>
      </patternFill>
    </fill>
    <fill>
      <patternFill patternType="solid">
        <fgColor rgb="FFFEF3C7"/>
        <bgColor rgb="FFFFF2CC"/>
      </patternFill>
    </fill>
    <fill>
      <patternFill patternType="solid">
        <fgColor theme="5" tint="0.7999"/>
        <bgColor rgb="FFFFF2CC"/>
      </patternFill>
    </fill>
    <fill>
      <patternFill patternType="solid">
        <fgColor theme="6" tint="0.5996"/>
        <bgColor rgb="FFA6CAEC"/>
      </patternFill>
    </fill>
    <fill>
      <patternFill patternType="solid">
        <fgColor rgb="FFFFFF00"/>
        <bgColor rgb="FFFFC000"/>
      </patternFill>
    </fill>
    <fill>
      <patternFill patternType="solid">
        <fgColor theme="3" tint="0.7496"/>
        <bgColor rgb="FFBFBFBF"/>
      </patternFill>
    </fill>
    <fill>
      <patternFill patternType="solid">
        <fgColor rgb="FFFFC000"/>
        <bgColor rgb="FFFFFF00"/>
      </patternFill>
    </fill>
    <fill>
      <patternFill patternType="solid">
        <fgColor rgb="FFFF0000"/>
        <bgColor rgb="FFC00000"/>
      </patternFill>
    </fill>
    <fill>
      <patternFill patternType="solid">
        <fgColor rgb="FFDBEAFE"/>
        <bgColor rgb="FFDCEAF7"/>
      </patternFill>
    </fill>
    <fill>
      <patternFill patternType="solid">
        <fgColor rgb="FFC00000"/>
        <bgColor rgb="FFB91C1C"/>
      </patternFill>
    </fill>
    <fill>
      <patternFill patternType="solid">
        <fgColor theme="0" tint="-0.5"/>
        <bgColor rgb="FF8C8C8C"/>
      </patternFill>
    </fill>
    <fill>
      <patternFill patternType="solid">
        <fgColor rgb="FFE0F2FE"/>
        <bgColor rgb="FFDBEAFE"/>
      </patternFill>
    </fill>
    <fill>
      <patternFill patternType="solid">
        <fgColor rgb="FFFFF2CC"/>
        <bgColor rgb="FFFEF3C7"/>
      </patternFill>
    </fill>
    <fill>
      <patternFill patternType="solid">
        <fgColor rgb="FFE7E6E6"/>
        <bgColor rgb="FFE6E6E6"/>
      </patternFill>
    </fill>
    <fill>
      <patternFill patternType="solid">
        <fgColor rgb="FFD9EAF7"/>
        <bgColor rgb="FFDCEAF7"/>
      </patternFill>
    </fill>
    <fill>
      <patternFill patternType="solid">
        <fgColor theme="0" tint="-0.25"/>
        <bgColor rgb="FFA6CAEC"/>
      </patternFill>
    </fill>
    <fill>
      <patternFill patternType="solid">
        <fgColor theme="3" tint="0.8999"/>
        <bgColor rgb="FFD9EAF7"/>
      </patternFill>
    </fill>
    <fill>
      <patternFill patternType="solid">
        <fgColor rgb="FFF3F4F6"/>
        <bgColor rgb="FFF1F5F9"/>
      </patternFill>
    </fill>
    <fill>
      <patternFill patternType="solid">
        <fgColor rgb="FF2563EB"/>
        <bgColor rgb="FF0070C0"/>
      </patternFill>
    </fill>
    <fill>
      <patternFill patternType="solid">
        <fgColor rgb="FFE5E7EB"/>
        <bgColor rgb="FFE6E6E6"/>
      </patternFill>
    </fill>
    <fill>
      <patternFill patternType="solid">
        <fgColor rgb="FFFFFFFF"/>
        <bgColor rgb="FFF1F5F9"/>
      </patternFill>
    </fill>
    <fill>
      <patternFill patternType="solid">
        <fgColor rgb="FF10B981"/>
        <bgColor rgb="FF0F766E"/>
      </patternFill>
    </fill>
    <fill>
      <patternFill patternType="solid">
        <fgColor rgb="FFFEF9C3"/>
        <bgColor rgb="FFFEF3C7"/>
      </patternFill>
    </fill>
    <fill>
      <patternFill patternType="solid">
        <fgColor rgb="FF1E293B"/>
        <bgColor rgb="FF1F2937"/>
      </patternFill>
    </fill>
    <fill>
      <patternFill patternType="solid">
        <fgColor rgb="FFFDE68A"/>
        <bgColor rgb="FFFEF3C7"/>
      </patternFill>
    </fill>
    <fill>
      <patternFill patternType="solid">
        <fgColor rgb="FFD1FAE5"/>
        <bgColor rgb="FFE0F2FE"/>
      </patternFill>
    </fill>
    <fill>
      <patternFill patternType="solid">
        <fgColor rgb="FFFFF3D6"/>
        <bgColor rgb="FFFFF2CC"/>
      </patternFill>
    </fill>
    <fill>
      <patternFill patternType="solid">
        <fgColor rgb="FFB26A00"/>
        <bgColor rgb="FF808080"/>
      </patternFill>
    </fill>
    <fill>
      <patternFill patternType="solid">
        <fgColor theme="0" tint="-0.15"/>
        <bgColor rgb="FFDDDDDD"/>
      </patternFill>
    </fill>
    <fill>
      <patternFill patternType="solid">
        <fgColor rgb="FF374151"/>
        <bgColor rgb="FF2E2E2E"/>
      </patternFill>
    </fill>
  </fills>
  <borders count="15">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right/>
      <top/>
      <bottom style="thin">
        <color rgb="FFE6E6E6"/>
      </bottom>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color theme="0" tint="-0.35"/>
      </left>
      <right/>
      <top style="thin">
        <color theme="0" tint="-0.35"/>
      </top>
      <bottom style="thin">
        <color theme="0" tint="-0.35"/>
      </bottom>
      <diagonal/>
    </border>
    <border diagonalUp="false" diagonalDown="false">
      <left/>
      <right/>
      <top style="thin">
        <color theme="0" tint="-0.35"/>
      </top>
      <bottom style="thin">
        <color theme="0" tint="-0.35"/>
      </bottom>
      <diagonal/>
    </border>
    <border diagonalUp="false" diagonalDown="false">
      <left/>
      <right style="thin">
        <color theme="0" tint="-0.35"/>
      </right>
      <top style="thin">
        <color theme="0" tint="-0.35"/>
      </top>
      <bottom style="thin">
        <color theme="0" tint="-0.35"/>
      </bottom>
      <diagonal/>
    </border>
    <border diagonalUp="false" diagonalDown="false">
      <left style="thin">
        <color rgb="FFDDDDDD"/>
      </left>
      <right style="thin">
        <color rgb="FFDDDDDD"/>
      </right>
      <top style="thin">
        <color rgb="FFDDDDDD"/>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E2E2E2"/>
      </bottom>
      <diagonal/>
    </border>
    <border diagonalUp="false" diagonalDown="false">
      <left style="thin">
        <color rgb="FFE2E2E2"/>
      </left>
      <right style="thin">
        <color rgb="FFE2E2E2"/>
      </right>
      <top style="thin">
        <color rgb="FFE2E2E2"/>
      </top>
      <bottom style="thin">
        <color rgb="FFE2E2E2"/>
      </bottom>
      <diagonal/>
    </border>
    <border diagonalUp="false" diagonalDown="false">
      <left/>
      <right/>
      <top style="thin">
        <color rgb="FFE2E2E2"/>
      </top>
      <bottom style="thin">
        <color rgb="FFE2E2E2"/>
      </bottom>
      <diagonal/>
    </border>
    <border diagonalUp="false" diagonalDown="false">
      <left/>
      <right style="thin">
        <color rgb="FFE2E2E2"/>
      </right>
      <top style="thin">
        <color rgb="FFE2E2E2"/>
      </top>
      <bottom style="thin">
        <color rgb="FFE2E2E2"/>
      </bottom>
      <diagonal/>
    </border>
    <border diagonalUp="false" diagonalDown="false">
      <left/>
      <right/>
      <top style="thin">
        <color rgb="FFE2E2E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6" fillId="3"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9" fillId="5" borderId="0" xfId="0" applyFont="true" applyBorder="false" applyAlignment="true" applyProtection="true">
      <alignment horizontal="left"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12" fillId="0" borderId="1" xfId="0" applyFont="true" applyBorder="true" applyAlignment="true" applyProtection="true">
      <alignment horizontal="left" vertical="center" textRotation="0" wrapText="true" indent="0" shrinkToFit="false"/>
      <protection locked="true" hidden="false"/>
    </xf>
    <xf numFmtId="164" fontId="13"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9" fillId="4" borderId="0" xfId="0" applyFont="true" applyBorder="fals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16" fillId="7" borderId="0" xfId="0" applyFont="true" applyBorder="false" applyAlignment="true" applyProtection="true">
      <alignment horizontal="left" vertical="center"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left" vertical="center" textRotation="0" wrapText="true" indent="0" shrinkToFit="false"/>
      <protection locked="true" hidden="false"/>
    </xf>
    <xf numFmtId="164" fontId="18" fillId="0" borderId="2" xfId="0" applyFont="true" applyBorder="true" applyAlignment="true" applyProtection="true">
      <alignment horizontal="left" vertical="center" textRotation="0" wrapText="true" indent="0" shrinkToFit="false"/>
      <protection locked="true" hidden="false"/>
    </xf>
    <xf numFmtId="164" fontId="19" fillId="0" borderId="2" xfId="0" applyFont="true" applyBorder="true" applyAlignment="true" applyProtection="true">
      <alignment horizontal="center" vertical="center" textRotation="0" wrapText="true" indent="0" shrinkToFit="false"/>
      <protection locked="true" hidden="false"/>
    </xf>
    <xf numFmtId="164" fontId="20" fillId="5" borderId="0" xfId="0" applyFont="true" applyBorder="true" applyAlignment="true" applyProtection="true">
      <alignment horizontal="left" vertical="center" textRotation="0" wrapText="true" indent="0" shrinkToFit="false"/>
      <protection locked="true" hidden="false"/>
    </xf>
    <xf numFmtId="164" fontId="21" fillId="7" borderId="0" xfId="0" applyFont="true" applyBorder="fals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22" fillId="0" borderId="0" xfId="0" applyFont="true" applyBorder="tru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25" fillId="8" borderId="0" xfId="0" applyFont="true" applyBorder="false" applyAlignment="true" applyProtection="true">
      <alignment horizontal="general" vertical="center" textRotation="0" wrapText="false" indent="0" shrinkToFit="false"/>
      <protection locked="true" hidden="false"/>
    </xf>
    <xf numFmtId="164" fontId="25" fillId="8" borderId="0" xfId="0" applyFont="true" applyBorder="false" applyAlignment="true" applyProtection="true">
      <alignment horizontal="center" vertical="center" textRotation="0" wrapText="false" indent="0" shrinkToFit="false"/>
      <protection locked="true" hidden="false"/>
    </xf>
    <xf numFmtId="164" fontId="24" fillId="8" borderId="0" xfId="0" applyFont="true" applyBorder="false" applyAlignment="true" applyProtection="true">
      <alignment horizontal="center" vertical="center" textRotation="0" wrapText="false" indent="0" shrinkToFit="false"/>
      <protection locked="true" hidden="false"/>
    </xf>
    <xf numFmtId="164" fontId="25" fillId="8" borderId="0" xfId="0" applyFont="true" applyBorder="false" applyAlignment="true" applyProtection="true">
      <alignment horizontal="left"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64" fontId="24" fillId="9" borderId="0" xfId="0" applyFont="true" applyBorder="false" applyAlignment="true" applyProtection="true">
      <alignment horizontal="general" vertical="bottom" textRotation="0" wrapText="false" indent="0" shrinkToFit="false"/>
      <protection locked="true" hidden="false"/>
    </xf>
    <xf numFmtId="164" fontId="26" fillId="3" borderId="0" xfId="0" applyFont="true" applyBorder="false" applyAlignment="true" applyProtection="true">
      <alignment horizontal="general" vertical="bottom" textRotation="0" wrapText="false" indent="0" shrinkToFit="false"/>
      <protection locked="true" hidden="false"/>
    </xf>
    <xf numFmtId="165" fontId="24" fillId="3" borderId="0" xfId="0" applyFont="true" applyBorder="false" applyAlignment="true" applyProtection="true">
      <alignment horizontal="general" vertical="bottom" textRotation="0" wrapText="false" indent="0" shrinkToFit="false"/>
      <protection locked="true" hidden="false"/>
    </xf>
    <xf numFmtId="164" fontId="24" fillId="10" borderId="0" xfId="0" applyFont="true" applyBorder="false" applyAlignment="true" applyProtection="true">
      <alignment horizontal="general" vertical="bottom" textRotation="0" wrapText="false" indent="0" shrinkToFit="false"/>
      <protection locked="true" hidden="false"/>
    </xf>
    <xf numFmtId="164" fontId="24" fillId="11" borderId="0" xfId="0" applyFont="true" applyBorder="false" applyAlignment="true" applyProtection="true">
      <alignment horizontal="general" vertical="bottom" textRotation="0" wrapText="false" indent="0" shrinkToFit="false"/>
      <protection locked="true" hidden="false"/>
    </xf>
    <xf numFmtId="164" fontId="24" fillId="12" borderId="3" xfId="0" applyFont="true" applyBorder="true" applyAlignment="true" applyProtection="true">
      <alignment horizontal="general" vertical="bottom" textRotation="0" wrapText="false" indent="0" shrinkToFit="false"/>
      <protection locked="true" hidden="false"/>
    </xf>
    <xf numFmtId="164" fontId="24" fillId="13" borderId="0" xfId="0" applyFont="true" applyBorder="false" applyAlignment="true" applyProtection="true">
      <alignment horizontal="general" vertical="bottom" textRotation="0" wrapText="false" indent="0" shrinkToFit="false"/>
      <protection locked="true" hidden="false"/>
    </xf>
    <xf numFmtId="164" fontId="24" fillId="12" borderId="0" xfId="0" applyFont="true" applyBorder="false" applyAlignment="true" applyProtection="true">
      <alignment horizontal="general" vertical="bottom" textRotation="0" wrapText="false" indent="0" shrinkToFit="false"/>
      <protection locked="true" hidden="false"/>
    </xf>
    <xf numFmtId="164" fontId="24" fillId="14" borderId="0" xfId="0" applyFont="true" applyBorder="false" applyAlignment="true" applyProtection="true">
      <alignment horizontal="general" vertical="bottom" textRotation="0" wrapText="false" indent="0" shrinkToFit="false"/>
      <protection locked="true" hidden="false"/>
    </xf>
    <xf numFmtId="164" fontId="27" fillId="15" borderId="0" xfId="0" applyFont="true" applyBorder="false" applyAlignment="true" applyProtection="true">
      <alignment horizontal="general" vertical="bottom" textRotation="0" wrapText="false" indent="0" shrinkToFit="false"/>
      <protection locked="true" hidden="false"/>
    </xf>
    <xf numFmtId="164" fontId="24" fillId="0" borderId="4" xfId="0" applyFont="true" applyBorder="tru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true">
      <alignment horizontal="general" vertical="center" textRotation="0" wrapText="false" indent="0" shrinkToFit="false"/>
      <protection locked="true" hidden="false"/>
    </xf>
    <xf numFmtId="165" fontId="24" fillId="16" borderId="5" xfId="0" applyFont="true" applyBorder="true" applyAlignment="true" applyProtection="true">
      <alignment horizontal="center" vertical="center" textRotation="0" wrapText="false" indent="0" shrinkToFit="false"/>
      <protection locked="true" hidden="false"/>
    </xf>
    <xf numFmtId="164" fontId="24" fillId="0" borderId="6" xfId="0" applyFont="true" applyBorder="true" applyAlignment="true" applyProtection="true">
      <alignment horizontal="general" vertical="center" textRotation="0" wrapText="false" indent="0" shrinkToFit="false"/>
      <protection locked="true" hidden="false"/>
    </xf>
    <xf numFmtId="164" fontId="27" fillId="17" borderId="0" xfId="0" applyFont="true" applyBorder="false" applyAlignment="true" applyProtection="true">
      <alignment horizontal="general" vertical="bottom" textRotation="0" wrapText="false" indent="0" shrinkToFit="false"/>
      <protection locked="true" hidden="false"/>
    </xf>
    <xf numFmtId="164" fontId="24" fillId="9" borderId="5" xfId="0" applyFont="true" applyBorder="true" applyAlignment="true" applyProtection="true">
      <alignment horizontal="center" vertical="center" textRotation="0" wrapText="false" indent="0" shrinkToFit="false"/>
      <protection locked="true" hidden="false"/>
    </xf>
    <xf numFmtId="164" fontId="25" fillId="18" borderId="0" xfId="0" applyFont="true" applyBorder="fals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true">
      <alignment horizontal="left" vertical="center" textRotation="0" wrapText="false" indent="0" shrinkToFit="false"/>
      <protection locked="true" hidden="false"/>
    </xf>
    <xf numFmtId="164" fontId="24" fillId="0" borderId="6" xfId="0" applyFont="true" applyBorder="true" applyAlignment="true" applyProtection="true">
      <alignment horizontal="left" vertical="center" textRotation="0" wrapText="false" indent="0" shrinkToFit="false"/>
      <protection locked="true" hidden="false"/>
    </xf>
    <xf numFmtId="164" fontId="26" fillId="9" borderId="5" xfId="0" applyFont="true" applyBorder="true" applyAlignment="true" applyProtection="true">
      <alignment horizontal="center" vertical="center" textRotation="0" wrapText="false" indent="0" shrinkToFit="false"/>
      <protection locked="true" hidden="false"/>
    </xf>
    <xf numFmtId="164" fontId="26" fillId="0" borderId="5" xfId="0" applyFont="true" applyBorder="true" applyAlignment="true" applyProtection="true">
      <alignment horizontal="left" vertical="center" textRotation="0" wrapText="false" indent="0" shrinkToFit="false"/>
      <protection locked="true" hidden="false"/>
    </xf>
    <xf numFmtId="164" fontId="26" fillId="0" borderId="6" xfId="0" applyFont="true" applyBorder="true" applyAlignment="true" applyProtection="true">
      <alignment horizontal="left" vertical="center" textRotation="0" wrapText="false" indent="0" shrinkToFit="false"/>
      <protection locked="true" hidden="false"/>
    </xf>
    <xf numFmtId="164" fontId="26" fillId="19" borderId="4" xfId="0" applyFont="true" applyBorder="true" applyAlignment="true" applyProtection="true">
      <alignment horizontal="general" vertical="center" textRotation="0" wrapText="false" indent="0" shrinkToFit="false"/>
      <protection locked="true" hidden="false"/>
    </xf>
    <xf numFmtId="164" fontId="26" fillId="19" borderId="5" xfId="0" applyFont="true" applyBorder="true" applyAlignment="true" applyProtection="true">
      <alignment horizontal="general" vertical="center" textRotation="0" wrapText="false" indent="0" shrinkToFit="false"/>
      <protection locked="true" hidden="false"/>
    </xf>
    <xf numFmtId="165" fontId="26" fillId="19" borderId="5" xfId="0" applyFont="true" applyBorder="true" applyAlignment="true" applyProtection="true">
      <alignment horizontal="center" vertical="center" textRotation="0" wrapText="false" indent="0" shrinkToFit="false"/>
      <protection locked="true" hidden="false"/>
    </xf>
    <xf numFmtId="164" fontId="26" fillId="19" borderId="6" xfId="0" applyFont="true" applyBorder="true" applyAlignment="true" applyProtection="true">
      <alignment horizontal="general" vertical="center" textRotation="0" wrapText="false" indent="0" shrinkToFit="false"/>
      <protection locked="true" hidden="false"/>
    </xf>
    <xf numFmtId="164" fontId="26" fillId="20" borderId="0" xfId="0" applyFont="true" applyBorder="false" applyAlignment="true" applyProtection="true">
      <alignment horizontal="general" vertical="center" textRotation="0" wrapText="false" indent="0" shrinkToFit="false"/>
      <protection locked="true" hidden="false"/>
    </xf>
    <xf numFmtId="164" fontId="26" fillId="7" borderId="0" xfId="0" applyFont="true" applyBorder="false" applyAlignment="true" applyProtection="true">
      <alignment horizontal="general" vertical="center" textRotation="0" wrapText="false" indent="0" shrinkToFit="false"/>
      <protection locked="true" hidden="false"/>
    </xf>
    <xf numFmtId="164" fontId="26" fillId="7" borderId="0" xfId="0" applyFont="true" applyBorder="false" applyAlignment="true" applyProtection="true">
      <alignment horizontal="center" vertical="center" textRotation="0" wrapText="false" indent="0" shrinkToFit="false"/>
      <protection locked="true" hidden="false"/>
    </xf>
    <xf numFmtId="164" fontId="24" fillId="21" borderId="4" xfId="0" applyFont="true" applyBorder="true" applyAlignment="true" applyProtection="true">
      <alignment horizontal="general" vertical="center" textRotation="0" wrapText="false" indent="0" shrinkToFit="false"/>
      <protection locked="true" hidden="false"/>
    </xf>
    <xf numFmtId="164" fontId="24" fillId="21" borderId="5" xfId="0" applyFont="true" applyBorder="true" applyAlignment="true" applyProtection="true">
      <alignment horizontal="general" vertical="center" textRotation="0" wrapText="false" indent="0" shrinkToFit="false"/>
      <protection locked="true" hidden="false"/>
    </xf>
    <xf numFmtId="164" fontId="26" fillId="22" borderId="5" xfId="0" applyFont="true" applyBorder="true" applyAlignment="true" applyProtection="true">
      <alignment horizontal="center" vertical="center" textRotation="0" wrapText="false" indent="0" shrinkToFit="false"/>
      <protection locked="true" hidden="false"/>
    </xf>
    <xf numFmtId="164" fontId="24" fillId="21" borderId="6" xfId="0" applyFont="true" applyBorder="tru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right"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false" indent="0" shrinkToFit="false"/>
      <protection locked="true" hidden="false"/>
    </xf>
    <xf numFmtId="164" fontId="25" fillId="4" borderId="0" xfId="0" applyFont="true" applyBorder="true" applyAlignment="true" applyProtection="true">
      <alignment horizontal="general" vertical="center" textRotation="0" wrapText="true" indent="0" shrinkToFit="false"/>
      <protection locked="true" hidden="false"/>
    </xf>
    <xf numFmtId="164" fontId="29" fillId="7" borderId="0" xfId="0" applyFont="true" applyBorder="false" applyAlignment="true" applyProtection="true">
      <alignment horizontal="right" vertical="center" textRotation="0" wrapText="false" indent="0" shrinkToFit="false"/>
      <protection locked="true" hidden="false"/>
    </xf>
    <xf numFmtId="164" fontId="29" fillId="7" borderId="0" xfId="0" applyFont="true" applyBorder="false" applyAlignment="true" applyProtection="true">
      <alignment horizontal="general" vertical="center" textRotation="0" wrapText="false" indent="0" shrinkToFit="false"/>
      <protection locked="true" hidden="false"/>
    </xf>
    <xf numFmtId="164" fontId="26" fillId="23" borderId="0" xfId="0" applyFont="true" applyBorder="false" applyAlignment="true" applyProtection="true">
      <alignment horizontal="general" vertical="bottom" textRotation="0" wrapText="false" indent="0" shrinkToFit="false"/>
      <protection locked="true" hidden="false"/>
    </xf>
    <xf numFmtId="164" fontId="24" fillId="23"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26" fillId="24" borderId="0" xfId="0" applyFont="true" applyBorder="false" applyAlignment="true" applyProtection="true">
      <alignment horizontal="general" vertical="bottom" textRotation="0" wrapText="false" indent="0" shrinkToFit="false"/>
      <protection locked="true" hidden="false"/>
    </xf>
    <xf numFmtId="164" fontId="30" fillId="24" borderId="0" xfId="0" applyFont="true" applyBorder="false" applyAlignment="true" applyProtection="true">
      <alignment horizontal="center" vertical="bottom" textRotation="0" wrapText="false" indent="0" shrinkToFit="false"/>
      <protection locked="true" hidden="false"/>
    </xf>
    <xf numFmtId="164" fontId="24" fillId="24" borderId="0" xfId="0" applyFont="true" applyBorder="false" applyAlignment="true" applyProtection="true">
      <alignment horizontal="general" vertical="bottom" textRotation="0" wrapText="false" indent="0" shrinkToFit="false"/>
      <protection locked="true" hidden="false"/>
    </xf>
    <xf numFmtId="164" fontId="25" fillId="5" borderId="7" xfId="0" applyFont="true" applyBorder="true" applyAlignment="true" applyProtection="true">
      <alignment horizontal="general" vertical="center" textRotation="0" wrapText="false" indent="0" shrinkToFit="false"/>
      <protection locked="true" hidden="false"/>
    </xf>
    <xf numFmtId="164" fontId="25" fillId="5" borderId="7" xfId="0" applyFont="true" applyBorder="true" applyAlignment="true" applyProtection="true">
      <alignment horizontal="center" vertical="center" textRotation="0" wrapText="true" indent="0" shrinkToFit="false"/>
      <protection locked="true" hidden="false"/>
    </xf>
    <xf numFmtId="164" fontId="31" fillId="0" borderId="4" xfId="0" applyFont="true" applyBorder="true" applyAlignment="true" applyProtection="true">
      <alignment horizontal="general" vertical="center" textRotation="0" wrapText="false" indent="0" shrinkToFit="false"/>
      <protection locked="true" hidden="false"/>
    </xf>
    <xf numFmtId="164" fontId="31" fillId="0" borderId="4" xfId="0" applyFont="true" applyBorder="true" applyAlignment="true" applyProtection="true">
      <alignment horizontal="right" vertical="center" textRotation="0" wrapText="false" indent="0" shrinkToFit="false"/>
      <protection locked="true" hidden="false"/>
    </xf>
    <xf numFmtId="166" fontId="31" fillId="24" borderId="8" xfId="0" applyFont="true" applyBorder="true" applyAlignment="true" applyProtection="true">
      <alignment horizontal="right" vertical="center" textRotation="0" wrapText="true" indent="0" shrinkToFit="false"/>
      <protection locked="true" hidden="false"/>
    </xf>
    <xf numFmtId="164" fontId="32" fillId="0" borderId="5" xfId="0" applyFont="true" applyBorder="true" applyAlignment="true" applyProtection="true">
      <alignment horizontal="left" vertical="center" textRotation="0" wrapText="true" indent="0" shrinkToFit="false"/>
      <protection locked="true" hidden="false"/>
    </xf>
    <xf numFmtId="164" fontId="24" fillId="0" borderId="6" xfId="0" applyFont="true" applyBorder="true" applyAlignment="true" applyProtection="true">
      <alignment horizontal="general" vertical="bottom" textRotation="0" wrapText="false" indent="0" shrinkToFit="false"/>
      <protection locked="true" hidden="false"/>
    </xf>
    <xf numFmtId="164" fontId="33" fillId="0" borderId="4" xfId="0" applyFont="true" applyBorder="true" applyAlignment="true" applyProtection="true">
      <alignment horizontal="general" vertical="center" textRotation="0" wrapText="false" indent="0" shrinkToFit="false"/>
      <protection locked="true" hidden="false"/>
    </xf>
    <xf numFmtId="164" fontId="33" fillId="0" borderId="4" xfId="0" applyFont="true" applyBorder="true" applyAlignment="true" applyProtection="true">
      <alignment horizontal="right" vertical="center" textRotation="0" wrapText="false" indent="0" shrinkToFit="false"/>
      <protection locked="true" hidden="false"/>
    </xf>
    <xf numFmtId="166" fontId="33" fillId="24" borderId="8" xfId="0" applyFont="true" applyBorder="true" applyAlignment="true" applyProtection="true">
      <alignment horizontal="right" vertical="center" textRotation="0" wrapText="true" indent="0" shrinkToFit="false"/>
      <protection locked="true" hidden="false"/>
    </xf>
    <xf numFmtId="164" fontId="34" fillId="0" borderId="5" xfId="0" applyFont="true" applyBorder="true" applyAlignment="true" applyProtection="true">
      <alignment horizontal="left" vertical="center" textRotation="0" wrapText="true" indent="0" shrinkToFit="false"/>
      <protection locked="true" hidden="false"/>
    </xf>
    <xf numFmtId="164" fontId="24" fillId="24" borderId="0" xfId="0" applyFont="true" applyBorder="false" applyAlignment="true" applyProtection="true">
      <alignment horizontal="right" vertical="bottom" textRotation="0" wrapText="false" indent="0" shrinkToFit="false"/>
      <protection locked="true" hidden="false"/>
    </xf>
    <xf numFmtId="164" fontId="35" fillId="0" borderId="4" xfId="0" applyFont="true" applyBorder="true" applyAlignment="true" applyProtection="true">
      <alignment horizontal="general" vertical="center" textRotation="0" wrapText="false" indent="0" shrinkToFit="false"/>
      <protection locked="true" hidden="false"/>
    </xf>
    <xf numFmtId="164" fontId="35" fillId="0" borderId="4" xfId="0" applyFont="true" applyBorder="true" applyAlignment="true" applyProtection="true">
      <alignment horizontal="right" vertical="center" textRotation="0" wrapText="false" indent="0" shrinkToFit="false"/>
      <protection locked="true" hidden="false"/>
    </xf>
    <xf numFmtId="166" fontId="35" fillId="24" borderId="8" xfId="0" applyFont="true" applyBorder="true" applyAlignment="true" applyProtection="true">
      <alignment horizontal="right" vertical="center" textRotation="0" wrapText="true" indent="0" shrinkToFit="false"/>
      <protection locked="true" hidden="false"/>
    </xf>
    <xf numFmtId="164" fontId="29" fillId="7" borderId="0" xfId="0" applyFont="true" applyBorder="true" applyAlignment="true" applyProtection="true">
      <alignment horizontal="general" vertical="center" textRotation="0" wrapText="tru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6" fillId="25" borderId="0" xfId="0" applyFont="true" applyBorder="false" applyAlignment="true" applyProtection="true">
      <alignment horizontal="general" vertical="bottom" textRotation="0" wrapText="false" indent="0" shrinkToFit="false"/>
      <protection locked="true" hidden="false"/>
    </xf>
    <xf numFmtId="164" fontId="37" fillId="26" borderId="0" xfId="0" applyFont="true" applyBorder="false" applyAlignment="true" applyProtection="true">
      <alignment horizontal="general" vertical="center" textRotation="0" wrapText="false" indent="0" shrinkToFit="false"/>
      <protection locked="true" hidden="false"/>
    </xf>
    <xf numFmtId="164" fontId="38" fillId="8" borderId="0" xfId="0" applyFont="true" applyBorder="false" applyAlignment="true" applyProtection="true">
      <alignment horizontal="left" vertical="center" textRotation="0" wrapText="false" indent="0" shrinkToFit="false"/>
      <protection locked="true" hidden="false"/>
    </xf>
    <xf numFmtId="164" fontId="39" fillId="27" borderId="0" xfId="0" applyFont="true" applyBorder="true" applyAlignment="true" applyProtection="true">
      <alignment horizontal="left" vertical="center" textRotation="0" wrapText="false" indent="0" shrinkToFit="false"/>
      <protection locked="true" hidden="false"/>
    </xf>
    <xf numFmtId="164" fontId="40" fillId="7" borderId="0" xfId="0" applyFont="true" applyBorder="false" applyAlignment="true" applyProtection="true">
      <alignment horizontal="general" vertical="bottom" textRotation="0" wrapText="false" indent="0" shrinkToFit="false"/>
      <protection locked="true" hidden="false"/>
    </xf>
    <xf numFmtId="164" fontId="36" fillId="7" borderId="0" xfId="0" applyFont="true" applyBorder="false" applyAlignment="true" applyProtection="true">
      <alignment horizontal="general" vertical="bottom" textRotation="0" wrapText="false" indent="0" shrinkToFit="false"/>
      <protection locked="true" hidden="false"/>
    </xf>
    <xf numFmtId="164" fontId="41" fillId="28" borderId="0" xfId="0" applyFont="true" applyBorder="false" applyAlignment="true" applyProtection="true">
      <alignment horizontal="left" vertical="center" textRotation="0" wrapText="false" indent="0" shrinkToFit="false"/>
      <protection locked="true" hidden="false"/>
    </xf>
    <xf numFmtId="164" fontId="36" fillId="28" borderId="0" xfId="0" applyFont="true" applyBorder="false" applyAlignment="true" applyProtection="true">
      <alignment horizontal="general" vertical="bottom" textRotation="0" wrapText="false" indent="0" shrinkToFit="false"/>
      <protection locked="true" hidden="false"/>
    </xf>
    <xf numFmtId="164" fontId="42" fillId="28" borderId="0" xfId="0" applyFont="true" applyBorder="false" applyAlignment="true" applyProtection="true">
      <alignment horizontal="left" vertical="center" textRotation="0" wrapText="false" indent="0" shrinkToFit="false"/>
      <protection locked="true" hidden="false"/>
    </xf>
    <xf numFmtId="166" fontId="42" fillId="9" borderId="0" xfId="0" applyFont="true" applyBorder="false" applyAlignment="true" applyProtection="true">
      <alignment horizontal="right" vertical="center" textRotation="0" wrapText="false" indent="0" shrinkToFit="false"/>
      <protection locked="true" hidden="false"/>
    </xf>
    <xf numFmtId="164" fontId="43" fillId="28" borderId="0" xfId="0" applyFont="true" applyBorder="false" applyAlignment="true" applyProtection="true">
      <alignment horizontal="left" vertical="center" textRotation="0" wrapText="false" indent="0" shrinkToFit="false"/>
      <protection locked="true" hidden="false"/>
    </xf>
    <xf numFmtId="166" fontId="42" fillId="16" borderId="0" xfId="0" applyFont="true" applyBorder="false" applyAlignment="true" applyProtection="true">
      <alignment horizontal="right" vertical="center" textRotation="0" wrapText="false" indent="0" shrinkToFit="false"/>
      <protection locked="true" hidden="false"/>
    </xf>
    <xf numFmtId="166" fontId="44" fillId="19" borderId="0" xfId="0" applyFont="true" applyBorder="false" applyAlignment="true" applyProtection="true">
      <alignment horizontal="right" vertical="center" textRotation="0" wrapText="false" indent="0" shrinkToFit="false"/>
      <protection locked="true" hidden="false"/>
    </xf>
    <xf numFmtId="166" fontId="45" fillId="16" borderId="0" xfId="0" applyFont="true" applyBorder="false" applyAlignment="true" applyProtection="true">
      <alignment horizontal="right" vertical="center" textRotation="0" wrapText="false" indent="0" shrinkToFit="false"/>
      <protection locked="true" hidden="false"/>
    </xf>
    <xf numFmtId="166" fontId="46" fillId="19" borderId="0" xfId="0" applyFont="true" applyBorder="false" applyAlignment="true" applyProtection="true">
      <alignment horizontal="right" vertical="center" textRotation="0" wrapText="false" indent="0" shrinkToFit="false"/>
      <protection locked="true" hidden="false"/>
    </xf>
    <xf numFmtId="166" fontId="47" fillId="29" borderId="0" xfId="0" applyFont="true" applyBorder="false" applyAlignment="true" applyProtection="true">
      <alignment horizontal="right" vertical="center" textRotation="0" wrapText="false" indent="0" shrinkToFit="false"/>
      <protection locked="true" hidden="false"/>
    </xf>
    <xf numFmtId="164" fontId="48" fillId="28" borderId="0" xfId="0" applyFont="true" applyBorder="false" applyAlignment="true" applyProtection="true">
      <alignment horizontal="left" vertical="center" textRotation="0" wrapText="true" indent="0" shrinkToFit="false"/>
      <protection locked="true" hidden="false"/>
    </xf>
    <xf numFmtId="165" fontId="48" fillId="16" borderId="0" xfId="0" applyFont="true" applyBorder="false" applyAlignment="true" applyProtection="true">
      <alignment horizontal="left" vertical="center" textRotation="0" wrapText="true" indent="0" shrinkToFit="false"/>
      <protection locked="true" hidden="false"/>
    </xf>
    <xf numFmtId="164" fontId="48" fillId="28" borderId="0" xfId="0" applyFont="true" applyBorder="false" applyAlignment="true" applyProtection="true">
      <alignment horizontal="left" vertical="center" textRotation="0" wrapText="false" indent="0" shrinkToFit="false"/>
      <protection locked="true" hidden="false"/>
    </xf>
    <xf numFmtId="167" fontId="47" fillId="29" borderId="0" xfId="0" applyFont="true" applyBorder="false" applyAlignment="true" applyProtection="true">
      <alignment horizontal="right" vertical="center" textRotation="0" wrapText="false" indent="0" shrinkToFit="false"/>
      <protection locked="true" hidden="false"/>
    </xf>
    <xf numFmtId="168" fontId="48" fillId="16" borderId="0" xfId="0" applyFont="true" applyBorder="false" applyAlignment="true" applyProtection="true">
      <alignment horizontal="left" vertical="center" textRotation="0" wrapText="true" indent="0" shrinkToFit="false"/>
      <protection locked="true" hidden="false"/>
    </xf>
    <xf numFmtId="168" fontId="0" fillId="29" borderId="0" xfId="0" applyFont="false" applyBorder="false" applyAlignment="true" applyProtection="true">
      <alignment horizontal="left" vertical="center" textRotation="0" wrapText="true" indent="0" shrinkToFit="false"/>
      <protection locked="true" hidden="false"/>
    </xf>
    <xf numFmtId="168" fontId="48" fillId="29" borderId="0" xfId="0" applyFont="true" applyBorder="false" applyAlignment="true" applyProtection="true">
      <alignment horizontal="left" vertical="center" textRotation="0" wrapText="true" indent="0" shrinkToFit="false"/>
      <protection locked="true" hidden="false"/>
    </xf>
    <xf numFmtId="166" fontId="48" fillId="29" borderId="0" xfId="0" applyFont="true" applyBorder="false" applyAlignment="true" applyProtection="true">
      <alignment horizontal="left" vertical="center" textRotation="0" wrapText="true" indent="0" shrinkToFit="false"/>
      <protection locked="true" hidden="false"/>
    </xf>
    <xf numFmtId="164" fontId="49" fillId="27" borderId="0" xfId="0" applyFont="true" applyBorder="false" applyAlignment="true" applyProtection="true">
      <alignment horizontal="left" vertical="center" textRotation="0" wrapText="true" indent="0" shrinkToFit="false"/>
      <protection locked="true" hidden="false"/>
    </xf>
    <xf numFmtId="166" fontId="48" fillId="9" borderId="0" xfId="0" applyFont="true" applyBorder="false" applyAlignment="true" applyProtection="true">
      <alignment horizontal="left" vertical="center" textRotation="0" wrapText="true" indent="0" shrinkToFit="false"/>
      <protection locked="true" hidden="false"/>
    </xf>
    <xf numFmtId="166" fontId="48" fillId="16" borderId="0" xfId="0" applyFont="true" applyBorder="false" applyAlignment="true" applyProtection="true">
      <alignment horizontal="left" vertical="center" textRotation="0" wrapText="false" indent="0" shrinkToFit="false"/>
      <protection locked="true" hidden="false"/>
    </xf>
    <xf numFmtId="164" fontId="50" fillId="30" borderId="0" xfId="0" applyFont="true" applyBorder="true" applyAlignment="true" applyProtection="true">
      <alignment horizontal="general" vertical="center" textRotation="0" wrapText="true" indent="0" shrinkToFit="false"/>
      <protection locked="true" hidden="false"/>
    </xf>
    <xf numFmtId="164" fontId="51" fillId="27" borderId="0" xfId="0" applyFont="true" applyBorder="true" applyAlignment="true" applyProtection="true">
      <alignment horizontal="left" vertical="center" textRotation="0" wrapText="true" indent="0" shrinkToFit="false"/>
      <protection locked="true" hidden="false"/>
    </xf>
    <xf numFmtId="164" fontId="48" fillId="27" borderId="0" xfId="0" applyFont="true" applyBorder="true" applyAlignment="true" applyProtection="true">
      <alignment horizontal="left" vertical="center" textRotation="0" wrapText="true" indent="0" shrinkToFit="false"/>
      <protection locked="true" hidden="false"/>
    </xf>
    <xf numFmtId="169" fontId="46" fillId="19" borderId="0" xfId="0" applyFont="true" applyBorder="false" applyAlignment="true" applyProtection="true">
      <alignment horizontal="right" vertical="center" textRotation="0" wrapText="false" indent="0" shrinkToFit="false"/>
      <protection locked="true" hidden="false"/>
    </xf>
    <xf numFmtId="164" fontId="52" fillId="27" borderId="0" xfId="0" applyFont="true" applyBorder="true" applyAlignment="true" applyProtection="true">
      <alignment horizontal="left" vertical="center" textRotation="0" wrapText="true" indent="0" shrinkToFit="false"/>
      <protection locked="true" hidden="false"/>
    </xf>
    <xf numFmtId="164" fontId="53" fillId="9" borderId="0" xfId="0" applyFont="true" applyBorder="false" applyAlignment="true" applyProtection="true">
      <alignment horizontal="general" vertical="bottom" textRotation="0" wrapText="false" indent="0" shrinkToFit="false"/>
      <protection locked="true" hidden="false"/>
    </xf>
    <xf numFmtId="164" fontId="53" fillId="9" borderId="0" xfId="0" applyFont="true" applyBorder="false" applyAlignment="true" applyProtection="true">
      <alignment horizontal="general" vertical="bottom" textRotation="0" wrapText="true" indent="0" shrinkToFit="false"/>
      <protection locked="true" hidden="false"/>
    </xf>
    <xf numFmtId="164" fontId="54" fillId="8" borderId="0" xfId="0" applyFont="true" applyBorder="false" applyAlignment="true" applyProtection="true">
      <alignment horizontal="center" vertical="center" textRotation="0" wrapText="true" indent="0" shrinkToFit="false"/>
      <protection locked="true" hidden="false"/>
    </xf>
    <xf numFmtId="164" fontId="54" fillId="8" borderId="0" xfId="0" applyFont="true" applyBorder="false" applyAlignment="true" applyProtection="true">
      <alignment horizontal="left" vertical="top" textRotation="0" wrapText="true" indent="0" shrinkToFit="false"/>
      <protection locked="true" hidden="false"/>
    </xf>
    <xf numFmtId="164" fontId="0" fillId="9"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55" fillId="9" borderId="0" xfId="0" applyFont="true" applyBorder="false" applyAlignment="true" applyProtection="true">
      <alignment horizontal="general" vertical="top" textRotation="0" wrapText="tru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8" borderId="0" xfId="0" applyFont="true" applyBorder="false" applyAlignment="true" applyProtection="true">
      <alignment horizontal="center" vertical="center" textRotation="0" wrapText="tru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8" fillId="0" borderId="0" xfId="0" applyFont="true" applyBorder="false" applyAlignment="true" applyProtection="true">
      <alignment horizontal="general" vertical="center" textRotation="0" wrapText="true" indent="0" shrinkToFit="false"/>
      <protection locked="true" hidden="false"/>
    </xf>
    <xf numFmtId="164" fontId="21" fillId="0" borderId="0" xfId="0" applyFont="true" applyBorder="false" applyAlignment="true" applyProtection="true">
      <alignment horizontal="general" vertical="center" textRotation="0" wrapText="true" indent="0" shrinkToFit="false"/>
      <protection locked="true" hidden="false"/>
    </xf>
    <xf numFmtId="164" fontId="58" fillId="0" borderId="0" xfId="0" applyFont="true" applyBorder="fals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54" fillId="31" borderId="0" xfId="0" applyFont="true" applyBorder="true" applyAlignment="true" applyProtection="true">
      <alignment horizontal="left" vertical="center" textRotation="0" wrapText="tru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70" fontId="0" fillId="9"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60" fillId="32" borderId="0" xfId="0" applyFont="true" applyBorder="true" applyAlignment="true" applyProtection="true">
      <alignment horizontal="general" vertical="top" textRotation="0" wrapText="true" indent="0" shrinkToFit="false"/>
      <protection locked="true" hidden="false"/>
    </xf>
    <xf numFmtId="164" fontId="61" fillId="8" borderId="0" xfId="0" applyFont="true" applyBorder="false" applyAlignment="true" applyProtection="true">
      <alignment horizontal="center" vertical="center" textRotation="0" wrapText="true" indent="0" shrinkToFit="false"/>
      <protection locked="true" hidden="false"/>
    </xf>
    <xf numFmtId="164" fontId="0" fillId="33" borderId="0" xfId="0" applyFont="true" applyBorder="false" applyAlignment="true" applyProtection="true">
      <alignment horizontal="general" vertical="top" textRotation="0" wrapText="true" indent="0" shrinkToFit="false"/>
      <protection locked="true" hidden="false"/>
    </xf>
    <xf numFmtId="164" fontId="0" fillId="32"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true" applyAlignment="true" applyProtection="true">
      <alignment horizontal="general"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true" indent="0" shrinkToFit="false"/>
      <protection locked="true" hidden="false"/>
    </xf>
    <xf numFmtId="164" fontId="62" fillId="6" borderId="0" xfId="0" applyFont="true" applyBorder="true" applyAlignment="true" applyProtection="true">
      <alignment horizontal="left" vertical="center" textRotation="0" wrapText="true" indent="0" shrinkToFit="false"/>
      <protection locked="true" hidden="false"/>
    </xf>
    <xf numFmtId="164" fontId="63" fillId="4" borderId="1" xfId="0" applyFont="true" applyBorder="true" applyAlignment="true" applyProtection="true">
      <alignment horizontal="center" vertical="center" textRotation="0" wrapText="true" indent="0" shrinkToFit="false"/>
      <protection locked="true" hidden="false"/>
    </xf>
    <xf numFmtId="164" fontId="63" fillId="4" borderId="1" xfId="0" applyFont="true" applyBorder="true" applyAlignment="true" applyProtection="true">
      <alignment horizontal="left" vertical="center" textRotation="0" wrapText="true" indent="0" shrinkToFit="false"/>
      <protection locked="true" hidden="false"/>
    </xf>
    <xf numFmtId="171" fontId="13" fillId="0" borderId="1" xfId="0" applyFont="true" applyBorder="true" applyAlignment="true" applyProtection="true">
      <alignment horizontal="right" vertical="center" textRotation="0" wrapText="true" indent="0" shrinkToFit="false"/>
      <protection locked="true" hidden="false"/>
    </xf>
    <xf numFmtId="164" fontId="64" fillId="0" borderId="1" xfId="0" applyFont="true" applyBorder="true" applyAlignment="true" applyProtection="true">
      <alignment horizontal="center" vertical="center" textRotation="0" wrapText="true" indent="0" shrinkToFit="false"/>
      <protection locked="true" hidden="false"/>
    </xf>
    <xf numFmtId="164" fontId="65" fillId="0" borderId="1" xfId="0" applyFont="true" applyBorder="true" applyAlignment="true" applyProtection="true">
      <alignment horizontal="left" vertical="center" textRotation="0" wrapText="true" indent="0" shrinkToFit="false"/>
      <protection locked="true" hidden="false"/>
    </xf>
    <xf numFmtId="164" fontId="65" fillId="32" borderId="1" xfId="0" applyFont="true" applyBorder="true" applyAlignment="true" applyProtection="true">
      <alignment horizontal="general" vertical="top" textRotation="0" wrapText="true" indent="0" shrinkToFit="false"/>
      <protection locked="true" hidden="false"/>
    </xf>
    <xf numFmtId="171" fontId="66" fillId="0" borderId="1" xfId="0" applyFont="true" applyBorder="true" applyAlignment="true" applyProtection="true">
      <alignment horizontal="right" vertical="center" textRotation="0" wrapText="true" indent="0" shrinkToFit="false"/>
      <protection locked="true" hidden="false"/>
    </xf>
    <xf numFmtId="164" fontId="67" fillId="0" borderId="1" xfId="0" applyFont="true" applyBorder="true" applyAlignment="true" applyProtection="true">
      <alignment horizontal="center" vertical="center" textRotation="0" wrapText="true" indent="0" shrinkToFit="false"/>
      <protection locked="true" hidden="false"/>
    </xf>
    <xf numFmtId="164" fontId="58" fillId="0" borderId="1" xfId="0" applyFont="true" applyBorder="true" applyAlignment="true" applyProtection="true">
      <alignment horizontal="left" vertical="center" textRotation="0" wrapText="true" indent="0" shrinkToFit="false"/>
      <protection locked="true" hidden="false"/>
    </xf>
    <xf numFmtId="171" fontId="68" fillId="0" borderId="1" xfId="0" applyFont="true" applyBorder="true" applyAlignment="true" applyProtection="true">
      <alignment horizontal="right" vertical="center" textRotation="0" wrapText="true" indent="0" shrinkToFit="false"/>
      <protection locked="true" hidden="false"/>
    </xf>
    <xf numFmtId="164" fontId="69" fillId="32" borderId="1" xfId="0" applyFont="true" applyBorder="true" applyAlignment="true" applyProtection="true">
      <alignment horizontal="general" vertical="top" textRotation="0" wrapText="true" indent="0" shrinkToFit="false"/>
      <protection locked="true" hidden="false"/>
    </xf>
    <xf numFmtId="164" fontId="65" fillId="33" borderId="1" xfId="0" applyFont="true" applyBorder="true" applyAlignment="true" applyProtection="true">
      <alignment horizontal="general" vertical="top" textRotation="0" wrapText="true" indent="0" shrinkToFit="false"/>
      <protection locked="true" hidden="false"/>
    </xf>
    <xf numFmtId="164" fontId="69" fillId="33" borderId="1" xfId="0" applyFont="true" applyBorder="true" applyAlignment="true" applyProtection="true">
      <alignment horizontal="general" vertical="top" textRotation="0" wrapText="true" indent="0" shrinkToFit="false"/>
      <protection locked="true" hidden="false"/>
    </xf>
    <xf numFmtId="164" fontId="70" fillId="0" borderId="0" xfId="0" applyFont="true" applyBorder="true" applyAlignment="true" applyProtection="true">
      <alignment horizontal="left" vertical="center" textRotation="0" wrapText="true" indent="0" shrinkToFit="false"/>
      <protection locked="true" hidden="false"/>
    </xf>
    <xf numFmtId="164" fontId="23" fillId="0" borderId="0" xfId="0" applyFont="true" applyBorder="true" applyAlignment="true" applyProtection="true">
      <alignment horizontal="left" vertical="center" textRotation="0" wrapText="true" indent="0" shrinkToFit="false"/>
      <protection locked="true" hidden="false"/>
    </xf>
    <xf numFmtId="164" fontId="54" fillId="8"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8" fontId="7" fillId="34" borderId="9" xfId="0" applyFont="true" applyBorder="true" applyAlignment="true" applyProtection="true">
      <alignment horizontal="center" vertical="center" textRotation="0" wrapText="tru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70" fontId="7" fillId="34" borderId="9" xfId="0" applyFont="true" applyBorder="true" applyAlignment="true" applyProtection="true">
      <alignment horizontal="center" vertical="center" textRotation="0" wrapText="true" indent="0" shrinkToFit="false"/>
      <protection locked="true" hidden="false"/>
    </xf>
    <xf numFmtId="167" fontId="7" fillId="34" borderId="9" xfId="0" applyFont="true" applyBorder="true" applyAlignment="true" applyProtection="true">
      <alignment horizontal="center" vertical="center" textRotation="0" wrapText="true" indent="0" shrinkToFit="false"/>
      <protection locked="true" hidden="false"/>
    </xf>
    <xf numFmtId="164" fontId="63" fillId="35" borderId="9" xfId="0" applyFont="true" applyBorder="true" applyAlignment="true" applyProtection="true">
      <alignment horizontal="center" vertical="center" textRotation="0" wrapText="true" indent="0" shrinkToFit="false"/>
      <protection locked="true" hidden="false"/>
    </xf>
    <xf numFmtId="164" fontId="11" fillId="0" borderId="9" xfId="0" applyFont="true" applyBorder="true" applyAlignment="true" applyProtection="true">
      <alignment horizontal="left" vertical="center" textRotation="0" wrapText="false" indent="0" shrinkToFit="false"/>
      <protection locked="true" hidden="false"/>
    </xf>
    <xf numFmtId="166" fontId="17" fillId="0" borderId="9" xfId="0" applyFont="true" applyBorder="true" applyAlignment="true" applyProtection="true">
      <alignment horizontal="right" vertical="center" textRotation="0" wrapText="false" indent="0" shrinkToFit="false"/>
      <protection locked="true" hidden="false"/>
    </xf>
    <xf numFmtId="164" fontId="11" fillId="7" borderId="9" xfId="0" applyFont="true" applyBorder="true" applyAlignment="true" applyProtection="true">
      <alignment horizontal="left" vertical="center" textRotation="0" wrapText="false" indent="0" shrinkToFit="false"/>
      <protection locked="true" hidden="false"/>
    </xf>
    <xf numFmtId="166" fontId="17" fillId="7" borderId="9" xfId="0" applyFont="true" applyBorder="true" applyAlignment="true" applyProtection="true">
      <alignment horizontal="right" vertical="center"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71"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2" fillId="3" borderId="0" xfId="0" applyFont="true" applyBorder="true" applyAlignment="true" applyProtection="true">
      <alignment horizontal="general" vertical="bottom" textRotation="0" wrapText="false" indent="0" shrinkToFit="false"/>
      <protection locked="true" hidden="false"/>
    </xf>
    <xf numFmtId="164" fontId="73" fillId="0" borderId="0" xfId="0" applyFont="true" applyBorder="false" applyAlignment="true" applyProtection="true">
      <alignment horizontal="general" vertical="bottom" textRotation="0" wrapText="false" indent="0" shrinkToFit="false"/>
      <protection locked="true" hidden="false"/>
    </xf>
    <xf numFmtId="166" fontId="0" fillId="16" borderId="0" xfId="0" applyFont="false" applyBorder="false" applyAlignment="true" applyProtection="true">
      <alignment horizontal="general" vertical="bottom" textRotation="0" wrapText="false" indent="0" shrinkToFit="false"/>
      <protection locked="true" hidden="false"/>
    </xf>
    <xf numFmtId="168" fontId="0" fillId="9" borderId="0" xfId="0" applyFont="false" applyBorder="false" applyAlignment="true" applyProtection="true">
      <alignment horizontal="general" vertical="bottom" textRotation="0" wrapText="false" indent="0" shrinkToFit="false"/>
      <protection locked="true" hidden="false"/>
    </xf>
    <xf numFmtId="164" fontId="0" fillId="16" borderId="0" xfId="0" applyFont="true" applyBorder="false" applyAlignment="true" applyProtection="true">
      <alignment horizontal="general" vertical="bottom" textRotation="0" wrapText="false" indent="0" shrinkToFit="false"/>
      <protection locked="true" hidden="false"/>
    </xf>
    <xf numFmtId="168" fontId="0" fillId="16" borderId="0" xfId="0" applyFont="false" applyBorder="false" applyAlignment="true" applyProtection="true">
      <alignment horizontal="general" vertical="bottom" textRotation="0" wrapText="false" indent="0" shrinkToFit="false"/>
      <protection locked="true" hidden="false"/>
    </xf>
    <xf numFmtId="164" fontId="74" fillId="0" borderId="0" xfId="0" applyFont="true" applyBorder="false" applyAlignment="true" applyProtection="true">
      <alignment horizontal="general" vertical="top" textRotation="0" wrapText="true" indent="0" shrinkToFit="false"/>
      <protection locked="true" hidden="false"/>
    </xf>
    <xf numFmtId="164" fontId="74" fillId="0" borderId="0" xfId="0" applyFont="true" applyBorder="true" applyAlignment="true" applyProtection="true">
      <alignment horizontal="general" vertical="top" textRotation="0" wrapText="true" indent="0" shrinkToFit="false"/>
      <protection locked="true" hidden="false"/>
    </xf>
    <xf numFmtId="164" fontId="75" fillId="0" borderId="0" xfId="0" applyFont="true" applyBorder="false" applyAlignment="true" applyProtection="true">
      <alignment horizontal="general" vertical="bottom" textRotation="0" wrapText="false" indent="0" shrinkToFit="false"/>
      <protection locked="true" hidden="false"/>
    </xf>
    <xf numFmtId="164" fontId="76" fillId="2" borderId="0" xfId="0" applyFont="true" applyBorder="false" applyAlignment="true" applyProtection="true">
      <alignment horizontal="left" vertical="center" textRotation="0" wrapText="false" indent="0" shrinkToFit="false"/>
      <protection locked="true" hidden="false"/>
    </xf>
    <xf numFmtId="164" fontId="77" fillId="0" borderId="0" xfId="0" applyFont="true" applyBorder="true" applyAlignment="true" applyProtection="true">
      <alignment horizontal="general" vertical="center" textRotation="0" wrapText="true" indent="0" shrinkToFit="false"/>
      <protection locked="true" hidden="false"/>
    </xf>
    <xf numFmtId="164" fontId="76" fillId="6" borderId="0" xfId="0" applyFont="true" applyBorder="false" applyAlignment="true" applyProtection="true">
      <alignment horizontal="general" vertical="center" textRotation="0" wrapText="false" indent="0" shrinkToFit="false"/>
      <protection locked="true" hidden="false"/>
    </xf>
    <xf numFmtId="164" fontId="78" fillId="0" borderId="0" xfId="0" applyFont="true" applyBorder="false" applyAlignment="true" applyProtection="true">
      <alignment horizontal="left" vertical="center" textRotation="0" wrapText="true" indent="0" shrinkToFit="false"/>
      <protection locked="true" hidden="false"/>
    </xf>
    <xf numFmtId="164" fontId="79" fillId="0" borderId="10" xfId="0" applyFont="true" applyBorder="true" applyAlignment="true" applyProtection="true">
      <alignment horizontal="general" vertical="center" textRotation="0" wrapText="false" indent="0" shrinkToFit="false"/>
      <protection locked="true" hidden="false"/>
    </xf>
    <xf numFmtId="164" fontId="76" fillId="4" borderId="11" xfId="0" applyFont="true" applyBorder="true" applyAlignment="true" applyProtection="true">
      <alignment horizontal="left" vertical="center" textRotation="0" wrapText="true" indent="0" shrinkToFit="false"/>
      <protection locked="true" hidden="false"/>
    </xf>
    <xf numFmtId="164" fontId="78" fillId="0" borderId="11" xfId="0" applyFont="true" applyBorder="true" applyAlignment="true" applyProtection="true">
      <alignment horizontal="left" vertical="center" textRotation="0" wrapText="true" indent="0" shrinkToFit="false"/>
      <protection locked="true" hidden="false"/>
    </xf>
    <xf numFmtId="171" fontId="75" fillId="0" borderId="0" xfId="0" applyFont="true" applyBorder="false" applyAlignment="true" applyProtection="true">
      <alignment horizontal="general" vertical="center" textRotation="0" wrapText="false" indent="0" shrinkToFit="false"/>
      <protection locked="true" hidden="false"/>
    </xf>
    <xf numFmtId="164" fontId="75" fillId="0" borderId="0" xfId="0" applyFont="true" applyBorder="false" applyAlignment="true" applyProtection="true">
      <alignment horizontal="general" vertical="center" textRotation="0" wrapText="false" indent="0" shrinkToFit="false"/>
      <protection locked="true" hidden="false"/>
    </xf>
    <xf numFmtId="164" fontId="80" fillId="0" borderId="11" xfId="0" applyFont="true" applyBorder="true" applyAlignment="true" applyProtection="true">
      <alignment horizontal="left" vertical="center" textRotation="0" wrapText="true" indent="0" shrinkToFit="false"/>
      <protection locked="true" hidden="false"/>
    </xf>
    <xf numFmtId="164" fontId="81" fillId="0" borderId="11" xfId="0" applyFont="true" applyBorder="true" applyAlignment="true" applyProtection="true">
      <alignment horizontal="left" vertical="center" textRotation="0" wrapText="true" indent="0" shrinkToFit="false"/>
      <protection locked="true" hidden="false"/>
    </xf>
    <xf numFmtId="164" fontId="80" fillId="0" borderId="11" xfId="0" applyFont="true" applyBorder="true" applyAlignment="true" applyProtection="true">
      <alignment horizontal="center" vertical="center" textRotation="0" wrapText="true" indent="0" shrinkToFit="false"/>
      <protection locked="true" hidden="false"/>
    </xf>
    <xf numFmtId="164" fontId="81" fillId="0" borderId="11" xfId="0" applyFont="true" applyBorder="true" applyAlignment="true" applyProtection="true">
      <alignment horizontal="left" vertical="center" textRotation="0" wrapText="false" indent="0" shrinkToFit="false"/>
      <protection locked="true" hidden="false"/>
    </xf>
    <xf numFmtId="164" fontId="82" fillId="0" borderId="0" xfId="0" applyFont="true" applyBorder="false" applyAlignment="true" applyProtection="true">
      <alignment horizontal="general" vertical="center" textRotation="0" wrapText="false" indent="0" shrinkToFit="false"/>
      <protection locked="true" hidden="false"/>
    </xf>
    <xf numFmtId="164" fontId="83" fillId="0" borderId="0" xfId="0" applyFont="true" applyBorder="false" applyAlignment="true" applyProtection="true">
      <alignment horizontal="general" vertical="center" textRotation="0" wrapText="false" indent="0" shrinkToFit="false"/>
      <protection locked="true" hidden="false"/>
    </xf>
    <xf numFmtId="164" fontId="76" fillId="5" borderId="0" xfId="0" applyFont="true" applyBorder="false" applyAlignment="true" applyProtection="true">
      <alignment horizontal="general" vertical="center" textRotation="0" wrapText="false" indent="0" shrinkToFit="false"/>
      <protection locked="true" hidden="false"/>
    </xf>
    <xf numFmtId="164" fontId="76" fillId="4" borderId="11" xfId="0" applyFont="true" applyBorder="true" applyAlignment="true" applyProtection="true">
      <alignment horizontal="general" vertical="center" textRotation="0" wrapText="false" indent="0" shrinkToFit="false"/>
      <protection locked="true" hidden="false"/>
    </xf>
    <xf numFmtId="164" fontId="84" fillId="0" borderId="11" xfId="0" applyFont="true" applyBorder="true" applyAlignment="true" applyProtection="true">
      <alignment horizontal="general" vertical="center" textRotation="0" wrapText="false" indent="0" shrinkToFit="false"/>
      <protection locked="true" hidden="false"/>
    </xf>
    <xf numFmtId="164" fontId="81" fillId="0" borderId="11" xfId="0" applyFont="true" applyBorder="true" applyAlignment="true" applyProtection="true">
      <alignment horizontal="general" vertical="center" textRotation="0" wrapText="false" indent="0" shrinkToFit="false"/>
      <protection locked="true" hidden="false"/>
    </xf>
    <xf numFmtId="164" fontId="75" fillId="0" borderId="12" xfId="0" applyFont="true" applyBorder="true" applyAlignment="true" applyProtection="true">
      <alignment horizontal="general" vertical="bottom" textRotation="0" wrapText="false" indent="0" shrinkToFit="false"/>
      <protection locked="true" hidden="false"/>
    </xf>
    <xf numFmtId="164" fontId="75" fillId="0" borderId="13" xfId="0" applyFont="true" applyBorder="true" applyAlignment="true" applyProtection="true">
      <alignment horizontal="general" vertical="bottom" textRotation="0" wrapText="false" indent="0" shrinkToFit="false"/>
      <protection locked="true" hidden="false"/>
    </xf>
    <xf numFmtId="164" fontId="76" fillId="35" borderId="0" xfId="0" applyFont="true" applyBorder="false" applyAlignment="true" applyProtection="true">
      <alignment horizontal="general" vertical="center" textRotation="0" wrapText="false" indent="0" shrinkToFit="false"/>
      <protection locked="true" hidden="false"/>
    </xf>
    <xf numFmtId="164" fontId="76" fillId="4" borderId="0" xfId="0" applyFont="true" applyBorder="false" applyAlignment="true" applyProtection="true">
      <alignment horizontal="general" vertical="center" textRotation="0" wrapText="false" indent="0" shrinkToFit="false"/>
      <protection locked="true" hidden="false"/>
    </xf>
    <xf numFmtId="164" fontId="81" fillId="0" borderId="0" xfId="0" applyFont="true" applyBorder="false" applyAlignment="true" applyProtection="true">
      <alignment horizontal="general" vertical="center" textRotation="0" wrapText="false" indent="0" shrinkToFit="false"/>
      <protection locked="true" hidden="false"/>
    </xf>
    <xf numFmtId="164" fontId="85" fillId="0" borderId="0" xfId="0" applyFont="true" applyBorder="false" applyAlignment="true" applyProtection="true">
      <alignment horizontal="general" vertical="center" textRotation="0" wrapText="false" indent="0" shrinkToFit="false"/>
      <protection locked="true" hidden="false"/>
    </xf>
    <xf numFmtId="164" fontId="86" fillId="0" borderId="0" xfId="0" applyFont="true" applyBorder="false" applyAlignment="true" applyProtection="true">
      <alignment horizontal="general" vertical="center" textRotation="0" wrapText="false" indent="0" shrinkToFit="false"/>
      <protection locked="true" hidden="false"/>
    </xf>
    <xf numFmtId="164" fontId="75" fillId="0" borderId="0" xfId="0" applyFont="true" applyBorder="false" applyAlignment="true" applyProtection="true">
      <alignment horizontal="general" vertical="bottom" textRotation="0" wrapText="true" indent="0" shrinkToFit="false"/>
      <protection locked="true" hidden="false"/>
    </xf>
    <xf numFmtId="164" fontId="82" fillId="0" borderId="14" xfId="0" applyFont="true" applyBorder="true" applyAlignment="true" applyProtection="true">
      <alignment horizontal="general" vertical="center" textRotation="0" wrapText="false" indent="0" shrinkToFit="false"/>
      <protection locked="true" hidden="false"/>
    </xf>
    <xf numFmtId="164" fontId="75" fillId="12" borderId="3" xfId="0" applyFont="true" applyBorder="true" applyAlignment="true" applyProtection="true">
      <alignment horizontal="general" vertical="bottom" textRotation="0" wrapText="false" indent="0" shrinkToFit="false"/>
      <protection locked="true" hidden="false"/>
    </xf>
    <xf numFmtId="171" fontId="75" fillId="36" borderId="0" xfId="0" applyFont="true" applyBorder="false" applyAlignment="true" applyProtection="true">
      <alignment horizontal="general" vertical="center" textRotation="0" wrapText="false" indent="0" shrinkToFit="false"/>
      <protection locked="true" hidden="false"/>
    </xf>
    <xf numFmtId="171" fontId="75" fillId="23" borderId="0" xfId="0" applyFont="true" applyBorder="false" applyAlignment="true" applyProtection="true">
      <alignment horizontal="general" vertical="center" textRotation="0" wrapText="false" indent="0" shrinkToFit="false"/>
      <protection locked="true" hidden="false"/>
    </xf>
    <xf numFmtId="171" fontId="75" fillId="12" borderId="3" xfId="0" applyFont="true" applyBorder="true" applyAlignment="true" applyProtection="true">
      <alignment horizontal="general" vertical="center" textRotation="0" wrapText="false" indent="0" shrinkToFit="false"/>
      <protection locked="true" hidden="false"/>
    </xf>
    <xf numFmtId="164" fontId="53" fillId="3" borderId="0" xfId="0" applyFont="true" applyBorder="false" applyAlignment="true" applyProtection="true">
      <alignment horizontal="general" vertical="bottom" textRotation="0" wrapText="false" indent="0" shrinkToFit="false"/>
      <protection locked="true" hidden="false"/>
    </xf>
    <xf numFmtId="164" fontId="87" fillId="2" borderId="0" xfId="0" applyFont="true" applyBorder="false" applyAlignment="true" applyProtection="true">
      <alignment horizontal="general" vertical="bottom" textRotation="0" wrapText="false" indent="0" shrinkToFit="false"/>
      <protection locked="true" hidden="false"/>
    </xf>
    <xf numFmtId="164" fontId="88"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89" fillId="0" borderId="0" xfId="0" applyFont="true" applyBorder="false" applyAlignment="true" applyProtection="true">
      <alignment horizontal="general" vertical="center" textRotation="0" wrapText="false" indent="0" shrinkToFit="false"/>
      <protection locked="true" hidden="false"/>
    </xf>
    <xf numFmtId="164" fontId="90" fillId="22" borderId="0" xfId="0" applyFont="true" applyBorder="false" applyAlignment="true" applyProtection="true">
      <alignment horizontal="center" vertical="center" textRotation="0" wrapText="true" indent="0" shrinkToFit="false"/>
      <protection locked="true" hidden="false"/>
    </xf>
    <xf numFmtId="164" fontId="48" fillId="2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56"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54" fillId="37" borderId="0" xfId="0" applyFont="true" applyBorder="false" applyAlignment="true" applyProtection="true">
      <alignment horizontal="general" vertical="top" textRotation="0" wrapText="true" indent="0" shrinkToFit="false"/>
      <protection locked="true" hidden="false"/>
    </xf>
    <xf numFmtId="164" fontId="53" fillId="27" borderId="0" xfId="0" applyFont="true" applyBorder="false" applyAlignment="true" applyProtection="true">
      <alignment horizontal="general" vertical="top" textRotation="0" wrapText="true" indent="0" shrinkToFit="false"/>
      <protection locked="true" hidden="false"/>
    </xf>
    <xf numFmtId="166" fontId="0" fillId="0" borderId="0" xfId="0" applyFont="fals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91"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true" indent="0" shrinkToFit="false"/>
      <protection locked="true" hidden="false"/>
    </xf>
    <xf numFmtId="164" fontId="68"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54" fillId="37" borderId="0" xfId="0" applyFont="true" applyBorder="false" applyAlignment="true" applyProtection="true">
      <alignment horizontal="general" vertical="bottom" textRotation="0" wrapText="true" indent="0" shrinkToFit="false"/>
      <protection locked="true" hidden="false"/>
    </xf>
    <xf numFmtId="164" fontId="92" fillId="0" borderId="0" xfId="0" applyFont="true" applyBorder="false" applyAlignment="true" applyProtection="true">
      <alignment horizontal="general" vertical="bottom" textRotation="0" wrapText="false" indent="0" shrinkToFit="false"/>
      <protection locked="true" hidden="false"/>
    </xf>
    <xf numFmtId="164" fontId="93" fillId="0" borderId="0" xfId="0" applyFont="true" applyBorder="false" applyAlignment="true" applyProtection="true">
      <alignment horizontal="general"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true" indent="0" shrinkToFit="false"/>
      <protection locked="true" hidden="false"/>
    </xf>
    <xf numFmtId="171" fontId="48" fillId="20" borderId="0" xfId="0" applyFont="true" applyBorder="false" applyAlignment="true" applyProtection="true">
      <alignment horizontal="general" vertical="bottom" textRotation="0" wrapText="false" indent="0" shrinkToFit="false"/>
      <protection locked="true" hidden="false"/>
    </xf>
    <xf numFmtId="164" fontId="48" fillId="20" borderId="0" xfId="0" applyFont="true" applyBorder="false" applyAlignment="true" applyProtection="true">
      <alignment horizontal="general" vertical="bottom" textRotation="0" wrapText="false" indent="0" shrinkToFit="false"/>
      <protection locked="true" hidden="false"/>
    </xf>
    <xf numFmtId="164" fontId="48" fillId="20" borderId="0" xfId="0" applyFont="true" applyBorder="false" applyAlignment="true" applyProtection="true">
      <alignment horizontal="general" vertical="bottom" textRotation="0" wrapText="true" indent="0" shrinkToFit="false"/>
      <protection locked="true" hidden="false"/>
    </xf>
    <xf numFmtId="164" fontId="56" fillId="33" borderId="0" xfId="0" applyFont="true" applyBorder="false" applyAlignment="true" applyProtection="true">
      <alignment horizontal="general" vertical="bottom" textRotation="0" wrapText="false" indent="0" shrinkToFit="false"/>
      <protection locked="true" hidden="false"/>
    </xf>
    <xf numFmtId="164" fontId="94" fillId="0" borderId="0" xfId="0" applyFont="true" applyBorder="false" applyAlignment="true" applyProtection="true">
      <alignment horizontal="general" vertical="top" textRotation="0" wrapText="true" indent="0" shrinkToFit="false"/>
      <protection locked="true" hidden="false"/>
    </xf>
    <xf numFmtId="164" fontId="56" fillId="0" borderId="0" xfId="0" applyFont="true" applyBorder="false" applyAlignment="true" applyProtection="true">
      <alignment horizontal="left" vertical="bottom" textRotation="0" wrapText="false" indent="0" shrinkToFit="false"/>
      <protection locked="true" hidden="false"/>
    </xf>
    <xf numFmtId="164" fontId="94"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95" fillId="0" borderId="0" xfId="0" applyFont="true" applyBorder="false" applyAlignment="true" applyProtection="true">
      <alignment horizontal="general" vertical="bottom" textRotation="0" wrapText="false" indent="0" shrinkToFit="false"/>
      <protection locked="true" hidden="false"/>
    </xf>
    <xf numFmtId="164" fontId="96" fillId="0" borderId="0" xfId="0" applyFont="true" applyBorder="false" applyAlignment="true" applyProtection="true">
      <alignment horizontal="general" vertical="bottom" textRotation="0" wrapText="false" indent="0" shrinkToFit="false"/>
      <protection locked="true" hidden="false"/>
    </xf>
    <xf numFmtId="164" fontId="97" fillId="0" borderId="0" xfId="0" applyFont="true" applyBorder="false" applyAlignment="true" applyProtection="true">
      <alignment horizontal="general" vertical="bottom" textRotation="0" wrapText="false" indent="0" shrinkToFit="false"/>
      <protection locked="true" hidden="false"/>
    </xf>
    <xf numFmtId="164" fontId="98" fillId="0" borderId="0" xfId="0" applyFont="true" applyBorder="false" applyAlignment="true" applyProtection="true">
      <alignment horizontal="general" vertical="bottom" textRotation="0" wrapText="false" indent="0" shrinkToFit="false"/>
      <protection locked="true" hidden="false"/>
    </xf>
    <xf numFmtId="164" fontId="99" fillId="0"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4" borderId="0" xfId="0" applyFont="true" applyBorder="false" applyAlignment="true" applyProtection="true">
      <alignment horizontal="general" vertical="bottom" textRotation="0" wrapText="false" indent="0" shrinkToFit="false"/>
      <protection locked="true" hidden="false"/>
    </xf>
    <xf numFmtId="164" fontId="100" fillId="15"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2F2F2"/>
      <rgbColor rgb="FF0000FF"/>
      <rgbColor rgb="FFFFFF00"/>
      <rgbColor rgb="FFFFF3D6"/>
      <rgbColor rgb="FFDBEAFE"/>
      <rgbColor rgb="FFC00000"/>
      <rgbColor rgb="FFF3F4F6"/>
      <rgbColor rgb="FF000080"/>
      <rgbColor rgb="FFB26A00"/>
      <rgbColor rgb="FF800080"/>
      <rgbColor rgb="FF0F766E"/>
      <rgbColor rgb="FFBFBFBF"/>
      <rgbColor rgb="FF808080"/>
      <rgbColor rgb="FFA6A6A6"/>
      <rgbColor rgb="FFB0143C"/>
      <rgbColor rgb="FFFEF9C3"/>
      <rgbColor rgb="FFE0F2FE"/>
      <rgbColor rgb="FF374151"/>
      <rgbColor rgb="FFE2E2E2"/>
      <rgbColor rgb="FF0070C0"/>
      <rgbColor rgb="FFD9D9D9"/>
      <rgbColor rgb="FF000080"/>
      <rgbColor rgb="FFFF00FF"/>
      <rgbColor rgb="FFFFF2CC"/>
      <rgbColor rgb="FFDCEAF7"/>
      <rgbColor rgb="FF800080"/>
      <rgbColor rgb="FF800000"/>
      <rgbColor rgb="FF1F6F6F"/>
      <rgbColor rgb="FF0000FF"/>
      <rgbColor rgb="FFF1F5F9"/>
      <rgbColor rgb="FFD9EAF7"/>
      <rgbColor rgb="FFD1FAE5"/>
      <rgbColor rgb="FFFEF3C7"/>
      <rgbColor rgb="FFA6CAEC"/>
      <rgbColor rgb="FFFBE3D6"/>
      <rgbColor rgb="FFDDDDDD"/>
      <rgbColor rgb="FFFDE68A"/>
      <rgbColor rgb="FF2563EB"/>
      <rgbColor rgb="FF84E291"/>
      <rgbColor rgb="FFE6E6E6"/>
      <rgbColor rgb="FFFFC000"/>
      <rgbColor rgb="FFE7E6E6"/>
      <rgbColor rgb="FFE5E7EB"/>
      <rgbColor rgb="FF4B5563"/>
      <rgbColor rgb="FF8C8C8C"/>
      <rgbColor rgb="FF1E293B"/>
      <rgbColor rgb="FF10B981"/>
      <rgbColor rgb="FF1A1A1A"/>
      <rgbColor rgb="FF1F2937"/>
      <rgbColor rgb="FF7C2D12"/>
      <rgbColor rgb="FFB91C1C"/>
      <rgbColor rgb="FF1F4E78"/>
      <rgbColor rgb="FF2E2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10440</xdr:colOff>
      <xdr:row>129</xdr:row>
      <xdr:rowOff>10440</xdr:rowOff>
    </xdr:from>
    <xdr:to>
      <xdr:col>9</xdr:col>
      <xdr:colOff>1198080</xdr:colOff>
      <xdr:row>155</xdr:row>
      <xdr:rowOff>8640</xdr:rowOff>
    </xdr:to>
    <xdr:pic>
      <xdr:nvPicPr>
        <xdr:cNvPr id="0" name="Graphic 2" descr=""/>
        <xdr:cNvPicPr/>
      </xdr:nvPicPr>
      <xdr:blipFill>
        <a:blip r:embed="rId1"/>
        <a:stretch/>
      </xdr:blipFill>
      <xdr:spPr>
        <a:xfrm>
          <a:off x="3697920" y="26718480"/>
          <a:ext cx="6061320" cy="4951440"/>
        </a:xfrm>
        <a:prstGeom prst="rect">
          <a:avLst/>
        </a:prstGeom>
        <a:ln w="0">
          <a:noFill/>
        </a:ln>
      </xdr:spPr>
    </xdr:pic>
    <xdr:clientData/>
  </xdr:twoCellAnchor>
  <xdr:twoCellAnchor editAs="oneCell">
    <xdr:from>
      <xdr:col>1</xdr:col>
      <xdr:colOff>10440</xdr:colOff>
      <xdr:row>129</xdr:row>
      <xdr:rowOff>10440</xdr:rowOff>
    </xdr:from>
    <xdr:to>
      <xdr:col>6</xdr:col>
      <xdr:colOff>681840</xdr:colOff>
      <xdr:row>175</xdr:row>
      <xdr:rowOff>8640</xdr:rowOff>
    </xdr:to>
    <xdr:pic>
      <xdr:nvPicPr>
        <xdr:cNvPr id="1" name="Graphic 4" descr=""/>
        <xdr:cNvPicPr/>
      </xdr:nvPicPr>
      <xdr:blipFill>
        <a:blip r:embed="rId2"/>
        <a:stretch/>
      </xdr:blipFill>
      <xdr:spPr>
        <a:xfrm>
          <a:off x="209880" y="26718480"/>
          <a:ext cx="6108840" cy="8761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2"/>
    <col collapsed="false" customWidth="true" hidden="false" outlineLevel="0" max="3" min="3" style="1" width="26"/>
    <col collapsed="false" customWidth="true" hidden="false" outlineLevel="0" max="4" min="4" style="1" width="62"/>
  </cols>
  <sheetData>
    <row r="2" customFormat="false" ht="33.75" hidden="false" customHeight="true" outlineLevel="0" collapsed="false">
      <c r="B2" s="2" t="s">
        <v>0</v>
      </c>
      <c r="C2" s="2"/>
      <c r="D2" s="2"/>
    </row>
    <row r="3" customFormat="false" ht="15" hidden="false" customHeight="true" outlineLevel="0" collapsed="false">
      <c r="B3" s="3" t="s">
        <v>1</v>
      </c>
    </row>
    <row r="4" customFormat="false" ht="15" hidden="false" customHeight="true" outlineLevel="0" collapsed="false">
      <c r="B4" s="4"/>
      <c r="C4" s="4"/>
    </row>
    <row r="5" customFormat="false" ht="15" hidden="false" customHeight="true" outlineLevel="0" collapsed="false">
      <c r="B5" s="5" t="s">
        <v>2</v>
      </c>
      <c r="C5" s="6" t="s">
        <v>3</v>
      </c>
    </row>
    <row r="6" customFormat="false" ht="15" hidden="false" customHeight="true" outlineLevel="0" collapsed="false">
      <c r="B6" s="5" t="s">
        <v>4</v>
      </c>
      <c r="C6" s="6" t="s">
        <v>5</v>
      </c>
    </row>
    <row r="7" customFormat="false" ht="15" hidden="false" customHeight="true" outlineLevel="0" collapsed="false">
      <c r="B7" s="5" t="s">
        <v>6</v>
      </c>
      <c r="C7" s="6" t="s">
        <v>7</v>
      </c>
    </row>
    <row r="8" customFormat="false" ht="15" hidden="false" customHeight="true" outlineLevel="0" collapsed="false">
      <c r="B8" s="5" t="s">
        <v>8</v>
      </c>
      <c r="C8" s="6" t="s">
        <v>9</v>
      </c>
    </row>
    <row r="9" customFormat="false" ht="15" hidden="false" customHeight="true" outlineLevel="0" collapsed="false">
      <c r="B9" s="5" t="s">
        <v>10</v>
      </c>
      <c r="C9" s="6" t="s">
        <v>11</v>
      </c>
    </row>
    <row r="10" customFormat="false" ht="15" hidden="false" customHeight="true" outlineLevel="0" collapsed="false">
      <c r="B10" s="5" t="s">
        <v>12</v>
      </c>
      <c r="C10" s="6" t="s">
        <v>13</v>
      </c>
    </row>
    <row r="11" customFormat="false" ht="15" hidden="false" customHeight="true" outlineLevel="0" collapsed="false">
      <c r="B11" s="4"/>
      <c r="C11" s="4"/>
    </row>
    <row r="12" customFormat="false" ht="30" hidden="false" customHeight="true" outlineLevel="0" collapsed="false">
      <c r="B12" s="7" t="s">
        <v>14</v>
      </c>
      <c r="C12" s="7"/>
      <c r="D12" s="7"/>
    </row>
    <row r="13" customFormat="false" ht="15" hidden="false" customHeight="true" outlineLevel="0" collapsed="false">
      <c r="B13" s="8" t="s">
        <v>15</v>
      </c>
      <c r="C13" s="8" t="s">
        <v>16</v>
      </c>
      <c r="D13" s="8" t="s">
        <v>17</v>
      </c>
    </row>
    <row r="14" customFormat="false" ht="15" hidden="false" customHeight="true" outlineLevel="0" collapsed="false">
      <c r="B14" s="9" t="s">
        <v>18</v>
      </c>
      <c r="C14" s="10" t="s">
        <v>19</v>
      </c>
      <c r="D14" s="11" t="s">
        <v>20</v>
      </c>
    </row>
    <row r="15" customFormat="false" ht="15" hidden="false" customHeight="true" outlineLevel="0" collapsed="false">
      <c r="B15" s="9" t="s">
        <v>21</v>
      </c>
      <c r="C15" s="10" t="s">
        <v>22</v>
      </c>
      <c r="D15" s="11" t="s">
        <v>23</v>
      </c>
    </row>
    <row r="16" customFormat="false" ht="15" hidden="false" customHeight="true" outlineLevel="0" collapsed="false">
      <c r="B16" s="9" t="s">
        <v>24</v>
      </c>
      <c r="C16" s="10" t="s">
        <v>25</v>
      </c>
      <c r="D16" s="11" t="s">
        <v>26</v>
      </c>
    </row>
    <row r="17" customFormat="false" ht="15" hidden="false" customHeight="true" outlineLevel="0" collapsed="false">
      <c r="B17" s="9" t="s">
        <v>24</v>
      </c>
      <c r="C17" s="10" t="s">
        <v>27</v>
      </c>
      <c r="D17" s="11" t="s">
        <v>28</v>
      </c>
    </row>
    <row r="18" customFormat="false" ht="15" hidden="false" customHeight="true" outlineLevel="0" collapsed="false">
      <c r="B18" s="9" t="s">
        <v>29</v>
      </c>
      <c r="C18" s="10" t="s">
        <v>30</v>
      </c>
      <c r="D18" s="11" t="s">
        <v>31</v>
      </c>
    </row>
    <row r="19" customFormat="false" ht="15" hidden="false" customHeight="true" outlineLevel="0" collapsed="false">
      <c r="B19" s="9" t="s">
        <v>29</v>
      </c>
      <c r="C19" s="10" t="s">
        <v>32</v>
      </c>
      <c r="D19" s="11" t="s">
        <v>33</v>
      </c>
    </row>
    <row r="20" customFormat="false" ht="15" hidden="false" customHeight="true" outlineLevel="0" collapsed="false">
      <c r="B20" s="9" t="s">
        <v>29</v>
      </c>
      <c r="C20" s="10" t="s">
        <v>34</v>
      </c>
      <c r="D20" s="11" t="s">
        <v>35</v>
      </c>
    </row>
    <row r="21" customFormat="false" ht="15" hidden="false" customHeight="true" outlineLevel="0" collapsed="false">
      <c r="B21" s="1" t="s">
        <v>36</v>
      </c>
      <c r="C21" s="1" t="s">
        <v>37</v>
      </c>
      <c r="D21" s="1" t="s">
        <v>38</v>
      </c>
    </row>
    <row r="22" customFormat="false" ht="15" hidden="false" customHeight="true" outlineLevel="0" collapsed="false">
      <c r="B22" s="9" t="s">
        <v>39</v>
      </c>
      <c r="C22" s="10" t="s">
        <v>40</v>
      </c>
      <c r="D22" s="11" t="s">
        <v>41</v>
      </c>
    </row>
    <row r="23" customFormat="false" ht="15" hidden="false" customHeight="true" outlineLevel="0" collapsed="false">
      <c r="B23" s="9" t="s">
        <v>39</v>
      </c>
      <c r="C23" s="10" t="s">
        <v>42</v>
      </c>
      <c r="D23" s="11" t="s">
        <v>43</v>
      </c>
    </row>
    <row r="24" customFormat="false" ht="15" hidden="false" customHeight="true" outlineLevel="0" collapsed="false">
      <c r="B24" s="9" t="s">
        <v>44</v>
      </c>
      <c r="C24" s="10" t="s">
        <v>45</v>
      </c>
      <c r="D24" s="11" t="s">
        <v>46</v>
      </c>
    </row>
    <row r="25" customFormat="false" ht="15" hidden="false" customHeight="true" outlineLevel="0" collapsed="false">
      <c r="B25" s="9" t="s">
        <v>47</v>
      </c>
      <c r="C25" s="10" t="s">
        <v>48</v>
      </c>
      <c r="D25" s="11" t="s">
        <v>49</v>
      </c>
    </row>
    <row r="26" customFormat="false" ht="15" hidden="false" customHeight="true" outlineLevel="0" collapsed="false">
      <c r="B26" s="9" t="s">
        <v>50</v>
      </c>
      <c r="C26" s="10" t="s">
        <v>51</v>
      </c>
      <c r="D26" s="11" t="s">
        <v>52</v>
      </c>
    </row>
    <row r="27" customFormat="false" ht="15" hidden="false" customHeight="true" outlineLevel="0" collapsed="false">
      <c r="B27" s="9" t="s">
        <v>50</v>
      </c>
      <c r="C27" s="10" t="s">
        <v>53</v>
      </c>
      <c r="D27" s="11" t="s">
        <v>54</v>
      </c>
    </row>
    <row r="28" customFormat="false" ht="15" hidden="false" customHeight="true" outlineLevel="0" collapsed="false">
      <c r="B28" s="9" t="s">
        <v>50</v>
      </c>
      <c r="C28" s="10" t="s">
        <v>55</v>
      </c>
      <c r="D28" s="11" t="s">
        <v>56</v>
      </c>
    </row>
    <row r="29" customFormat="false" ht="15" hidden="false" customHeight="true" outlineLevel="0" collapsed="false">
      <c r="B29" s="9" t="s">
        <v>50</v>
      </c>
      <c r="C29" s="10" t="s">
        <v>57</v>
      </c>
      <c r="D29" s="11" t="s">
        <v>58</v>
      </c>
    </row>
    <row r="30" customFormat="false" ht="30" hidden="false" customHeight="true" outlineLevel="0" collapsed="false"/>
    <row r="31" customFormat="false" ht="15" hidden="false" customHeight="true" outlineLevel="0" collapsed="false">
      <c r="B31" s="7" t="s">
        <v>59</v>
      </c>
      <c r="C31" s="7"/>
      <c r="D31" s="7"/>
    </row>
    <row r="32" customFormat="false" ht="15" hidden="false" customHeight="true" outlineLevel="0" collapsed="false">
      <c r="B32" s="12" t="s">
        <v>60</v>
      </c>
      <c r="C32" s="12"/>
      <c r="D32" s="12"/>
    </row>
    <row r="33" customFormat="false" ht="15" hidden="false" customHeight="true" outlineLevel="0" collapsed="false">
      <c r="B33" s="12" t="s">
        <v>61</v>
      </c>
      <c r="C33" s="12"/>
      <c r="D33" s="12"/>
    </row>
    <row r="34" customFormat="false" ht="15" hidden="false" customHeight="true" outlineLevel="0" collapsed="false">
      <c r="B34" s="12" t="s">
        <v>62</v>
      </c>
      <c r="C34" s="12"/>
      <c r="D34" s="12"/>
    </row>
    <row r="35" customFormat="false" ht="15" hidden="false" customHeight="true" outlineLevel="0" collapsed="false">
      <c r="B35" s="12" t="s">
        <v>63</v>
      </c>
      <c r="C35" s="12"/>
      <c r="D35" s="12"/>
    </row>
  </sheetData>
  <mergeCells count="6">
    <mergeCell ref="B12:D12"/>
    <mergeCell ref="B31:D31"/>
    <mergeCell ref="B32:D32"/>
    <mergeCell ref="B33:D33"/>
    <mergeCell ref="B34:D34"/>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5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4" style="1" width="52"/>
    <col collapsed="false" customWidth="true" hidden="false" outlineLevel="0" max="5" min="5" style="1" width="22"/>
    <col collapsed="false" customWidth="true" hidden="false" outlineLevel="0" max="6" min="6" style="1" width="7"/>
  </cols>
  <sheetData>
    <row r="2" customFormat="false" ht="33.75" hidden="false" customHeight="true" outlineLevel="0" collapsed="false">
      <c r="B2" s="2" t="s">
        <v>64</v>
      </c>
      <c r="C2" s="2"/>
      <c r="D2" s="2"/>
      <c r="E2" s="2"/>
      <c r="F2" s="2"/>
    </row>
    <row r="3" customFormat="false" ht="42" hidden="false" customHeight="true" outlineLevel="0" collapsed="false">
      <c r="B3" s="13" t="s">
        <v>65</v>
      </c>
      <c r="C3" s="13"/>
      <c r="D3" s="13"/>
      <c r="E3" s="13"/>
      <c r="F3" s="13"/>
    </row>
    <row r="4" customFormat="false" ht="15" hidden="false" customHeight="true" outlineLevel="0" collapsed="false">
      <c r="B4" s="14"/>
      <c r="C4" s="15"/>
      <c r="D4" s="15"/>
      <c r="E4" s="15"/>
      <c r="F4" s="15"/>
    </row>
    <row r="5" customFormat="false" ht="15" hidden="false" customHeight="true" outlineLevel="0" collapsed="false">
      <c r="B5" s="16" t="s">
        <v>66</v>
      </c>
    </row>
    <row r="6" customFormat="false" ht="15" hidden="false" customHeight="true" outlineLevel="0" collapsed="false">
      <c r="B6" s="17" t="s">
        <v>67</v>
      </c>
    </row>
    <row r="8" customFormat="false" ht="30" hidden="false" customHeight="true" outlineLevel="0" collapsed="false">
      <c r="B8" s="18" t="s">
        <v>68</v>
      </c>
      <c r="C8" s="18" t="s">
        <v>69</v>
      </c>
      <c r="D8" s="18" t="s">
        <v>70</v>
      </c>
      <c r="E8" s="18" t="s">
        <v>71</v>
      </c>
      <c r="F8" s="19" t="s">
        <v>72</v>
      </c>
    </row>
    <row r="9" customFormat="false" ht="30" hidden="false" customHeight="true" outlineLevel="0" collapsed="false">
      <c r="B9" s="20" t="s">
        <v>73</v>
      </c>
      <c r="C9" s="21"/>
      <c r="D9" s="21"/>
      <c r="E9" s="21"/>
      <c r="F9" s="21"/>
    </row>
    <row r="10" customFormat="false" ht="15" hidden="false" customHeight="true" outlineLevel="0" collapsed="false">
      <c r="B10" s="22"/>
      <c r="C10" s="23" t="s">
        <v>74</v>
      </c>
      <c r="D10" s="22"/>
      <c r="E10" s="22"/>
      <c r="F10" s="22"/>
    </row>
    <row r="11" customFormat="false" ht="15" hidden="false" customHeight="true" outlineLevel="0" collapsed="false">
      <c r="B11" s="24"/>
      <c r="C11" s="24"/>
      <c r="D11" s="25" t="s">
        <v>75</v>
      </c>
      <c r="E11" s="26" t="s">
        <v>76</v>
      </c>
      <c r="F11" s="27" t="s">
        <v>77</v>
      </c>
    </row>
    <row r="12" customFormat="false" ht="15" hidden="false" customHeight="true" outlineLevel="0" collapsed="false">
      <c r="B12" s="24"/>
      <c r="C12" s="24"/>
      <c r="D12" s="25" t="s">
        <v>78</v>
      </c>
      <c r="E12" s="26" t="s">
        <v>79</v>
      </c>
      <c r="F12" s="27" t="s">
        <v>77</v>
      </c>
    </row>
    <row r="13" customFormat="false" ht="15" hidden="false" customHeight="true" outlineLevel="0" collapsed="false">
      <c r="B13" s="24"/>
      <c r="C13" s="24"/>
      <c r="D13" s="25" t="s">
        <v>80</v>
      </c>
      <c r="E13" s="26" t="s">
        <v>81</v>
      </c>
      <c r="F13" s="27" t="s">
        <v>77</v>
      </c>
    </row>
    <row r="14" customFormat="false" ht="15" hidden="false" customHeight="true" outlineLevel="0" collapsed="false">
      <c r="B14" s="24"/>
      <c r="C14" s="24"/>
      <c r="D14" s="25" t="s">
        <v>82</v>
      </c>
      <c r="E14" s="26" t="s">
        <v>79</v>
      </c>
      <c r="F14" s="27"/>
    </row>
    <row r="15" customFormat="false" ht="15" hidden="false" customHeight="true" outlineLevel="0" collapsed="false">
      <c r="B15" s="24"/>
      <c r="C15" s="24"/>
      <c r="D15" s="25" t="s">
        <v>83</v>
      </c>
      <c r="E15" s="26" t="s">
        <v>84</v>
      </c>
      <c r="F15" s="27"/>
    </row>
    <row r="16" customFormat="false" ht="15" hidden="false" customHeight="true" outlineLevel="0" collapsed="false">
      <c r="B16" s="24"/>
      <c r="C16" s="24"/>
      <c r="D16" s="25" t="s">
        <v>85</v>
      </c>
      <c r="E16" s="26" t="s">
        <v>86</v>
      </c>
      <c r="F16" s="27"/>
    </row>
    <row r="17" customFormat="false" ht="15" hidden="false" customHeight="true" outlineLevel="0" collapsed="false">
      <c r="B17" s="22"/>
      <c r="C17" s="23" t="s">
        <v>87</v>
      </c>
      <c r="D17" s="22"/>
      <c r="E17" s="22"/>
      <c r="F17" s="22"/>
    </row>
    <row r="18" customFormat="false" ht="15" hidden="false" customHeight="true" outlineLevel="0" collapsed="false">
      <c r="B18" s="24"/>
      <c r="C18" s="24"/>
      <c r="D18" s="25" t="s">
        <v>88</v>
      </c>
      <c r="E18" s="26" t="s">
        <v>81</v>
      </c>
      <c r="F18" s="27" t="s">
        <v>77</v>
      </c>
    </row>
    <row r="19" customFormat="false" ht="15" hidden="false" customHeight="true" outlineLevel="0" collapsed="false">
      <c r="B19" s="24"/>
      <c r="C19" s="24"/>
      <c r="D19" s="25" t="s">
        <v>89</v>
      </c>
      <c r="E19" s="26" t="s">
        <v>79</v>
      </c>
      <c r="F19" s="27" t="s">
        <v>77</v>
      </c>
    </row>
    <row r="20" customFormat="false" ht="15" hidden="false" customHeight="true" outlineLevel="0" collapsed="false">
      <c r="B20" s="24"/>
      <c r="C20" s="24"/>
      <c r="D20" s="25" t="s">
        <v>90</v>
      </c>
      <c r="E20" s="26" t="s">
        <v>81</v>
      </c>
      <c r="F20" s="27" t="s">
        <v>77</v>
      </c>
    </row>
    <row r="21" customFormat="false" ht="15" hidden="false" customHeight="true" outlineLevel="0" collapsed="false">
      <c r="B21" s="24"/>
      <c r="C21" s="24"/>
      <c r="D21" s="25" t="s">
        <v>91</v>
      </c>
      <c r="E21" s="26" t="s">
        <v>84</v>
      </c>
      <c r="F21" s="27"/>
    </row>
    <row r="22" customFormat="false" ht="15" hidden="false" customHeight="true" outlineLevel="0" collapsed="false">
      <c r="B22" s="24"/>
      <c r="C22" s="24"/>
      <c r="D22" s="25" t="s">
        <v>92</v>
      </c>
      <c r="E22" s="26" t="s">
        <v>86</v>
      </c>
      <c r="F22" s="27"/>
    </row>
    <row r="23" customFormat="false" ht="15" hidden="false" customHeight="true" outlineLevel="0" collapsed="false">
      <c r="B23" s="22"/>
      <c r="C23" s="23" t="s">
        <v>93</v>
      </c>
      <c r="D23" s="22"/>
      <c r="E23" s="22"/>
      <c r="F23" s="22"/>
    </row>
    <row r="24" customFormat="false" ht="15" hidden="false" customHeight="true" outlineLevel="0" collapsed="false">
      <c r="B24" s="24"/>
      <c r="C24" s="24"/>
      <c r="D24" s="25" t="s">
        <v>94</v>
      </c>
      <c r="E24" s="26" t="s">
        <v>95</v>
      </c>
      <c r="F24" s="27" t="s">
        <v>77</v>
      </c>
    </row>
    <row r="25" customFormat="false" ht="15" hidden="false" customHeight="true" outlineLevel="0" collapsed="false">
      <c r="B25" s="24"/>
      <c r="C25" s="24"/>
      <c r="D25" s="25" t="s">
        <v>96</v>
      </c>
      <c r="E25" s="26" t="s">
        <v>95</v>
      </c>
      <c r="F25" s="27" t="s">
        <v>77</v>
      </c>
    </row>
    <row r="26" customFormat="false" ht="15" hidden="false" customHeight="true" outlineLevel="0" collapsed="false">
      <c r="B26" s="24"/>
      <c r="C26" s="24"/>
      <c r="D26" s="25" t="s">
        <v>97</v>
      </c>
      <c r="E26" s="26" t="s">
        <v>95</v>
      </c>
      <c r="F26" s="27" t="s">
        <v>77</v>
      </c>
    </row>
    <row r="27" customFormat="false" ht="15" hidden="false" customHeight="true" outlineLevel="0" collapsed="false">
      <c r="B27" s="24"/>
      <c r="C27" s="24"/>
      <c r="D27" s="25" t="s">
        <v>98</v>
      </c>
      <c r="E27" s="26" t="s">
        <v>95</v>
      </c>
      <c r="F27" s="27"/>
    </row>
    <row r="28" customFormat="false" ht="15" hidden="false" customHeight="true" outlineLevel="0" collapsed="false">
      <c r="B28" s="24"/>
      <c r="C28" s="24"/>
      <c r="D28" s="25" t="s">
        <v>99</v>
      </c>
      <c r="E28" s="26" t="s">
        <v>84</v>
      </c>
      <c r="F28" s="27"/>
    </row>
    <row r="29" customFormat="false" ht="15" hidden="false" customHeight="true" outlineLevel="0" collapsed="false">
      <c r="B29" s="24"/>
      <c r="C29" s="24"/>
      <c r="D29" s="25" t="s">
        <v>100</v>
      </c>
      <c r="E29" s="26" t="s">
        <v>95</v>
      </c>
      <c r="F29" s="27"/>
    </row>
    <row r="30" customFormat="false" ht="15" hidden="false" customHeight="true" outlineLevel="0" collapsed="false">
      <c r="B30" s="22"/>
      <c r="C30" s="23" t="s">
        <v>101</v>
      </c>
      <c r="D30" s="22"/>
      <c r="E30" s="22"/>
      <c r="F30" s="22"/>
    </row>
    <row r="31" customFormat="false" ht="15" hidden="false" customHeight="true" outlineLevel="0" collapsed="false">
      <c r="B31" s="24"/>
      <c r="C31" s="24"/>
      <c r="D31" s="25" t="s">
        <v>102</v>
      </c>
      <c r="E31" s="26" t="s">
        <v>76</v>
      </c>
      <c r="F31" s="27" t="s">
        <v>77</v>
      </c>
    </row>
    <row r="32" customFormat="false" ht="15" hidden="false" customHeight="true" outlineLevel="0" collapsed="false">
      <c r="B32" s="24"/>
      <c r="C32" s="24"/>
      <c r="D32" s="25" t="s">
        <v>103</v>
      </c>
      <c r="E32" s="26" t="s">
        <v>79</v>
      </c>
      <c r="F32" s="27" t="s">
        <v>77</v>
      </c>
    </row>
    <row r="33" customFormat="false" ht="15" hidden="false" customHeight="true" outlineLevel="0" collapsed="false">
      <c r="B33" s="24"/>
      <c r="C33" s="24"/>
      <c r="D33" s="25" t="s">
        <v>104</v>
      </c>
      <c r="E33" s="26" t="s">
        <v>81</v>
      </c>
      <c r="F33" s="27" t="s">
        <v>77</v>
      </c>
    </row>
    <row r="34" customFormat="false" ht="15" hidden="false" customHeight="true" outlineLevel="0" collapsed="false">
      <c r="B34" s="24"/>
      <c r="C34" s="24"/>
      <c r="D34" s="25" t="s">
        <v>105</v>
      </c>
      <c r="E34" s="26" t="s">
        <v>84</v>
      </c>
      <c r="F34" s="27"/>
    </row>
    <row r="35" customFormat="false" ht="15" hidden="false" customHeight="true" outlineLevel="0" collapsed="false">
      <c r="B35" s="24"/>
      <c r="C35" s="24"/>
      <c r="D35" s="25" t="s">
        <v>106</v>
      </c>
      <c r="E35" s="26" t="s">
        <v>107</v>
      </c>
      <c r="F35" s="27"/>
    </row>
    <row r="36" customFormat="false" ht="30" hidden="false" customHeight="true" outlineLevel="0" collapsed="false">
      <c r="B36" s="20" t="s">
        <v>108</v>
      </c>
      <c r="C36" s="21"/>
      <c r="D36" s="21"/>
      <c r="E36" s="21"/>
      <c r="F36" s="21"/>
    </row>
    <row r="37" customFormat="false" ht="15" hidden="false" customHeight="true" outlineLevel="0" collapsed="false">
      <c r="B37" s="22"/>
      <c r="C37" s="23" t="s">
        <v>109</v>
      </c>
      <c r="D37" s="22"/>
      <c r="E37" s="22"/>
      <c r="F37" s="22"/>
    </row>
    <row r="38" customFormat="false" ht="15" hidden="false" customHeight="true" outlineLevel="0" collapsed="false">
      <c r="B38" s="24"/>
      <c r="C38" s="24"/>
      <c r="D38" s="25" t="s">
        <v>110</v>
      </c>
      <c r="E38" s="26" t="s">
        <v>76</v>
      </c>
      <c r="F38" s="27" t="s">
        <v>77</v>
      </c>
    </row>
    <row r="39" customFormat="false" ht="15" hidden="false" customHeight="true" outlineLevel="0" collapsed="false">
      <c r="B39" s="24"/>
      <c r="C39" s="24"/>
      <c r="D39" s="25" t="s">
        <v>111</v>
      </c>
      <c r="E39" s="26" t="s">
        <v>79</v>
      </c>
      <c r="F39" s="27" t="s">
        <v>77</v>
      </c>
    </row>
    <row r="40" customFormat="false" ht="15" hidden="false" customHeight="true" outlineLevel="0" collapsed="false">
      <c r="B40" s="24"/>
      <c r="C40" s="24"/>
      <c r="D40" s="25" t="s">
        <v>112</v>
      </c>
      <c r="E40" s="26" t="s">
        <v>81</v>
      </c>
      <c r="F40" s="27" t="s">
        <v>77</v>
      </c>
    </row>
    <row r="41" customFormat="false" ht="15" hidden="false" customHeight="true" outlineLevel="0" collapsed="false">
      <c r="B41" s="24"/>
      <c r="C41" s="24"/>
      <c r="D41" s="25" t="s">
        <v>113</v>
      </c>
      <c r="E41" s="26" t="s">
        <v>84</v>
      </c>
      <c r="F41" s="27" t="s">
        <v>77</v>
      </c>
    </row>
    <row r="42" customFormat="false" ht="15" hidden="false" customHeight="true" outlineLevel="0" collapsed="false">
      <c r="B42" s="24"/>
      <c r="C42" s="24"/>
      <c r="D42" s="25" t="s">
        <v>114</v>
      </c>
      <c r="E42" s="26" t="s">
        <v>86</v>
      </c>
      <c r="F42" s="27"/>
    </row>
    <row r="43" customFormat="false" ht="15" hidden="false" customHeight="true" outlineLevel="0" collapsed="false">
      <c r="B43" s="24"/>
      <c r="C43" s="24"/>
      <c r="D43" s="25" t="s">
        <v>115</v>
      </c>
      <c r="E43" s="26" t="s">
        <v>107</v>
      </c>
      <c r="F43" s="27"/>
    </row>
    <row r="44" customFormat="false" ht="15" hidden="false" customHeight="true" outlineLevel="0" collapsed="false">
      <c r="B44" s="22"/>
      <c r="C44" s="23" t="s">
        <v>116</v>
      </c>
      <c r="D44" s="22"/>
      <c r="E44" s="22"/>
      <c r="F44" s="22"/>
    </row>
    <row r="45" customFormat="false" ht="15" hidden="false" customHeight="true" outlineLevel="0" collapsed="false">
      <c r="B45" s="24"/>
      <c r="C45" s="24"/>
      <c r="D45" s="25" t="s">
        <v>117</v>
      </c>
      <c r="E45" s="26" t="s">
        <v>81</v>
      </c>
      <c r="F45" s="27" t="s">
        <v>77</v>
      </c>
    </row>
    <row r="46" customFormat="false" ht="15" hidden="false" customHeight="true" outlineLevel="0" collapsed="false">
      <c r="B46" s="24"/>
      <c r="C46" s="24"/>
      <c r="D46" s="25" t="s">
        <v>118</v>
      </c>
      <c r="E46" s="26" t="s">
        <v>95</v>
      </c>
      <c r="F46" s="27" t="s">
        <v>77</v>
      </c>
    </row>
    <row r="47" customFormat="false" ht="15" hidden="false" customHeight="true" outlineLevel="0" collapsed="false">
      <c r="B47" s="24"/>
      <c r="C47" s="24"/>
      <c r="D47" s="25" t="s">
        <v>119</v>
      </c>
      <c r="E47" s="26" t="s">
        <v>81</v>
      </c>
      <c r="F47" s="27" t="s">
        <v>77</v>
      </c>
    </row>
    <row r="48" customFormat="false" ht="15" hidden="false" customHeight="true" outlineLevel="0" collapsed="false">
      <c r="B48" s="24"/>
      <c r="C48" s="24"/>
      <c r="D48" s="25" t="s">
        <v>120</v>
      </c>
      <c r="E48" s="26" t="s">
        <v>81</v>
      </c>
      <c r="F48" s="27"/>
    </row>
    <row r="49" customFormat="false" ht="15" hidden="false" customHeight="true" outlineLevel="0" collapsed="false">
      <c r="B49" s="24"/>
      <c r="C49" s="24"/>
      <c r="D49" s="25" t="s">
        <v>121</v>
      </c>
      <c r="E49" s="26" t="s">
        <v>107</v>
      </c>
      <c r="F49" s="27"/>
    </row>
    <row r="50" customFormat="false" ht="15" hidden="false" customHeight="true" outlineLevel="0" collapsed="false">
      <c r="B50" s="22"/>
      <c r="C50" s="23" t="s">
        <v>122</v>
      </c>
      <c r="D50" s="22"/>
      <c r="E50" s="22"/>
      <c r="F50" s="22"/>
    </row>
    <row r="51" customFormat="false" ht="15" hidden="false" customHeight="true" outlineLevel="0" collapsed="false">
      <c r="B51" s="24"/>
      <c r="C51" s="24"/>
      <c r="D51" s="25" t="s">
        <v>123</v>
      </c>
      <c r="E51" s="26" t="s">
        <v>84</v>
      </c>
      <c r="F51" s="27" t="s">
        <v>77</v>
      </c>
    </row>
    <row r="52" customFormat="false" ht="15" hidden="false" customHeight="true" outlineLevel="0" collapsed="false">
      <c r="B52" s="24"/>
      <c r="C52" s="24"/>
      <c r="D52" s="25" t="s">
        <v>124</v>
      </c>
      <c r="E52" s="26" t="s">
        <v>79</v>
      </c>
      <c r="F52" s="27" t="s">
        <v>77</v>
      </c>
    </row>
    <row r="53" customFormat="false" ht="15" hidden="false" customHeight="true" outlineLevel="0" collapsed="false">
      <c r="B53" s="24"/>
      <c r="C53" s="24"/>
      <c r="D53" s="25" t="s">
        <v>125</v>
      </c>
      <c r="E53" s="26" t="s">
        <v>81</v>
      </c>
      <c r="F53" s="27" t="s">
        <v>77</v>
      </c>
    </row>
    <row r="54" customFormat="false" ht="15" hidden="false" customHeight="true" outlineLevel="0" collapsed="false">
      <c r="B54" s="24"/>
      <c r="C54" s="24"/>
      <c r="D54" s="25" t="s">
        <v>126</v>
      </c>
      <c r="E54" s="26" t="s">
        <v>86</v>
      </c>
      <c r="F54" s="27"/>
    </row>
    <row r="55" customFormat="false" ht="15" hidden="false" customHeight="true" outlineLevel="0" collapsed="false">
      <c r="B55" s="24"/>
      <c r="C55" s="24"/>
      <c r="D55" s="25" t="s">
        <v>127</v>
      </c>
      <c r="E55" s="26" t="s">
        <v>107</v>
      </c>
      <c r="F55" s="27"/>
    </row>
    <row r="56" customFormat="false" ht="15" hidden="false" customHeight="true" outlineLevel="0" collapsed="false">
      <c r="B56" s="22"/>
      <c r="C56" s="23" t="s">
        <v>128</v>
      </c>
      <c r="D56" s="22"/>
      <c r="E56" s="22"/>
      <c r="F56" s="22"/>
    </row>
    <row r="57" customFormat="false" ht="15" hidden="false" customHeight="true" outlineLevel="0" collapsed="false">
      <c r="B57" s="24"/>
      <c r="C57" s="24"/>
      <c r="D57" s="25" t="s">
        <v>129</v>
      </c>
      <c r="E57" s="26" t="s">
        <v>130</v>
      </c>
      <c r="F57" s="27" t="s">
        <v>77</v>
      </c>
    </row>
    <row r="58" customFormat="false" ht="15" hidden="false" customHeight="true" outlineLevel="0" collapsed="false">
      <c r="B58" s="24"/>
      <c r="C58" s="24"/>
      <c r="D58" s="25" t="s">
        <v>131</v>
      </c>
      <c r="E58" s="26" t="s">
        <v>81</v>
      </c>
      <c r="F58" s="27" t="s">
        <v>77</v>
      </c>
    </row>
    <row r="59" customFormat="false" ht="15" hidden="false" customHeight="true" outlineLevel="0" collapsed="false">
      <c r="B59" s="24"/>
      <c r="C59" s="24"/>
      <c r="D59" s="25" t="s">
        <v>132</v>
      </c>
      <c r="E59" s="26" t="s">
        <v>130</v>
      </c>
      <c r="F59" s="27" t="s">
        <v>77</v>
      </c>
    </row>
    <row r="60" customFormat="false" ht="15" hidden="false" customHeight="true" outlineLevel="0" collapsed="false">
      <c r="B60" s="24"/>
      <c r="C60" s="24"/>
      <c r="D60" s="25" t="s">
        <v>133</v>
      </c>
      <c r="E60" s="26" t="s">
        <v>84</v>
      </c>
      <c r="F60" s="27"/>
    </row>
    <row r="61" customFormat="false" ht="15" hidden="false" customHeight="true" outlineLevel="0" collapsed="false">
      <c r="B61" s="24"/>
      <c r="C61" s="24"/>
      <c r="D61" s="25" t="s">
        <v>134</v>
      </c>
      <c r="E61" s="26" t="s">
        <v>86</v>
      </c>
      <c r="F61" s="27"/>
    </row>
    <row r="62" customFormat="false" ht="15" hidden="false" customHeight="true" outlineLevel="0" collapsed="false">
      <c r="B62" s="22"/>
      <c r="C62" s="23" t="s">
        <v>135</v>
      </c>
      <c r="D62" s="22"/>
      <c r="E62" s="22"/>
      <c r="F62" s="22"/>
    </row>
    <row r="63" customFormat="false" ht="15" hidden="false" customHeight="true" outlineLevel="0" collapsed="false">
      <c r="B63" s="24"/>
      <c r="C63" s="24"/>
      <c r="D63" s="25" t="s">
        <v>136</v>
      </c>
      <c r="E63" s="26" t="s">
        <v>84</v>
      </c>
      <c r="F63" s="27" t="s">
        <v>77</v>
      </c>
    </row>
    <row r="64" customFormat="false" ht="15" hidden="false" customHeight="true" outlineLevel="0" collapsed="false">
      <c r="B64" s="24"/>
      <c r="C64" s="24"/>
      <c r="D64" s="25" t="s">
        <v>137</v>
      </c>
      <c r="E64" s="26" t="s">
        <v>84</v>
      </c>
      <c r="F64" s="27" t="s">
        <v>77</v>
      </c>
    </row>
    <row r="65" customFormat="false" ht="15" hidden="false" customHeight="true" outlineLevel="0" collapsed="false">
      <c r="B65" s="24"/>
      <c r="C65" s="24"/>
      <c r="D65" s="25" t="s">
        <v>138</v>
      </c>
      <c r="E65" s="26" t="s">
        <v>81</v>
      </c>
      <c r="F65" s="27" t="s">
        <v>77</v>
      </c>
    </row>
    <row r="66" customFormat="false" ht="15" hidden="false" customHeight="true" outlineLevel="0" collapsed="false">
      <c r="B66" s="24"/>
      <c r="C66" s="24"/>
      <c r="D66" s="25" t="s">
        <v>139</v>
      </c>
      <c r="E66" s="26" t="s">
        <v>95</v>
      </c>
      <c r="F66" s="27"/>
    </row>
    <row r="67" customFormat="false" ht="15" hidden="false" customHeight="true" outlineLevel="0" collapsed="false">
      <c r="B67" s="24"/>
      <c r="C67" s="24"/>
      <c r="D67" s="25" t="s">
        <v>140</v>
      </c>
      <c r="E67" s="26" t="s">
        <v>107</v>
      </c>
      <c r="F67" s="27"/>
    </row>
    <row r="68" customFormat="false" ht="30" hidden="false" customHeight="true" outlineLevel="0" collapsed="false">
      <c r="B68" s="20" t="s">
        <v>141</v>
      </c>
      <c r="C68" s="21"/>
      <c r="D68" s="21"/>
      <c r="E68" s="21"/>
      <c r="F68" s="21"/>
    </row>
    <row r="69" customFormat="false" ht="15" hidden="false" customHeight="true" outlineLevel="0" collapsed="false">
      <c r="B69" s="22"/>
      <c r="C69" s="23" t="s">
        <v>142</v>
      </c>
      <c r="D69" s="22"/>
      <c r="E69" s="22"/>
      <c r="F69" s="22"/>
    </row>
    <row r="70" customFormat="false" ht="15" hidden="false" customHeight="true" outlineLevel="0" collapsed="false">
      <c r="B70" s="24"/>
      <c r="C70" s="24"/>
      <c r="D70" s="25" t="s">
        <v>143</v>
      </c>
      <c r="E70" s="26" t="s">
        <v>130</v>
      </c>
      <c r="F70" s="27" t="s">
        <v>77</v>
      </c>
    </row>
    <row r="71" customFormat="false" ht="15" hidden="false" customHeight="true" outlineLevel="0" collapsed="false">
      <c r="B71" s="24"/>
      <c r="C71" s="24"/>
      <c r="D71" s="25" t="s">
        <v>144</v>
      </c>
      <c r="E71" s="26" t="s">
        <v>130</v>
      </c>
      <c r="F71" s="27" t="s">
        <v>77</v>
      </c>
    </row>
    <row r="72" customFormat="false" ht="15" hidden="false" customHeight="true" outlineLevel="0" collapsed="false">
      <c r="B72" s="24"/>
      <c r="C72" s="24"/>
      <c r="D72" s="25" t="s">
        <v>145</v>
      </c>
      <c r="E72" s="26" t="s">
        <v>86</v>
      </c>
      <c r="F72" s="27" t="s">
        <v>77</v>
      </c>
    </row>
    <row r="73" customFormat="false" ht="15" hidden="false" customHeight="true" outlineLevel="0" collapsed="false">
      <c r="B73" s="24"/>
      <c r="C73" s="24"/>
      <c r="D73" s="25" t="s">
        <v>146</v>
      </c>
      <c r="E73" s="26" t="s">
        <v>130</v>
      </c>
      <c r="F73" s="27"/>
    </row>
    <row r="74" customFormat="false" ht="15" hidden="false" customHeight="true" outlineLevel="0" collapsed="false">
      <c r="B74" s="24"/>
      <c r="C74" s="24"/>
      <c r="D74" s="25" t="s">
        <v>147</v>
      </c>
      <c r="E74" s="26" t="s">
        <v>84</v>
      </c>
      <c r="F74" s="27"/>
    </row>
    <row r="75" customFormat="false" ht="15" hidden="false" customHeight="true" outlineLevel="0" collapsed="false">
      <c r="B75" s="24"/>
      <c r="C75" s="24"/>
      <c r="D75" s="25" t="s">
        <v>148</v>
      </c>
      <c r="E75" s="26" t="s">
        <v>86</v>
      </c>
      <c r="F75" s="27"/>
    </row>
    <row r="76" customFormat="false" ht="15" hidden="false" customHeight="true" outlineLevel="0" collapsed="false">
      <c r="B76" s="22"/>
      <c r="C76" s="23" t="s">
        <v>149</v>
      </c>
      <c r="D76" s="22"/>
      <c r="E76" s="22"/>
      <c r="F76" s="22"/>
    </row>
    <row r="77" customFormat="false" ht="15" hidden="false" customHeight="true" outlineLevel="0" collapsed="false">
      <c r="B77" s="24"/>
      <c r="C77" s="24"/>
      <c r="D77" s="25" t="s">
        <v>150</v>
      </c>
      <c r="E77" s="26" t="s">
        <v>151</v>
      </c>
      <c r="F77" s="27" t="s">
        <v>77</v>
      </c>
    </row>
    <row r="78" customFormat="false" ht="15" hidden="false" customHeight="true" outlineLevel="0" collapsed="false">
      <c r="B78" s="24"/>
      <c r="C78" s="24"/>
      <c r="D78" s="25" t="s">
        <v>152</v>
      </c>
      <c r="E78" s="26" t="s">
        <v>107</v>
      </c>
      <c r="F78" s="27" t="s">
        <v>77</v>
      </c>
    </row>
    <row r="79" customFormat="false" ht="15" hidden="false" customHeight="true" outlineLevel="0" collapsed="false">
      <c r="B79" s="24"/>
      <c r="C79" s="24"/>
      <c r="D79" s="25" t="s">
        <v>153</v>
      </c>
      <c r="E79" s="26" t="s">
        <v>130</v>
      </c>
      <c r="F79" s="27" t="s">
        <v>77</v>
      </c>
    </row>
    <row r="80" customFormat="false" ht="15" hidden="false" customHeight="true" outlineLevel="0" collapsed="false">
      <c r="B80" s="24"/>
      <c r="C80" s="24"/>
      <c r="D80" s="25" t="s">
        <v>154</v>
      </c>
      <c r="E80" s="26" t="s">
        <v>155</v>
      </c>
      <c r="F80" s="27" t="s">
        <v>77</v>
      </c>
    </row>
    <row r="81" customFormat="false" ht="15" hidden="false" customHeight="true" outlineLevel="0" collapsed="false">
      <c r="B81" s="24"/>
      <c r="C81" s="24"/>
      <c r="D81" s="25" t="s">
        <v>156</v>
      </c>
      <c r="E81" s="26" t="s">
        <v>84</v>
      </c>
      <c r="F81" s="27"/>
    </row>
    <row r="82" customFormat="false" ht="15" hidden="false" customHeight="true" outlineLevel="0" collapsed="false">
      <c r="B82" s="24"/>
      <c r="C82" s="24"/>
      <c r="D82" s="25" t="s">
        <v>157</v>
      </c>
      <c r="E82" s="26" t="s">
        <v>86</v>
      </c>
      <c r="F82" s="27"/>
    </row>
    <row r="83" customFormat="false" ht="15" hidden="false" customHeight="true" outlineLevel="0" collapsed="false">
      <c r="B83" s="22"/>
      <c r="C83" s="23" t="s">
        <v>158</v>
      </c>
      <c r="D83" s="22"/>
      <c r="E83" s="22"/>
      <c r="F83" s="22"/>
    </row>
    <row r="84" customFormat="false" ht="15" hidden="false" customHeight="true" outlineLevel="0" collapsed="false">
      <c r="B84" s="24"/>
      <c r="C84" s="24"/>
      <c r="D84" s="25" t="s">
        <v>159</v>
      </c>
      <c r="E84" s="26" t="s">
        <v>81</v>
      </c>
      <c r="F84" s="27" t="s">
        <v>77</v>
      </c>
    </row>
    <row r="85" customFormat="false" ht="15" hidden="false" customHeight="true" outlineLevel="0" collapsed="false">
      <c r="B85" s="24"/>
      <c r="C85" s="24"/>
      <c r="D85" s="25" t="s">
        <v>160</v>
      </c>
      <c r="E85" s="26" t="s">
        <v>130</v>
      </c>
      <c r="F85" s="27" t="s">
        <v>77</v>
      </c>
    </row>
    <row r="86" customFormat="false" ht="15" hidden="false" customHeight="true" outlineLevel="0" collapsed="false">
      <c r="B86" s="24"/>
      <c r="C86" s="24"/>
      <c r="D86" s="25" t="s">
        <v>161</v>
      </c>
      <c r="E86" s="26" t="s">
        <v>84</v>
      </c>
      <c r="F86" s="27" t="s">
        <v>77</v>
      </c>
    </row>
    <row r="87" customFormat="false" ht="15" hidden="false" customHeight="true" outlineLevel="0" collapsed="false">
      <c r="B87" s="24"/>
      <c r="C87" s="24"/>
      <c r="D87" s="25" t="s">
        <v>162</v>
      </c>
      <c r="E87" s="26" t="s">
        <v>79</v>
      </c>
      <c r="F87" s="27"/>
    </row>
    <row r="88" customFormat="false" ht="15" hidden="false" customHeight="true" outlineLevel="0" collapsed="false">
      <c r="B88" s="24"/>
      <c r="C88" s="24"/>
      <c r="D88" s="25" t="s">
        <v>163</v>
      </c>
      <c r="E88" s="26" t="s">
        <v>86</v>
      </c>
      <c r="F88" s="27"/>
    </row>
    <row r="89" customFormat="false" ht="15" hidden="false" customHeight="true" outlineLevel="0" collapsed="false">
      <c r="B89" s="22"/>
      <c r="C89" s="23" t="s">
        <v>164</v>
      </c>
      <c r="D89" s="22"/>
      <c r="E89" s="22"/>
      <c r="F89" s="22"/>
    </row>
    <row r="90" customFormat="false" ht="15" hidden="false" customHeight="true" outlineLevel="0" collapsed="false">
      <c r="B90" s="24"/>
      <c r="C90" s="24"/>
      <c r="D90" s="25" t="s">
        <v>165</v>
      </c>
      <c r="E90" s="26" t="s">
        <v>76</v>
      </c>
      <c r="F90" s="27" t="s">
        <v>77</v>
      </c>
    </row>
    <row r="91" customFormat="false" ht="15" hidden="false" customHeight="true" outlineLevel="0" collapsed="false">
      <c r="B91" s="24"/>
      <c r="C91" s="24"/>
      <c r="D91" s="25" t="s">
        <v>166</v>
      </c>
      <c r="E91" s="26" t="s">
        <v>130</v>
      </c>
      <c r="F91" s="27" t="s">
        <v>77</v>
      </c>
    </row>
    <row r="92" customFormat="false" ht="15" hidden="false" customHeight="true" outlineLevel="0" collapsed="false">
      <c r="B92" s="24"/>
      <c r="C92" s="24"/>
      <c r="D92" s="25" t="s">
        <v>167</v>
      </c>
      <c r="E92" s="26" t="s">
        <v>84</v>
      </c>
      <c r="F92" s="27" t="s">
        <v>77</v>
      </c>
    </row>
    <row r="93" customFormat="false" ht="15" hidden="false" customHeight="true" outlineLevel="0" collapsed="false">
      <c r="B93" s="24"/>
      <c r="C93" s="24"/>
      <c r="D93" s="25" t="s">
        <v>168</v>
      </c>
      <c r="E93" s="26" t="s">
        <v>86</v>
      </c>
      <c r="F93" s="27"/>
    </row>
    <row r="94" customFormat="false" ht="15" hidden="false" customHeight="true" outlineLevel="0" collapsed="false">
      <c r="B94" s="24"/>
      <c r="C94" s="24"/>
      <c r="D94" s="25" t="s">
        <v>169</v>
      </c>
      <c r="E94" s="26" t="s">
        <v>107</v>
      </c>
      <c r="F94" s="27"/>
    </row>
    <row r="95" customFormat="false" ht="15" hidden="false" customHeight="true" outlineLevel="0" collapsed="false">
      <c r="B95" s="22"/>
      <c r="C95" s="23" t="s">
        <v>170</v>
      </c>
      <c r="D95" s="22"/>
      <c r="E95" s="22"/>
      <c r="F95" s="22"/>
    </row>
    <row r="96" customFormat="false" ht="15" hidden="false" customHeight="true" outlineLevel="0" collapsed="false">
      <c r="B96" s="24"/>
      <c r="C96" s="24"/>
      <c r="D96" s="25" t="s">
        <v>171</v>
      </c>
      <c r="E96" s="26" t="s">
        <v>84</v>
      </c>
      <c r="F96" s="27" t="s">
        <v>77</v>
      </c>
    </row>
    <row r="97" customFormat="false" ht="15" hidden="false" customHeight="true" outlineLevel="0" collapsed="false">
      <c r="B97" s="24"/>
      <c r="C97" s="24"/>
      <c r="D97" s="25" t="s">
        <v>172</v>
      </c>
      <c r="E97" s="26" t="s">
        <v>130</v>
      </c>
      <c r="F97" s="27" t="s">
        <v>77</v>
      </c>
    </row>
    <row r="98" customFormat="false" ht="15" hidden="false" customHeight="true" outlineLevel="0" collapsed="false">
      <c r="B98" s="24"/>
      <c r="C98" s="24"/>
      <c r="D98" s="25" t="s">
        <v>173</v>
      </c>
      <c r="E98" s="26" t="s">
        <v>107</v>
      </c>
      <c r="F98" s="27" t="s">
        <v>77</v>
      </c>
    </row>
    <row r="99" customFormat="false" ht="15" hidden="false" customHeight="true" outlineLevel="0" collapsed="false">
      <c r="B99" s="24"/>
      <c r="C99" s="24"/>
      <c r="D99" s="25" t="s">
        <v>174</v>
      </c>
      <c r="E99" s="26" t="s">
        <v>84</v>
      </c>
      <c r="F99" s="27"/>
    </row>
    <row r="100" customFormat="false" ht="15" hidden="false" customHeight="true" outlineLevel="0" collapsed="false">
      <c r="B100" s="24"/>
      <c r="C100" s="24"/>
      <c r="D100" s="25" t="s">
        <v>175</v>
      </c>
      <c r="E100" s="26" t="s">
        <v>86</v>
      </c>
      <c r="F100" s="27"/>
    </row>
    <row r="101" customFormat="false" ht="30" hidden="false" customHeight="true" outlineLevel="0" collapsed="false">
      <c r="B101" s="20" t="s">
        <v>176</v>
      </c>
      <c r="C101" s="21"/>
      <c r="D101" s="21"/>
      <c r="E101" s="21"/>
      <c r="F101" s="21"/>
    </row>
    <row r="102" customFormat="false" ht="15" hidden="false" customHeight="true" outlineLevel="0" collapsed="false">
      <c r="B102" s="22"/>
      <c r="C102" s="23" t="s">
        <v>177</v>
      </c>
      <c r="D102" s="22"/>
      <c r="E102" s="22"/>
      <c r="F102" s="22"/>
    </row>
    <row r="103" customFormat="false" ht="15" hidden="false" customHeight="true" outlineLevel="0" collapsed="false">
      <c r="B103" s="24"/>
      <c r="C103" s="24"/>
      <c r="D103" s="25" t="s">
        <v>178</v>
      </c>
      <c r="E103" s="26" t="s">
        <v>79</v>
      </c>
      <c r="F103" s="27" t="s">
        <v>77</v>
      </c>
    </row>
    <row r="104" customFormat="false" ht="15" hidden="false" customHeight="true" outlineLevel="0" collapsed="false">
      <c r="B104" s="24"/>
      <c r="C104" s="24"/>
      <c r="D104" s="25" t="s">
        <v>179</v>
      </c>
      <c r="E104" s="26" t="s">
        <v>84</v>
      </c>
      <c r="F104" s="27" t="s">
        <v>77</v>
      </c>
    </row>
    <row r="105" customFormat="false" ht="15" hidden="false" customHeight="true" outlineLevel="0" collapsed="false">
      <c r="B105" s="24"/>
      <c r="C105" s="24"/>
      <c r="D105" s="25" t="s">
        <v>180</v>
      </c>
      <c r="E105" s="26" t="s">
        <v>86</v>
      </c>
      <c r="F105" s="27" t="s">
        <v>77</v>
      </c>
    </row>
    <row r="106" customFormat="false" ht="15" hidden="false" customHeight="true" outlineLevel="0" collapsed="false">
      <c r="B106" s="24"/>
      <c r="C106" s="24"/>
      <c r="D106" s="25" t="s">
        <v>181</v>
      </c>
      <c r="E106" s="26" t="s">
        <v>84</v>
      </c>
      <c r="F106" s="27"/>
    </row>
    <row r="107" customFormat="false" ht="15" hidden="false" customHeight="true" outlineLevel="0" collapsed="false">
      <c r="B107" s="24"/>
      <c r="C107" s="24"/>
      <c r="D107" s="25" t="s">
        <v>182</v>
      </c>
      <c r="E107" s="26" t="s">
        <v>86</v>
      </c>
      <c r="F107" s="27"/>
    </row>
    <row r="108" customFormat="false" ht="15" hidden="false" customHeight="true" outlineLevel="0" collapsed="false">
      <c r="B108" s="22"/>
      <c r="C108" s="23" t="s">
        <v>183</v>
      </c>
      <c r="D108" s="22"/>
      <c r="E108" s="22"/>
      <c r="F108" s="22"/>
    </row>
    <row r="109" customFormat="false" ht="15" hidden="false" customHeight="true" outlineLevel="0" collapsed="false">
      <c r="B109" s="24"/>
      <c r="C109" s="24"/>
      <c r="D109" s="25" t="s">
        <v>184</v>
      </c>
      <c r="E109" s="26" t="s">
        <v>107</v>
      </c>
      <c r="F109" s="27" t="s">
        <v>77</v>
      </c>
    </row>
    <row r="110" customFormat="false" ht="15" hidden="false" customHeight="true" outlineLevel="0" collapsed="false">
      <c r="B110" s="24"/>
      <c r="C110" s="24"/>
      <c r="D110" s="25" t="s">
        <v>185</v>
      </c>
      <c r="E110" s="26" t="s">
        <v>86</v>
      </c>
      <c r="F110" s="27" t="s">
        <v>77</v>
      </c>
    </row>
    <row r="111" customFormat="false" ht="15" hidden="false" customHeight="true" outlineLevel="0" collapsed="false">
      <c r="B111" s="24"/>
      <c r="C111" s="24"/>
      <c r="D111" s="25" t="s">
        <v>186</v>
      </c>
      <c r="E111" s="26" t="s">
        <v>84</v>
      </c>
      <c r="F111" s="27" t="s">
        <v>77</v>
      </c>
    </row>
    <row r="112" customFormat="false" ht="15" hidden="false" customHeight="true" outlineLevel="0" collapsed="false">
      <c r="B112" s="24"/>
      <c r="C112" s="24"/>
      <c r="D112" s="25" t="s">
        <v>187</v>
      </c>
      <c r="E112" s="26" t="s">
        <v>188</v>
      </c>
      <c r="F112" s="27" t="s">
        <v>77</v>
      </c>
    </row>
    <row r="113" customFormat="false" ht="15" hidden="false" customHeight="true" outlineLevel="0" collapsed="false">
      <c r="B113" s="24"/>
      <c r="C113" s="24"/>
      <c r="D113" s="25" t="s">
        <v>189</v>
      </c>
      <c r="E113" s="26" t="s">
        <v>107</v>
      </c>
      <c r="F113" s="27"/>
    </row>
    <row r="114" customFormat="false" ht="15" hidden="false" customHeight="true" outlineLevel="0" collapsed="false">
      <c r="B114" s="22"/>
      <c r="C114" s="23" t="s">
        <v>190</v>
      </c>
      <c r="D114" s="22"/>
      <c r="E114" s="22"/>
      <c r="F114" s="22"/>
    </row>
    <row r="115" customFormat="false" ht="15" hidden="false" customHeight="true" outlineLevel="0" collapsed="false">
      <c r="B115" s="24"/>
      <c r="C115" s="24"/>
      <c r="D115" s="25" t="s">
        <v>191</v>
      </c>
      <c r="E115" s="26" t="s">
        <v>81</v>
      </c>
      <c r="F115" s="27" t="s">
        <v>77</v>
      </c>
    </row>
    <row r="116" customFormat="false" ht="15" hidden="false" customHeight="true" outlineLevel="0" collapsed="false">
      <c r="B116" s="24"/>
      <c r="C116" s="24"/>
      <c r="D116" s="25" t="s">
        <v>192</v>
      </c>
      <c r="E116" s="26" t="s">
        <v>76</v>
      </c>
      <c r="F116" s="27" t="s">
        <v>77</v>
      </c>
    </row>
    <row r="117" customFormat="false" ht="15" hidden="false" customHeight="true" outlineLevel="0" collapsed="false">
      <c r="B117" s="24"/>
      <c r="C117" s="24"/>
      <c r="D117" s="25" t="s">
        <v>193</v>
      </c>
      <c r="E117" s="26" t="s">
        <v>79</v>
      </c>
      <c r="F117" s="27" t="s">
        <v>77</v>
      </c>
    </row>
    <row r="118" customFormat="false" ht="15" hidden="false" customHeight="true" outlineLevel="0" collapsed="false">
      <c r="B118" s="24"/>
      <c r="C118" s="24"/>
      <c r="D118" s="25" t="s">
        <v>194</v>
      </c>
      <c r="E118" s="26" t="s">
        <v>95</v>
      </c>
      <c r="F118" s="27" t="s">
        <v>77</v>
      </c>
    </row>
    <row r="119" customFormat="false" ht="15" hidden="false" customHeight="true" outlineLevel="0" collapsed="false">
      <c r="B119" s="24"/>
      <c r="C119" s="24"/>
      <c r="D119" s="25" t="s">
        <v>195</v>
      </c>
      <c r="E119" s="26" t="s">
        <v>196</v>
      </c>
      <c r="F119" s="27"/>
    </row>
    <row r="120" customFormat="false" ht="15" hidden="false" customHeight="true" outlineLevel="0" collapsed="false">
      <c r="B120" s="24"/>
      <c r="C120" s="24"/>
      <c r="D120" s="25" t="s">
        <v>197</v>
      </c>
      <c r="E120" s="26" t="s">
        <v>81</v>
      </c>
      <c r="F120" s="27"/>
    </row>
    <row r="121" customFormat="false" ht="15" hidden="false" customHeight="true" outlineLevel="0" collapsed="false">
      <c r="B121" s="22"/>
      <c r="C121" s="23" t="s">
        <v>198</v>
      </c>
      <c r="D121" s="22"/>
      <c r="E121" s="22"/>
      <c r="F121" s="22"/>
    </row>
    <row r="122" customFormat="false" ht="15" hidden="false" customHeight="true" outlineLevel="0" collapsed="false">
      <c r="B122" s="24"/>
      <c r="C122" s="24"/>
      <c r="D122" s="25" t="s">
        <v>199</v>
      </c>
      <c r="E122" s="26" t="s">
        <v>84</v>
      </c>
      <c r="F122" s="27" t="s">
        <v>77</v>
      </c>
    </row>
    <row r="123" customFormat="false" ht="15" hidden="false" customHeight="true" outlineLevel="0" collapsed="false">
      <c r="B123" s="24"/>
      <c r="C123" s="24"/>
      <c r="D123" s="25" t="s">
        <v>200</v>
      </c>
      <c r="E123" s="26" t="s">
        <v>130</v>
      </c>
      <c r="F123" s="27" t="s">
        <v>77</v>
      </c>
    </row>
    <row r="124" customFormat="false" ht="15" hidden="false" customHeight="true" outlineLevel="0" collapsed="false">
      <c r="B124" s="24"/>
      <c r="C124" s="24"/>
      <c r="D124" s="25" t="s">
        <v>201</v>
      </c>
      <c r="E124" s="26" t="s">
        <v>84</v>
      </c>
      <c r="F124" s="27" t="s">
        <v>77</v>
      </c>
    </row>
    <row r="125" customFormat="false" ht="15" hidden="false" customHeight="true" outlineLevel="0" collapsed="false">
      <c r="B125" s="24"/>
      <c r="C125" s="24"/>
      <c r="D125" s="25" t="s">
        <v>202</v>
      </c>
      <c r="E125" s="26" t="s">
        <v>86</v>
      </c>
      <c r="F125" s="27"/>
    </row>
    <row r="126" customFormat="false" ht="15" hidden="false" customHeight="true" outlineLevel="0" collapsed="false">
      <c r="B126" s="24"/>
      <c r="C126" s="24"/>
      <c r="D126" s="25" t="s">
        <v>203</v>
      </c>
      <c r="E126" s="26" t="s">
        <v>107</v>
      </c>
      <c r="F126" s="27"/>
    </row>
    <row r="127" customFormat="false" ht="15" hidden="false" customHeight="true" outlineLevel="0" collapsed="false">
      <c r="B127" s="22"/>
      <c r="C127" s="23" t="s">
        <v>204</v>
      </c>
      <c r="D127" s="22"/>
      <c r="E127" s="22"/>
      <c r="F127" s="22"/>
    </row>
    <row r="128" customFormat="false" ht="15" hidden="false" customHeight="true" outlineLevel="0" collapsed="false">
      <c r="B128" s="24"/>
      <c r="C128" s="24"/>
      <c r="D128" s="25" t="s">
        <v>205</v>
      </c>
      <c r="E128" s="26" t="s">
        <v>81</v>
      </c>
      <c r="F128" s="27" t="s">
        <v>77</v>
      </c>
    </row>
    <row r="129" customFormat="false" ht="15" hidden="false" customHeight="true" outlineLevel="0" collapsed="false">
      <c r="B129" s="24"/>
      <c r="C129" s="24"/>
      <c r="D129" s="25" t="s">
        <v>206</v>
      </c>
      <c r="E129" s="26" t="s">
        <v>81</v>
      </c>
      <c r="F129" s="27" t="s">
        <v>77</v>
      </c>
    </row>
    <row r="130" customFormat="false" ht="15" hidden="false" customHeight="true" outlineLevel="0" collapsed="false">
      <c r="B130" s="24"/>
      <c r="C130" s="24"/>
      <c r="D130" s="25" t="s">
        <v>207</v>
      </c>
      <c r="E130" s="26" t="s">
        <v>84</v>
      </c>
      <c r="F130" s="27" t="s">
        <v>77</v>
      </c>
    </row>
    <row r="131" customFormat="false" ht="15" hidden="false" customHeight="true" outlineLevel="0" collapsed="false">
      <c r="B131" s="24"/>
      <c r="C131" s="24"/>
      <c r="D131" s="25" t="s">
        <v>208</v>
      </c>
      <c r="E131" s="26" t="s">
        <v>107</v>
      </c>
      <c r="F131" s="27"/>
    </row>
    <row r="132" customFormat="false" ht="15" hidden="false" customHeight="true" outlineLevel="0" collapsed="false">
      <c r="B132" s="24"/>
      <c r="C132" s="24"/>
      <c r="D132" s="25" t="s">
        <v>209</v>
      </c>
      <c r="E132" s="26" t="s">
        <v>79</v>
      </c>
      <c r="F132" s="27"/>
    </row>
    <row r="134" customFormat="false" ht="30" hidden="false" customHeight="true" outlineLevel="0" collapsed="false">
      <c r="B134" s="28" t="s">
        <v>210</v>
      </c>
      <c r="C134" s="28"/>
      <c r="D134" s="28"/>
      <c r="E134" s="28"/>
      <c r="F134" s="28"/>
    </row>
    <row r="135" customFormat="false" ht="15" hidden="false" customHeight="true" outlineLevel="0" collapsed="false">
      <c r="B135" s="22"/>
      <c r="C135" s="23" t="s">
        <v>211</v>
      </c>
      <c r="D135" s="22"/>
      <c r="E135" s="22"/>
      <c r="F135" s="22"/>
    </row>
    <row r="136" customFormat="false" ht="15" hidden="false" customHeight="true" outlineLevel="0" collapsed="false">
      <c r="B136" s="22"/>
      <c r="C136" s="29" t="s">
        <v>212</v>
      </c>
      <c r="D136" s="29"/>
      <c r="E136" s="22"/>
      <c r="F136" s="22"/>
    </row>
    <row r="137" customFormat="false" ht="15" hidden="false" customHeight="true" outlineLevel="0" collapsed="false">
      <c r="B137" s="24"/>
      <c r="C137" s="24"/>
      <c r="D137" s="25" t="s">
        <v>213</v>
      </c>
      <c r="E137" s="26" t="s">
        <v>84</v>
      </c>
      <c r="F137" s="27" t="s">
        <v>77</v>
      </c>
    </row>
    <row r="138" customFormat="false" ht="15" hidden="false" customHeight="true" outlineLevel="0" collapsed="false">
      <c r="B138" s="24"/>
      <c r="C138" s="24"/>
      <c r="D138" s="25" t="s">
        <v>214</v>
      </c>
      <c r="E138" s="26" t="s">
        <v>130</v>
      </c>
      <c r="F138" s="27" t="s">
        <v>77</v>
      </c>
    </row>
    <row r="139" customFormat="false" ht="15" hidden="false" customHeight="true" outlineLevel="0" collapsed="false">
      <c r="B139" s="24"/>
      <c r="C139" s="24"/>
      <c r="D139" s="25" t="s">
        <v>215</v>
      </c>
      <c r="E139" s="26" t="s">
        <v>216</v>
      </c>
      <c r="F139" s="27" t="s">
        <v>77</v>
      </c>
    </row>
    <row r="140" customFormat="false" ht="15" hidden="false" customHeight="true" outlineLevel="0" collapsed="false">
      <c r="B140" s="24"/>
      <c r="C140" s="24"/>
      <c r="D140" s="24"/>
      <c r="E140" s="24"/>
      <c r="F140" s="24"/>
    </row>
    <row r="141" customFormat="false" ht="15" hidden="false" customHeight="true" outlineLevel="0" collapsed="false">
      <c r="B141" s="22"/>
      <c r="C141" s="23" t="s">
        <v>217</v>
      </c>
      <c r="D141" s="22"/>
      <c r="E141" s="22"/>
      <c r="F141" s="22"/>
    </row>
    <row r="142" customFormat="false" ht="15" hidden="false" customHeight="true" outlineLevel="0" collapsed="false">
      <c r="B142" s="22"/>
      <c r="C142" s="29" t="s">
        <v>218</v>
      </c>
      <c r="D142" s="29"/>
      <c r="E142" s="22"/>
      <c r="F142" s="22"/>
    </row>
    <row r="143" customFormat="false" ht="15" hidden="false" customHeight="true" outlineLevel="0" collapsed="false">
      <c r="B143" s="24"/>
      <c r="C143" s="24"/>
      <c r="D143" s="25" t="s">
        <v>219</v>
      </c>
      <c r="E143" s="26" t="s">
        <v>220</v>
      </c>
      <c r="F143" s="27" t="s">
        <v>77</v>
      </c>
    </row>
    <row r="144" customFormat="false" ht="15" hidden="false" customHeight="true" outlineLevel="0" collapsed="false">
      <c r="B144" s="24"/>
      <c r="C144" s="24"/>
      <c r="D144" s="25" t="s">
        <v>221</v>
      </c>
      <c r="E144" s="26" t="s">
        <v>79</v>
      </c>
      <c r="F144" s="27" t="s">
        <v>77</v>
      </c>
    </row>
    <row r="145" customFormat="false" ht="15" hidden="false" customHeight="true" outlineLevel="0" collapsed="false">
      <c r="B145" s="24"/>
      <c r="C145" s="24"/>
      <c r="D145" s="25" t="s">
        <v>222</v>
      </c>
      <c r="E145" s="26" t="s">
        <v>107</v>
      </c>
      <c r="F145" s="27" t="s">
        <v>77</v>
      </c>
    </row>
    <row r="146" customFormat="false" ht="15" hidden="false" customHeight="true" outlineLevel="0" collapsed="false">
      <c r="B146" s="30"/>
    </row>
    <row r="147" customFormat="false" ht="15" hidden="false" customHeight="true" outlineLevel="0" collapsed="false">
      <c r="B147" s="30"/>
    </row>
    <row r="148" customFormat="false" ht="30" hidden="false" customHeight="true" outlineLevel="0" collapsed="false">
      <c r="B148" s="31" t="s">
        <v>223</v>
      </c>
      <c r="C148" s="31"/>
      <c r="D148" s="31"/>
      <c r="E148" s="31"/>
      <c r="F148" s="31"/>
    </row>
    <row r="149" customFormat="false" ht="15" hidden="false" customHeight="true" outlineLevel="0" collapsed="false">
      <c r="C149" s="32" t="s">
        <v>224</v>
      </c>
    </row>
    <row r="150" customFormat="false" ht="15" hidden="false" customHeight="true" outlineLevel="0" collapsed="false">
      <c r="C150" s="33"/>
      <c r="D150" s="34" t="s">
        <v>225</v>
      </c>
    </row>
    <row r="151" customFormat="false" ht="15" hidden="false" customHeight="true" outlineLevel="0" collapsed="false">
      <c r="C151" s="32" t="s">
        <v>226</v>
      </c>
    </row>
    <row r="152" customFormat="false" ht="15" hidden="false" customHeight="true" outlineLevel="0" collapsed="false">
      <c r="D152" s="34" t="s">
        <v>227</v>
      </c>
    </row>
    <row r="153" customFormat="false" ht="30" hidden="false" customHeight="true" outlineLevel="0" collapsed="false">
      <c r="B153" s="35" t="s">
        <v>228</v>
      </c>
    </row>
  </sheetData>
  <mergeCells count="4">
    <mergeCell ref="B3:F3"/>
    <mergeCell ref="B134:F134"/>
    <mergeCell ref="B140:F140"/>
    <mergeCell ref="B148:F1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B1:AC71"/>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8.66796875" defaultRowHeight="21" zeroHeight="false" outlineLevelRow="0" outlineLevelCol="0"/>
  <cols>
    <col collapsed="false" customWidth="true" hidden="false" outlineLevel="0" max="1" min="1" style="36" width="2.83"/>
    <col collapsed="false" customWidth="true" hidden="false" outlineLevel="0" max="2" min="2" style="36" width="5.83"/>
    <col collapsed="false" customWidth="true" hidden="false" outlineLevel="0" max="10" min="3" style="36" width="13.83"/>
    <col collapsed="false" customWidth="true" hidden="false" outlineLevel="0" max="12" min="11" style="36" width="3.83"/>
    <col collapsed="false" customWidth="true" hidden="false" outlineLevel="0" max="14" min="13" style="36" width="21.83"/>
    <col collapsed="false" customWidth="true" hidden="false" outlineLevel="0" max="16" min="15" style="36" width="3.83"/>
    <col collapsed="false" customWidth="true" hidden="false" outlineLevel="0" max="17" min="17" style="36" width="21.83"/>
    <col collapsed="false" customWidth="true" hidden="false" outlineLevel="0" max="18" min="18" style="36" width="3.83"/>
    <col collapsed="false" customWidth="true" hidden="false" outlineLevel="0" max="19" min="19" style="36" width="21.83"/>
    <col collapsed="false" customWidth="true" hidden="false" outlineLevel="0" max="20" min="20" style="36" width="3.83"/>
    <col collapsed="false" customWidth="true" hidden="false" outlineLevel="0" max="21" min="21" style="36" width="21.83"/>
    <col collapsed="false" customWidth="true" hidden="false" outlineLevel="0" max="22" min="22" style="36" width="3.83"/>
    <col collapsed="false" customWidth="false" hidden="false" outlineLevel="0" max="16384" min="23" style="36" width="8.67"/>
  </cols>
  <sheetData>
    <row r="1" customFormat="false" ht="15" hidden="false" customHeight="true" outlineLevel="0" collapsed="false"/>
    <row r="2" customFormat="false" ht="33.75" hidden="false" customHeight="true" outlineLevel="0" collapsed="false">
      <c r="B2" s="2" t="s">
        <v>229</v>
      </c>
      <c r="C2" s="2"/>
      <c r="D2" s="2"/>
      <c r="E2" s="2"/>
      <c r="F2" s="2"/>
      <c r="G2" s="2"/>
      <c r="H2" s="2"/>
      <c r="I2" s="2"/>
      <c r="J2" s="2"/>
    </row>
    <row r="3" customFormat="false" ht="13.5" hidden="false" customHeight="true" outlineLevel="0" collapsed="false"/>
    <row r="4" s="37" customFormat="true" ht="33.75" hidden="false" customHeight="true" outlineLevel="0" collapsed="false">
      <c r="B4" s="38" t="s">
        <v>230</v>
      </c>
      <c r="C4" s="38" t="s">
        <v>231</v>
      </c>
      <c r="D4" s="38"/>
      <c r="E4" s="38"/>
      <c r="F4" s="39" t="s">
        <v>232</v>
      </c>
      <c r="G4" s="38" t="s">
        <v>233</v>
      </c>
      <c r="H4" s="38"/>
      <c r="I4" s="38"/>
      <c r="J4" s="38"/>
      <c r="M4" s="38" t="s">
        <v>234</v>
      </c>
      <c r="N4" s="40"/>
      <c r="O4" s="40"/>
      <c r="P4" s="40"/>
      <c r="Q4" s="39" t="s">
        <v>235</v>
      </c>
      <c r="R4" s="40"/>
      <c r="S4" s="39" t="s">
        <v>236</v>
      </c>
      <c r="T4" s="40"/>
      <c r="U4" s="39" t="s">
        <v>237</v>
      </c>
      <c r="V4" s="40"/>
      <c r="X4" s="41" t="s">
        <v>238</v>
      </c>
      <c r="Y4" s="39"/>
      <c r="AA4" s="41" t="s">
        <v>239</v>
      </c>
      <c r="AB4" s="39"/>
      <c r="AC4" s="39"/>
    </row>
    <row r="5" customFormat="false" ht="21" hidden="false" customHeight="true" outlineLevel="0" collapsed="false">
      <c r="B5" s="42" t="s">
        <v>240</v>
      </c>
      <c r="C5" s="43" t="s">
        <v>241</v>
      </c>
      <c r="D5" s="43"/>
      <c r="E5" s="43"/>
      <c r="F5" s="44"/>
      <c r="G5" s="43" t="s">
        <v>242</v>
      </c>
      <c r="H5" s="43"/>
      <c r="I5" s="43"/>
      <c r="J5" s="43"/>
      <c r="M5" s="45" t="s">
        <v>243</v>
      </c>
      <c r="N5" s="46" t="n">
        <f aca="false">F5</f>
        <v>0</v>
      </c>
      <c r="Q5" s="47" t="str">
        <f aca="false">'Package Reference'!B6</f>
        <v>Basic Intake</v>
      </c>
      <c r="S5" s="47" t="str">
        <f aca="false">'Access Models'!B6</f>
        <v>Managed service</v>
      </c>
      <c r="U5" s="47" t="str">
        <f aca="false">'Complexity Reference'!L5</f>
        <v>No support</v>
      </c>
      <c r="X5" s="48" t="s">
        <v>244</v>
      </c>
      <c r="Y5" s="48"/>
      <c r="AA5" s="48" t="s">
        <v>245</v>
      </c>
      <c r="AB5" s="48"/>
      <c r="AC5" s="48"/>
    </row>
    <row r="6" customFormat="false" ht="21" hidden="false" customHeight="true" outlineLevel="0" collapsed="false">
      <c r="B6" s="42" t="s">
        <v>246</v>
      </c>
      <c r="C6" s="43" t="s">
        <v>247</v>
      </c>
      <c r="D6" s="43"/>
      <c r="E6" s="43"/>
      <c r="F6" s="49" t="s">
        <v>248</v>
      </c>
      <c r="G6" s="43" t="s">
        <v>249</v>
      </c>
      <c r="H6" s="43"/>
      <c r="I6" s="43"/>
      <c r="J6" s="43"/>
      <c r="K6" s="36" t="s">
        <v>250</v>
      </c>
      <c r="M6" s="45" t="s">
        <v>251</v>
      </c>
      <c r="N6" s="46" t="str">
        <f aca="false">F6</f>
        <v>Basic Intake</v>
      </c>
      <c r="Q6" s="47" t="str">
        <f aca="false">'Package Reference'!B7</f>
        <v>Basic+ AI Triage</v>
      </c>
      <c r="S6" s="47" t="str">
        <f aca="false">'Access Models'!B7</f>
        <v>Logic visibility</v>
      </c>
      <c r="U6" s="47" t="str">
        <f aca="false">'Complexity Reference'!L6</f>
        <v>Light support</v>
      </c>
      <c r="X6" s="50" t="s">
        <v>252</v>
      </c>
      <c r="Y6" s="50"/>
      <c r="AA6" s="50" t="s">
        <v>253</v>
      </c>
      <c r="AB6" s="50"/>
      <c r="AC6" s="50"/>
    </row>
    <row r="7" customFormat="false" ht="21" hidden="false" customHeight="true" outlineLevel="0" collapsed="false">
      <c r="B7" s="42" t="s">
        <v>254</v>
      </c>
      <c r="C7" s="43" t="s">
        <v>255</v>
      </c>
      <c r="D7" s="43"/>
      <c r="E7" s="43"/>
      <c r="F7" s="49" t="s">
        <v>256</v>
      </c>
      <c r="G7" s="43" t="s">
        <v>257</v>
      </c>
      <c r="H7" s="43"/>
      <c r="I7" s="43"/>
      <c r="J7" s="43"/>
      <c r="K7" s="36" t="s">
        <v>250</v>
      </c>
      <c r="M7" s="45" t="s">
        <v>258</v>
      </c>
      <c r="N7" s="46" t="str">
        <f aca="false">F7</f>
        <v>Managed service</v>
      </c>
      <c r="Q7" s="47" t="str">
        <f aca="false">'Package Reference'!B8</f>
        <v>Pro Multi-Channel</v>
      </c>
      <c r="S7" s="47" t="str">
        <f aca="false">'Access Models'!B8</f>
        <v>Limited admin</v>
      </c>
      <c r="U7" s="47" t="str">
        <f aca="false">'Complexity Reference'!L7</f>
        <v>Normal managed support</v>
      </c>
      <c r="X7" s="51" t="s">
        <v>259</v>
      </c>
      <c r="Y7" s="51"/>
      <c r="AA7" s="51" t="s">
        <v>260</v>
      </c>
      <c r="AB7" s="51"/>
      <c r="AC7" s="51"/>
    </row>
    <row r="8" customFormat="false" ht="21" hidden="false" customHeight="true" outlineLevel="0" collapsed="false">
      <c r="B8" s="42" t="s">
        <v>261</v>
      </c>
      <c r="C8" s="43" t="s">
        <v>238</v>
      </c>
      <c r="D8" s="43"/>
      <c r="E8" s="43"/>
      <c r="F8" s="49" t="s">
        <v>259</v>
      </c>
      <c r="G8" s="43" t="s">
        <v>262</v>
      </c>
      <c r="H8" s="43"/>
      <c r="I8" s="43"/>
      <c r="J8" s="43"/>
      <c r="K8" s="36" t="s">
        <v>250</v>
      </c>
      <c r="M8" s="45" t="s">
        <v>238</v>
      </c>
      <c r="N8" s="46" t="str">
        <f aca="false">F8</f>
        <v>Normal managed support</v>
      </c>
      <c r="Q8" s="47" t="str">
        <f aca="false">'Package Reference'!B9</f>
        <v>Managed Operations</v>
      </c>
      <c r="S8" s="47" t="str">
        <f aca="false">'Access Models'!B9</f>
        <v>Client-owned workspace</v>
      </c>
      <c r="U8" s="47" t="str">
        <f aca="false">'Complexity Reference'!L8</f>
        <v>High-responsibility maintenance</v>
      </c>
      <c r="X8" s="52" t="s">
        <v>263</v>
      </c>
      <c r="Y8" s="52"/>
      <c r="AA8" s="52" t="s">
        <v>264</v>
      </c>
      <c r="AB8" s="52"/>
      <c r="AC8" s="52"/>
    </row>
    <row r="9" customFormat="false" ht="21" hidden="false" customHeight="true" outlineLevel="0" collapsed="false">
      <c r="B9" s="43"/>
      <c r="C9" s="43"/>
      <c r="D9" s="43"/>
      <c r="E9" s="43"/>
      <c r="G9" s="43"/>
      <c r="H9" s="43"/>
      <c r="I9" s="43"/>
      <c r="J9" s="43"/>
      <c r="K9" s="36" t="s">
        <v>250</v>
      </c>
      <c r="M9" s="45" t="s">
        <v>265</v>
      </c>
      <c r="N9" s="46" t="str">
        <f aca="false">"CHF "&amp;ROUND(F35,0)&amp;" - CHF "&amp;ROUND(F36,0)</f>
        <v>CHF 2750 - CHF 8300</v>
      </c>
      <c r="Q9" s="47" t="str">
        <f aca="false">'Package Reference'!B10</f>
        <v>Agentic Automation</v>
      </c>
      <c r="S9" s="47" t="str">
        <f aca="false">'Access Models'!B10</f>
        <v>Build-and-transfer</v>
      </c>
      <c r="U9" s="47" t="str">
        <f aca="false">'Complexity Reference'!L9</f>
        <v>Premium transfer support</v>
      </c>
      <c r="X9" s="53" t="s">
        <v>266</v>
      </c>
      <c r="Y9" s="53"/>
      <c r="AA9" s="53" t="s">
        <v>267</v>
      </c>
      <c r="AB9" s="53"/>
      <c r="AC9" s="53"/>
    </row>
    <row r="10" customFormat="false" ht="21" hidden="false" customHeight="true" outlineLevel="0" collapsed="false">
      <c r="B10" s="42" t="s">
        <v>268</v>
      </c>
      <c r="C10" s="54" t="s">
        <v>269</v>
      </c>
      <c r="D10" s="55"/>
      <c r="E10" s="55"/>
      <c r="F10" s="56" t="n">
        <f aca="false">IFERROR(VLOOKUP(F6,'Package Reference'!$B$6:$F$10,2,FALSE()),0)</f>
        <v>750</v>
      </c>
      <c r="G10" s="55" t="s">
        <v>270</v>
      </c>
      <c r="H10" s="55"/>
      <c r="I10" s="55"/>
      <c r="J10" s="57"/>
      <c r="K10" s="36" t="s">
        <v>250</v>
      </c>
      <c r="M10" s="45" t="s">
        <v>271</v>
      </c>
      <c r="N10" s="46" t="str">
        <f aca="false">"CHF "&amp;ROUND(F37,0)&amp;" - CHF "&amp;ROUND(F38,0)</f>
        <v>CHF 650 - CHF 2050</v>
      </c>
      <c r="Q10" s="47"/>
      <c r="S10" s="47"/>
      <c r="U10" s="47" t="str">
        <f aca="false">'Complexity Reference'!L10</f>
        <v>Critical support</v>
      </c>
      <c r="X10" s="58" t="s">
        <v>272</v>
      </c>
      <c r="Y10" s="58"/>
      <c r="AA10" s="58" t="s">
        <v>273</v>
      </c>
      <c r="AB10" s="58"/>
      <c r="AC10" s="58"/>
    </row>
    <row r="11" customFormat="false" ht="21" hidden="false" customHeight="true" outlineLevel="0" collapsed="false">
      <c r="B11" s="42" t="s">
        <v>274</v>
      </c>
      <c r="C11" s="54" t="s">
        <v>275</v>
      </c>
      <c r="D11" s="55"/>
      <c r="E11" s="55"/>
      <c r="F11" s="56" t="n">
        <f aca="false">IFERROR(VLOOKUP(F6,'Package Reference'!$B$6:$F$10,3,FALSE()),0)</f>
        <v>1800</v>
      </c>
      <c r="G11" s="55" t="s">
        <v>270</v>
      </c>
      <c r="H11" s="55"/>
      <c r="I11" s="55"/>
      <c r="J11" s="57"/>
      <c r="K11" s="36" t="s">
        <v>250</v>
      </c>
      <c r="M11" s="45" t="s">
        <v>276</v>
      </c>
      <c r="N11" s="46" t="str">
        <f aca="false">"CHF "&amp;ROUND(F39,0)</f>
        <v>CHF 5500</v>
      </c>
    </row>
    <row r="12" customFormat="false" ht="21" hidden="false" customHeight="true" outlineLevel="0" collapsed="false">
      <c r="B12" s="42" t="s">
        <v>277</v>
      </c>
      <c r="C12" s="54" t="s">
        <v>278</v>
      </c>
      <c r="D12" s="55"/>
      <c r="E12" s="55"/>
      <c r="F12" s="56" t="n">
        <f aca="false">IFERROR(VLOOKUP(F6,'Package Reference'!$B$6:$F$10,4,FALSE()),0)</f>
        <v>150</v>
      </c>
      <c r="G12" s="55" t="s">
        <v>270</v>
      </c>
      <c r="H12" s="55"/>
      <c r="I12" s="55"/>
      <c r="J12" s="57"/>
      <c r="K12" s="36" t="s">
        <v>250</v>
      </c>
      <c r="M12" s="45" t="s">
        <v>279</v>
      </c>
      <c r="N12" s="46" t="str">
        <f aca="false">"CHF "&amp;ROUND(F40,0)</f>
        <v>CHF 1400</v>
      </c>
    </row>
    <row r="13" customFormat="false" ht="21" hidden="false" customHeight="true" outlineLevel="0" collapsed="false">
      <c r="B13" s="42" t="s">
        <v>280</v>
      </c>
      <c r="C13" s="54" t="s">
        <v>281</v>
      </c>
      <c r="D13" s="55"/>
      <c r="E13" s="55"/>
      <c r="F13" s="56" t="n">
        <f aca="false">IFERROR(VLOOKUP(F6,'Package Reference'!$B$6:$F$10,5,FALSE()),0)</f>
        <v>450</v>
      </c>
      <c r="G13" s="55" t="s">
        <v>270</v>
      </c>
      <c r="H13" s="55"/>
      <c r="I13" s="55"/>
      <c r="J13" s="57"/>
      <c r="K13" s="36" t="s">
        <v>250</v>
      </c>
      <c r="M13" s="45" t="s">
        <v>282</v>
      </c>
      <c r="N13" s="46" t="s">
        <v>283</v>
      </c>
    </row>
    <row r="14" customFormat="false" ht="21" hidden="false" customHeight="true" outlineLevel="0" collapsed="false">
      <c r="B14" s="42" t="s">
        <v>284</v>
      </c>
      <c r="C14" s="54" t="s">
        <v>285</v>
      </c>
      <c r="D14" s="55"/>
      <c r="E14" s="55"/>
      <c r="F14" s="56" t="n">
        <f aca="false">IFERROR(VLOOKUP(F7,'Access Models'!$B$6:$L$10,10,FALSE()),1)</f>
        <v>1</v>
      </c>
      <c r="G14" s="55" t="s">
        <v>286</v>
      </c>
      <c r="H14" s="55"/>
      <c r="I14" s="55"/>
      <c r="J14" s="57"/>
      <c r="K14" s="36" t="s">
        <v>250</v>
      </c>
      <c r="M14" s="45" t="s">
        <v>287</v>
      </c>
      <c r="N14" s="46" t="s">
        <v>288</v>
      </c>
    </row>
    <row r="15" customFormat="false" ht="21" hidden="false" customHeight="true" outlineLevel="0" collapsed="false">
      <c r="B15" s="42" t="s">
        <v>289</v>
      </c>
      <c r="C15" s="54" t="s">
        <v>290</v>
      </c>
      <c r="D15" s="55"/>
      <c r="E15" s="55"/>
      <c r="F15" s="56" t="n">
        <f aca="false">IFERROR(VLOOKUP(F8,'Complexity Reference'!$L$5:$N$10,2,FALSE()),1)</f>
        <v>1</v>
      </c>
      <c r="G15" s="55" t="s">
        <v>291</v>
      </c>
      <c r="H15" s="55"/>
      <c r="I15" s="55"/>
      <c r="J15" s="57"/>
      <c r="K15" s="36" t="s">
        <v>250</v>
      </c>
    </row>
    <row r="16" customFormat="false" ht="21" hidden="false" customHeight="true" outlineLevel="0" collapsed="false">
      <c r="K16" s="36" t="s">
        <v>250</v>
      </c>
    </row>
    <row r="17" customFormat="false" ht="21" hidden="false" customHeight="true" outlineLevel="0" collapsed="false">
      <c r="B17" s="42" t="s">
        <v>292</v>
      </c>
      <c r="C17" s="54" t="s">
        <v>293</v>
      </c>
      <c r="D17" s="55"/>
      <c r="E17" s="55"/>
      <c r="F17" s="59" t="n">
        <v>0</v>
      </c>
      <c r="G17" s="55" t="s">
        <v>294</v>
      </c>
      <c r="H17" s="55"/>
      <c r="I17" s="55"/>
      <c r="J17" s="57"/>
      <c r="K17" s="36" t="s">
        <v>250</v>
      </c>
      <c r="M17" s="38" t="s">
        <v>295</v>
      </c>
      <c r="N17" s="38"/>
      <c r="O17" s="38"/>
      <c r="P17" s="38"/>
      <c r="Q17" s="38"/>
    </row>
    <row r="18" customFormat="false" ht="21" hidden="false" customHeight="true" outlineLevel="0" collapsed="false">
      <c r="B18" s="42" t="s">
        <v>296</v>
      </c>
      <c r="C18" s="54" t="s">
        <v>297</v>
      </c>
      <c r="D18" s="55"/>
      <c r="E18" s="55"/>
      <c r="F18" s="59" t="n">
        <v>1</v>
      </c>
      <c r="G18" s="55" t="s">
        <v>298</v>
      </c>
      <c r="H18" s="55"/>
      <c r="I18" s="55"/>
      <c r="J18" s="57"/>
      <c r="K18" s="36" t="s">
        <v>250</v>
      </c>
      <c r="M18" s="60" t="s">
        <v>299</v>
      </c>
      <c r="N18" s="60"/>
      <c r="O18" s="60"/>
      <c r="P18" s="60"/>
      <c r="Q18" s="60"/>
    </row>
    <row r="19" customFormat="false" ht="21" hidden="false" customHeight="true" outlineLevel="0" collapsed="false">
      <c r="B19" s="42" t="s">
        <v>300</v>
      </c>
      <c r="C19" s="54" t="s">
        <v>301</v>
      </c>
      <c r="D19" s="55"/>
      <c r="E19" s="55"/>
      <c r="F19" s="59" t="n">
        <v>1</v>
      </c>
      <c r="G19" s="61" t="s">
        <v>302</v>
      </c>
      <c r="H19" s="61"/>
      <c r="I19" s="61"/>
      <c r="J19" s="62"/>
      <c r="K19" s="36" t="s">
        <v>250</v>
      </c>
      <c r="M19" s="46" t="s">
        <v>303</v>
      </c>
    </row>
    <row r="20" customFormat="false" ht="21" hidden="false" customHeight="true" outlineLevel="0" collapsed="false">
      <c r="B20" s="42" t="s">
        <v>304</v>
      </c>
      <c r="C20" s="54" t="s">
        <v>305</v>
      </c>
      <c r="D20" s="55"/>
      <c r="E20" s="55"/>
      <c r="F20" s="59" t="n">
        <v>1</v>
      </c>
      <c r="G20" s="61" t="s">
        <v>306</v>
      </c>
      <c r="H20" s="61"/>
      <c r="I20" s="61"/>
      <c r="J20" s="62"/>
      <c r="K20" s="36" t="s">
        <v>250</v>
      </c>
      <c r="M20" s="46" t="s">
        <v>307</v>
      </c>
    </row>
    <row r="21" customFormat="false" ht="21" hidden="false" customHeight="true" outlineLevel="0" collapsed="false">
      <c r="B21" s="42" t="s">
        <v>308</v>
      </c>
      <c r="C21" s="54" t="s">
        <v>309</v>
      </c>
      <c r="D21" s="55"/>
      <c r="E21" s="55"/>
      <c r="F21" s="59" t="n">
        <v>0</v>
      </c>
      <c r="G21" s="61" t="s">
        <v>310</v>
      </c>
      <c r="H21" s="61"/>
      <c r="I21" s="61"/>
      <c r="J21" s="62"/>
      <c r="K21" s="36" t="s">
        <v>250</v>
      </c>
      <c r="N21" s="46" t="s">
        <v>311</v>
      </c>
    </row>
    <row r="22" customFormat="false" ht="21" hidden="false" customHeight="true" outlineLevel="0" collapsed="false">
      <c r="B22" s="42" t="s">
        <v>312</v>
      </c>
      <c r="C22" s="54" t="s">
        <v>313</v>
      </c>
      <c r="D22" s="55"/>
      <c r="E22" s="55"/>
      <c r="F22" s="59" t="n">
        <v>1</v>
      </c>
      <c r="G22" s="61" t="s">
        <v>314</v>
      </c>
      <c r="H22" s="61"/>
      <c r="I22" s="61"/>
      <c r="J22" s="62"/>
      <c r="K22" s="36" t="s">
        <v>250</v>
      </c>
      <c r="N22" s="46" t="s">
        <v>315</v>
      </c>
    </row>
    <row r="23" customFormat="false" ht="21" hidden="false" customHeight="true" outlineLevel="0" collapsed="false">
      <c r="B23" s="42" t="s">
        <v>316</v>
      </c>
      <c r="C23" s="54" t="s">
        <v>317</v>
      </c>
      <c r="D23" s="55"/>
      <c r="E23" s="55"/>
      <c r="F23" s="59" t="n">
        <v>1</v>
      </c>
      <c r="G23" s="61" t="s">
        <v>318</v>
      </c>
      <c r="H23" s="61"/>
      <c r="I23" s="61"/>
      <c r="J23" s="62"/>
      <c r="K23" s="36" t="s">
        <v>250</v>
      </c>
      <c r="N23" s="46" t="s">
        <v>319</v>
      </c>
    </row>
    <row r="24" customFormat="false" ht="21" hidden="false" customHeight="true" outlineLevel="0" collapsed="false">
      <c r="B24" s="42" t="s">
        <v>320</v>
      </c>
      <c r="C24" s="54" t="s">
        <v>321</v>
      </c>
      <c r="D24" s="55"/>
      <c r="E24" s="55"/>
      <c r="F24" s="63"/>
      <c r="G24" s="64" t="s">
        <v>322</v>
      </c>
      <c r="H24" s="64"/>
      <c r="I24" s="64"/>
      <c r="J24" s="65"/>
      <c r="K24" s="36" t="s">
        <v>250</v>
      </c>
      <c r="N24" s="46" t="s">
        <v>323</v>
      </c>
    </row>
    <row r="25" customFormat="false" ht="21" hidden="false" customHeight="true" outlineLevel="0" collapsed="false">
      <c r="B25" s="42" t="s">
        <v>324</v>
      </c>
      <c r="C25" s="54" t="s">
        <v>325</v>
      </c>
      <c r="D25" s="55"/>
      <c r="E25" s="55"/>
      <c r="F25" s="63"/>
      <c r="G25" s="64" t="s">
        <v>326</v>
      </c>
      <c r="H25" s="64"/>
      <c r="I25" s="64"/>
      <c r="J25" s="65"/>
      <c r="K25" s="36" t="s">
        <v>250</v>
      </c>
    </row>
    <row r="26" customFormat="false" ht="21" hidden="false" customHeight="true" outlineLevel="0" collapsed="false">
      <c r="B26" s="42" t="s">
        <v>327</v>
      </c>
      <c r="C26" s="54" t="s">
        <v>328</v>
      </c>
      <c r="D26" s="55"/>
      <c r="E26" s="55"/>
      <c r="F26" s="63" t="n">
        <v>0</v>
      </c>
      <c r="G26" s="64" t="s">
        <v>329</v>
      </c>
      <c r="H26" s="64"/>
      <c r="I26" s="64"/>
      <c r="J26" s="65"/>
      <c r="K26" s="36" t="s">
        <v>250</v>
      </c>
      <c r="M26" s="60" t="s">
        <v>330</v>
      </c>
      <c r="N26" s="60"/>
      <c r="O26" s="60"/>
      <c r="P26" s="60"/>
      <c r="Q26" s="60"/>
    </row>
    <row r="27" customFormat="false" ht="21" hidden="false" customHeight="true" outlineLevel="0" collapsed="false">
      <c r="B27" s="42" t="s">
        <v>331</v>
      </c>
      <c r="C27" s="54" t="s">
        <v>332</v>
      </c>
      <c r="D27" s="55"/>
      <c r="E27" s="55"/>
      <c r="F27" s="63" t="n">
        <v>0</v>
      </c>
      <c r="G27" s="64" t="s">
        <v>333</v>
      </c>
      <c r="H27" s="64"/>
      <c r="I27" s="64"/>
      <c r="J27" s="65"/>
      <c r="K27" s="36" t="s">
        <v>250</v>
      </c>
      <c r="M27" s="46" t="s">
        <v>334</v>
      </c>
    </row>
    <row r="28" customFormat="false" ht="21" hidden="false" customHeight="true" outlineLevel="0" collapsed="false">
      <c r="M28" s="46" t="s">
        <v>307</v>
      </c>
    </row>
    <row r="29" customFormat="false" ht="21" hidden="false" customHeight="true" outlineLevel="0" collapsed="false">
      <c r="C29" s="66" t="s">
        <v>335</v>
      </c>
      <c r="D29" s="67"/>
      <c r="E29" s="67"/>
      <c r="F29" s="68" t="n">
        <f aca="false">IF(F24="",F14,F24)</f>
        <v>1</v>
      </c>
      <c r="G29" s="67" t="s">
        <v>336</v>
      </c>
      <c r="H29" s="67"/>
      <c r="I29" s="67"/>
      <c r="J29" s="69"/>
      <c r="N29" s="46" t="s">
        <v>337</v>
      </c>
    </row>
    <row r="30" customFormat="false" ht="21" hidden="false" customHeight="true" outlineLevel="0" collapsed="false">
      <c r="C30" s="66" t="s">
        <v>338</v>
      </c>
      <c r="D30" s="67"/>
      <c r="E30" s="67"/>
      <c r="F30" s="68" t="n">
        <f aca="false">IF(F25="",F15,F25)</f>
        <v>1</v>
      </c>
      <c r="G30" s="67" t="s">
        <v>336</v>
      </c>
      <c r="H30" s="67"/>
      <c r="I30" s="67"/>
      <c r="J30" s="69"/>
      <c r="N30" s="46" t="s">
        <v>339</v>
      </c>
    </row>
    <row r="31" customFormat="false" ht="21" hidden="false" customHeight="true" outlineLevel="0" collapsed="false">
      <c r="C31" s="66" t="s">
        <v>340</v>
      </c>
      <c r="D31" s="67"/>
      <c r="E31" s="67"/>
      <c r="F31" s="68" t="n">
        <f aca="false">F10+F17*IFERROR(VLOOKUP("Extra data sources / triggers",'Complexity Reference'!$B$5:$F$9,2,FALSE()),0)+F18*IFERROR(VLOOKUP("AI generation steps",'Complexity Reference'!$B$5:$F$9,2,FALSE()),0)+F19*IFERROR(VLOOKUP("CRM integration",'Complexity Reference'!$B$5:$F$9,2,FALSE()),0)+F20*IFERROR(VLOOKUP("Approval workflow",'Complexity Reference'!$B$5:$F$9,2,FALSE()),0)+F21*IFERROR(VLOOKUP("Reporting layer",'Complexity Reference'!$B$5:$F$9,2,FALSE()),0)+F26</f>
        <v>2750</v>
      </c>
      <c r="G31" s="67" t="s">
        <v>336</v>
      </c>
      <c r="H31" s="67"/>
      <c r="I31" s="67"/>
      <c r="J31" s="69"/>
      <c r="N31" s="46" t="s">
        <v>341</v>
      </c>
    </row>
    <row r="32" customFormat="false" ht="21" hidden="false" customHeight="true" outlineLevel="0" collapsed="false">
      <c r="C32" s="66" t="s">
        <v>342</v>
      </c>
      <c r="D32" s="67"/>
      <c r="E32" s="67"/>
      <c r="F32" s="68" t="n">
        <f aca="false">F11+F17*IFERROR(VLOOKUP("Extra data sources / triggers",'Complexity Reference'!$B$5:$F$9,3,FALSE()),0)+F18*IFERROR(VLOOKUP("AI generation steps",'Complexity Reference'!$B$5:$F$9,3,FALSE()),0)+F19*IFERROR(VLOOKUP("CRM integration",'Complexity Reference'!$B$5:$F$9,3,FALSE()),0)+F20*IFERROR(VLOOKUP("Approval workflow",'Complexity Reference'!$B$5:$F$9,3,FALSE()),0)+F21*IFERROR(VLOOKUP("Reporting layer",'Complexity Reference'!$B$5:$F$9,3,FALSE()),0)+F26</f>
        <v>8300</v>
      </c>
      <c r="G32" s="67" t="s">
        <v>336</v>
      </c>
      <c r="H32" s="67"/>
      <c r="I32" s="67"/>
      <c r="J32" s="69"/>
    </row>
    <row r="33" customFormat="false" ht="21" hidden="false" customHeight="true" outlineLevel="0" collapsed="false">
      <c r="C33" s="66" t="s">
        <v>343</v>
      </c>
      <c r="D33" s="67"/>
      <c r="E33" s="67"/>
      <c r="F33" s="68" t="n">
        <f aca="false">F12+F17*IFERROR(VLOOKUP("Extra data sources / triggers",'Complexity Reference'!$B$5:$F$9,4,FALSE()),0)+F18*IFERROR(VLOOKUP("AI generation steps",'Complexity Reference'!$B$5:$F$9,4,FALSE()),0)+F19*IFERROR(VLOOKUP("CRM integration",'Complexity Reference'!$B$5:$F$9,4,FALSE()),0)+F20*IFERROR(VLOOKUP("Approval workflow",'Complexity Reference'!$B$5:$F$9,4,FALSE()),0)+F21*IFERROR(VLOOKUP("Reporting layer",'Complexity Reference'!$B$5:$F$9,4,FALSE()),0)+F27</f>
        <v>650</v>
      </c>
      <c r="G33" s="67" t="s">
        <v>336</v>
      </c>
      <c r="H33" s="67"/>
      <c r="I33" s="67"/>
      <c r="J33" s="69"/>
      <c r="M33" s="60" t="s">
        <v>344</v>
      </c>
      <c r="N33" s="60"/>
      <c r="O33" s="60"/>
      <c r="P33" s="60"/>
      <c r="Q33" s="60"/>
    </row>
    <row r="34" customFormat="false" ht="21" hidden="false" customHeight="true" outlineLevel="0" collapsed="false">
      <c r="C34" s="66" t="s">
        <v>345</v>
      </c>
      <c r="D34" s="67"/>
      <c r="E34" s="67"/>
      <c r="F34" s="68" t="n">
        <f aca="false">F13+F17*IFERROR(VLOOKUP("Extra data sources / triggers",'Complexity Reference'!$B$5:$F$9,5,FALSE()),0)+F18*IFERROR(VLOOKUP("AI generation steps",'Complexity Reference'!$B$5:$F$9,5,FALSE()),0)+F19*IFERROR(VLOOKUP("CRM integration",'Complexity Reference'!$B$5:$F$9,5,FALSE()),0)+F20*IFERROR(VLOOKUP("Approval workflow",'Complexity Reference'!$B$5:$F$9,5,FALSE()),0)+F21*IFERROR(VLOOKUP("Reporting layer",'Complexity Reference'!$B$5:$F$9,5,FALSE()),0)+F27</f>
        <v>2050</v>
      </c>
      <c r="G34" s="67" t="s">
        <v>336</v>
      </c>
      <c r="H34" s="67"/>
      <c r="I34" s="67"/>
      <c r="J34" s="69"/>
      <c r="M34" s="46" t="s">
        <v>346</v>
      </c>
    </row>
    <row r="35" customFormat="false" ht="21" hidden="false" customHeight="true" outlineLevel="0" collapsed="false">
      <c r="C35" s="66" t="s">
        <v>347</v>
      </c>
      <c r="D35" s="67"/>
      <c r="E35" s="67"/>
      <c r="F35" s="68" t="n">
        <f aca="false">ROUND(F31*F22*F23*F29,0)</f>
        <v>2750</v>
      </c>
      <c r="G35" s="67" t="s">
        <v>336</v>
      </c>
      <c r="H35" s="67"/>
      <c r="I35" s="67"/>
      <c r="J35" s="69"/>
      <c r="M35" s="46" t="s">
        <v>307</v>
      </c>
    </row>
    <row r="36" customFormat="false" ht="21" hidden="false" customHeight="true" outlineLevel="0" collapsed="false">
      <c r="C36" s="66" t="s">
        <v>348</v>
      </c>
      <c r="D36" s="67"/>
      <c r="E36" s="67"/>
      <c r="F36" s="68" t="n">
        <f aca="false">ROUND(F32*F22*F23*F29,0)</f>
        <v>8300</v>
      </c>
      <c r="G36" s="67" t="s">
        <v>336</v>
      </c>
      <c r="H36" s="67"/>
      <c r="I36" s="67"/>
      <c r="J36" s="69"/>
      <c r="N36" s="46" t="s">
        <v>349</v>
      </c>
    </row>
    <row r="37" customFormat="false" ht="21" hidden="false" customHeight="true" outlineLevel="0" collapsed="false">
      <c r="C37" s="66" t="s">
        <v>350</v>
      </c>
      <c r="D37" s="67"/>
      <c r="E37" s="67"/>
      <c r="F37" s="68" t="n">
        <f aca="false">ROUND(F33*F22*F30,0)</f>
        <v>650</v>
      </c>
      <c r="G37" s="67" t="s">
        <v>336</v>
      </c>
      <c r="H37" s="67"/>
      <c r="I37" s="67"/>
      <c r="J37" s="69"/>
      <c r="N37" s="46" t="s">
        <v>351</v>
      </c>
    </row>
    <row r="38" customFormat="false" ht="21" hidden="false" customHeight="true" outlineLevel="0" collapsed="false">
      <c r="C38" s="66" t="s">
        <v>352</v>
      </c>
      <c r="D38" s="67"/>
      <c r="E38" s="67"/>
      <c r="F38" s="68" t="n">
        <f aca="false">ROUND(F34*F22*F30,0)</f>
        <v>2050</v>
      </c>
      <c r="G38" s="67" t="s">
        <v>336</v>
      </c>
      <c r="H38" s="67"/>
      <c r="I38" s="67"/>
      <c r="J38" s="69"/>
      <c r="N38" s="46" t="s">
        <v>353</v>
      </c>
    </row>
    <row r="39" customFormat="false" ht="21" hidden="false" customHeight="true" outlineLevel="0" collapsed="false">
      <c r="C39" s="66" t="s">
        <v>354</v>
      </c>
      <c r="D39" s="67"/>
      <c r="E39" s="67"/>
      <c r="F39" s="68" t="n">
        <f aca="false">ROUND((F35+F36)/2,-2)</f>
        <v>5500</v>
      </c>
      <c r="G39" s="67" t="s">
        <v>336</v>
      </c>
      <c r="H39" s="67"/>
      <c r="I39" s="67"/>
      <c r="J39" s="69"/>
    </row>
    <row r="40" customFormat="false" ht="21" hidden="false" customHeight="true" outlineLevel="0" collapsed="false">
      <c r="C40" s="66" t="s">
        <v>355</v>
      </c>
      <c r="D40" s="67"/>
      <c r="E40" s="67"/>
      <c r="F40" s="68" t="n">
        <f aca="false">ROUND((F37+F38)/2,-2)</f>
        <v>1400</v>
      </c>
      <c r="G40" s="67" t="s">
        <v>336</v>
      </c>
      <c r="H40" s="67"/>
      <c r="I40" s="67"/>
      <c r="J40" s="69"/>
      <c r="M40" s="60" t="s">
        <v>356</v>
      </c>
      <c r="N40" s="60"/>
      <c r="O40" s="60"/>
      <c r="P40" s="60"/>
      <c r="Q40" s="60"/>
    </row>
    <row r="41" customFormat="false" ht="21" hidden="false" customHeight="true" outlineLevel="0" collapsed="false">
      <c r="M41" s="46" t="s">
        <v>357</v>
      </c>
    </row>
    <row r="42" customFormat="false" ht="21" hidden="false" customHeight="true" outlineLevel="0" collapsed="false">
      <c r="C42" s="70" t="s">
        <v>358</v>
      </c>
      <c r="D42" s="70"/>
      <c r="E42" s="70"/>
      <c r="F42" s="70"/>
      <c r="G42" s="70"/>
      <c r="H42" s="70"/>
      <c r="I42" s="70"/>
      <c r="J42" s="70"/>
      <c r="M42" s="46" t="s">
        <v>307</v>
      </c>
    </row>
    <row r="43" customFormat="false" ht="21" hidden="false" customHeight="true" outlineLevel="0" collapsed="false">
      <c r="C43" s="71" t="s">
        <v>359</v>
      </c>
      <c r="D43" s="71"/>
      <c r="E43" s="71"/>
      <c r="F43" s="72" t="s">
        <v>360</v>
      </c>
      <c r="G43" s="71" t="s">
        <v>361</v>
      </c>
      <c r="H43" s="71"/>
      <c r="I43" s="71"/>
      <c r="J43" s="71"/>
      <c r="N43" s="46" t="s">
        <v>362</v>
      </c>
    </row>
    <row r="44" customFormat="false" ht="21" hidden="false" customHeight="true" outlineLevel="0" collapsed="false">
      <c r="C44" s="73" t="s">
        <v>363</v>
      </c>
      <c r="D44" s="74"/>
      <c r="E44" s="74"/>
      <c r="F44" s="75" t="str">
        <f aca="false">IF(F6="","empty",IF(F10=0,"FAIL","OK"))</f>
        <v>OK</v>
      </c>
      <c r="G44" s="74" t="str">
        <f aca="false">IF(F6="","Pick a package from column J (5 scope packages only).",IF(F10=0,IF(LOWER(F6)="build-and-transfer","Build-and-Transfer is an access model — select scope package in C5 and set C6 = Build-and-transfer.","Package name doesn't match Package Reference — use column J list."),"Package found in Reference."))</f>
        <v>Package found in Reference.</v>
      </c>
      <c r="H44" s="74"/>
      <c r="I44" s="74"/>
      <c r="J44" s="76"/>
      <c r="N44" s="46" t="s">
        <v>364</v>
      </c>
    </row>
    <row r="45" customFormat="false" ht="21" hidden="false" customHeight="true" outlineLevel="0" collapsed="false">
      <c r="C45" s="73" t="s">
        <v>365</v>
      </c>
      <c r="D45" s="74"/>
      <c r="E45" s="74"/>
      <c r="F45" s="75" t="str">
        <f aca="false">IF(F7="","empty",IF(IFERROR(MATCH(F7,'Access Models'!$B$6:$B$10,0),0)=0,"FAIL","OK"))</f>
        <v>OK</v>
      </c>
      <c r="G45" s="74" t="str">
        <f aca="false">IF(F7="","Pick an access model from column L.",IF(IFERROR(MATCH(F7,'Access Models'!$B$6:$B$10,0),0)=0,"Access model doesn't match Access Models — use column L list.","Access model found."))</f>
        <v>Access model found.</v>
      </c>
      <c r="H45" s="74"/>
      <c r="I45" s="74"/>
      <c r="J45" s="76"/>
      <c r="N45" s="46" t="s">
        <v>366</v>
      </c>
    </row>
    <row r="46" customFormat="false" ht="21" hidden="false" customHeight="true" outlineLevel="0" collapsed="false">
      <c r="C46" s="73" t="s">
        <v>367</v>
      </c>
      <c r="D46" s="74"/>
      <c r="E46" s="74"/>
      <c r="F46" s="75" t="str">
        <f aca="false">IF(F8="","empty",IF(AND(F15=0,F8&lt;&gt;"No support"),"FAIL","OK"))</f>
        <v>OK</v>
      </c>
      <c r="G46" s="74" t="str">
        <f aca="false">IF(F8="","Pick a support model from column N.",IF(AND(F15=0,F8&lt;&gt;"No support"),"Support model doesn't match Complexity Reference — use column N list.","Support model found."))</f>
        <v>Support model found.</v>
      </c>
      <c r="H46" s="74"/>
      <c r="I46" s="74"/>
      <c r="J46" s="76"/>
    </row>
    <row r="47" customFormat="false" ht="21" hidden="false" customHeight="true" outlineLevel="0" collapsed="false">
      <c r="C47" s="73" t="s">
        <v>368</v>
      </c>
      <c r="D47" s="74"/>
      <c r="E47" s="74"/>
      <c r="F47" s="75" t="str">
        <f aca="false">IF(F22&lt;=1,"n/a",IF(OR(F20="",F20=0),"WARN","OK"))</f>
        <v>n/a</v>
      </c>
      <c r="G47" s="74" t="str">
        <f aca="false">IF(F22&lt;=1,"Sensitive multiplier not applied.",IF(OR(F20="",F20=0),"Sensitive data multiplier applied but Approval workflows count is 0 — sensitive content should always have at least 1 approval workflow.","Sensitive + approval workflow OK."))</f>
        <v>Sensitive multiplier not applied.</v>
      </c>
      <c r="H47" s="74"/>
      <c r="I47" s="74"/>
      <c r="J47" s="76"/>
      <c r="M47" s="60" t="s">
        <v>369</v>
      </c>
      <c r="N47" s="60"/>
      <c r="O47" s="60"/>
      <c r="P47" s="60"/>
      <c r="Q47" s="60"/>
    </row>
    <row r="48" customFormat="false" ht="21" hidden="false" customHeight="true" outlineLevel="0" collapsed="false">
      <c r="C48" s="73" t="s">
        <v>370</v>
      </c>
      <c r="D48" s="74"/>
      <c r="E48" s="74"/>
      <c r="F48" s="75" t="str">
        <f aca="false">IF(OR(F23="",F23&lt;=1),"OK",IF(F23&gt;1.3,"WARN","OK"))</f>
        <v>OK</v>
      </c>
      <c r="G48" s="74" t="str">
        <f aca="false">IF(OR(F23="",F23&lt;=1),"No urgency premium.",IF(F23&gt;1.3,"Urgency multiplier above 1.3 — confirm client accepts premium delivery cost.","Urgency premium within normal range."))</f>
        <v>No urgency premium.</v>
      </c>
      <c r="H48" s="74"/>
      <c r="I48" s="74"/>
      <c r="J48" s="76"/>
      <c r="M48" s="46" t="s">
        <v>307</v>
      </c>
    </row>
    <row r="49" customFormat="false" ht="21" hidden="false" customHeight="true" outlineLevel="0" collapsed="false">
      <c r="C49" s="73" t="s">
        <v>371</v>
      </c>
      <c r="D49" s="74"/>
      <c r="E49" s="74"/>
      <c r="F49" s="75" t="str">
        <f aca="false">IF(AND(F7="Build-and-transfer",F8="No support"),"NOTE","n/a")</f>
        <v>n/a</v>
      </c>
      <c r="G49" s="74" t="str">
        <f aca="false">IF(AND(F7="Build-and-transfer",F8="No support"),"Build-and-transfer + No support: client takes full operational risk after handover. Document this clearly.","")</f>
        <v/>
      </c>
      <c r="H49" s="74"/>
      <c r="I49" s="74"/>
      <c r="J49" s="76"/>
      <c r="N49" s="46" t="s">
        <v>372</v>
      </c>
    </row>
    <row r="50" customFormat="false" ht="21" hidden="false" customHeight="true" outlineLevel="0" collapsed="false">
      <c r="C50" s="73" t="s">
        <v>373</v>
      </c>
      <c r="D50" s="74"/>
      <c r="E50" s="74"/>
      <c r="F50" s="75" t="str">
        <f aca="false">IF(AND(F6="Basic Intake",OR(F21="",F21=0)=FALSE()),"WARN","OK")</f>
        <v>OK</v>
      </c>
      <c r="G50" s="74" t="str">
        <f aca="false">IF(AND(F6="Basic Intake",OR(F21="",F21=0)=FALSE()),"Reporting layer on Basic Intake — consider upgrading to Managed Operations or higher.","Reporting layer fits selected package.")</f>
        <v>Reporting layer fits selected package.</v>
      </c>
      <c r="H50" s="74"/>
      <c r="I50" s="74"/>
      <c r="J50" s="76"/>
      <c r="N50" s="46" t="s">
        <v>374</v>
      </c>
    </row>
    <row r="51" customFormat="false" ht="21" hidden="false" customHeight="true" outlineLevel="0" collapsed="false">
      <c r="C51" s="77"/>
      <c r="D51" s="77"/>
      <c r="E51" s="77"/>
      <c r="N51" s="46" t="s">
        <v>375</v>
      </c>
    </row>
    <row r="52" customFormat="false" ht="21" hidden="false" customHeight="true" outlineLevel="0" collapsed="false">
      <c r="C52" s="78"/>
      <c r="D52" s="77"/>
      <c r="E52" s="79" t="s">
        <v>376</v>
      </c>
      <c r="F52" s="80" t="s">
        <v>377</v>
      </c>
      <c r="G52" s="78" t="s">
        <v>378</v>
      </c>
      <c r="H52" s="43"/>
      <c r="I52" s="43"/>
      <c r="J52" s="43"/>
      <c r="N52" s="45" t="s">
        <v>379</v>
      </c>
    </row>
    <row r="53" customFormat="false" ht="21" hidden="false" customHeight="true" outlineLevel="0" collapsed="false">
      <c r="C53" s="77"/>
      <c r="D53" s="77"/>
      <c r="E53" s="77"/>
      <c r="F53" s="80" t="s">
        <v>380</v>
      </c>
      <c r="G53" s="78" t="s">
        <v>381</v>
      </c>
      <c r="H53" s="43"/>
      <c r="I53" s="43"/>
      <c r="J53" s="43"/>
      <c r="N53" s="46" t="s">
        <v>382</v>
      </c>
    </row>
    <row r="54" customFormat="false" ht="21" hidden="false" customHeight="true" outlineLevel="0" collapsed="false">
      <c r="C54" s="77"/>
      <c r="D54" s="77"/>
      <c r="E54" s="77"/>
      <c r="F54" s="80" t="s">
        <v>383</v>
      </c>
      <c r="G54" s="78" t="s">
        <v>384</v>
      </c>
      <c r="H54" s="43"/>
      <c r="I54" s="43"/>
      <c r="J54" s="43"/>
      <c r="N54" s="46" t="s">
        <v>385</v>
      </c>
    </row>
    <row r="55" customFormat="false" ht="21" hidden="false" customHeight="true" outlineLevel="0" collapsed="false">
      <c r="C55" s="77"/>
      <c r="D55" s="77"/>
      <c r="E55" s="77"/>
      <c r="F55" s="80" t="s">
        <v>386</v>
      </c>
      <c r="G55" s="78" t="s">
        <v>387</v>
      </c>
      <c r="H55" s="43"/>
      <c r="I55" s="43"/>
      <c r="J55" s="43"/>
      <c r="N55" s="46" t="s">
        <v>388</v>
      </c>
    </row>
    <row r="56" customFormat="false" ht="21" hidden="false" customHeight="true" outlineLevel="0" collapsed="false">
      <c r="C56" s="77"/>
      <c r="D56" s="77"/>
      <c r="E56" s="77"/>
      <c r="N56" s="45" t="s">
        <v>389</v>
      </c>
    </row>
    <row r="57" customFormat="false" ht="21" hidden="false" customHeight="true" outlineLevel="0" collapsed="false">
      <c r="C57" s="77"/>
      <c r="D57" s="77"/>
      <c r="E57" s="77"/>
      <c r="N57" s="46" t="s">
        <v>390</v>
      </c>
    </row>
    <row r="58" customFormat="false" ht="21" hidden="false" customHeight="true" outlineLevel="0" collapsed="false">
      <c r="C58" s="81" t="s">
        <v>391</v>
      </c>
      <c r="D58" s="81"/>
      <c r="E58" s="81"/>
      <c r="F58" s="81"/>
      <c r="G58" s="81"/>
      <c r="H58" s="81"/>
      <c r="I58" s="81"/>
      <c r="J58" s="81"/>
      <c r="N58" s="46" t="s">
        <v>392</v>
      </c>
    </row>
    <row r="60" customFormat="false" ht="21" hidden="false" customHeight="true" outlineLevel="0" collapsed="false">
      <c r="C60" s="82"/>
      <c r="D60" s="82" t="s">
        <v>393</v>
      </c>
      <c r="E60" s="83" t="s">
        <v>394</v>
      </c>
      <c r="F60" s="83"/>
      <c r="G60" s="83"/>
      <c r="H60" s="83"/>
      <c r="I60" s="83"/>
      <c r="J60" s="83"/>
    </row>
    <row r="61" customFormat="false" ht="21" hidden="false" customHeight="true" outlineLevel="0" collapsed="false">
      <c r="C61" s="82"/>
      <c r="D61" s="82" t="s">
        <v>395</v>
      </c>
      <c r="E61" s="83" t="s">
        <v>396</v>
      </c>
      <c r="F61" s="83"/>
      <c r="G61" s="83"/>
      <c r="H61" s="83"/>
      <c r="I61" s="83"/>
      <c r="J61" s="83"/>
      <c r="M61" s="60" t="s">
        <v>397</v>
      </c>
      <c r="N61" s="60"/>
      <c r="O61" s="60"/>
      <c r="P61" s="60"/>
      <c r="Q61" s="60"/>
    </row>
    <row r="62" customFormat="false" ht="21" hidden="false" customHeight="true" outlineLevel="0" collapsed="false">
      <c r="C62" s="82"/>
      <c r="D62" s="82" t="s">
        <v>398</v>
      </c>
      <c r="E62" s="83" t="s">
        <v>399</v>
      </c>
      <c r="F62" s="83"/>
      <c r="G62" s="83"/>
      <c r="H62" s="83"/>
      <c r="I62" s="83"/>
      <c r="J62" s="83"/>
      <c r="M62" s="84"/>
      <c r="N62" s="84" t="s">
        <v>231</v>
      </c>
      <c r="O62" s="84"/>
      <c r="P62" s="84" t="s">
        <v>232</v>
      </c>
      <c r="Q62" s="85"/>
    </row>
    <row r="63" customFormat="false" ht="21" hidden="false" customHeight="true" outlineLevel="0" collapsed="false">
      <c r="C63" s="86"/>
      <c r="D63" s="86"/>
      <c r="E63" s="86"/>
      <c r="F63" s="86"/>
      <c r="G63" s="86"/>
      <c r="H63" s="86"/>
      <c r="I63" s="86"/>
      <c r="M63" s="87"/>
      <c r="N63" s="87" t="s">
        <v>400</v>
      </c>
      <c r="O63" s="88"/>
      <c r="P63" s="88" t="n">
        <v>0</v>
      </c>
      <c r="Q63" s="89"/>
    </row>
    <row r="64" customFormat="false" ht="21" hidden="false" customHeight="true" outlineLevel="0" collapsed="false">
      <c r="C64" s="90"/>
      <c r="D64" s="90" t="s">
        <v>258</v>
      </c>
      <c r="E64" s="91" t="s">
        <v>401</v>
      </c>
      <c r="F64" s="91" t="s">
        <v>401</v>
      </c>
      <c r="G64" s="91" t="s">
        <v>402</v>
      </c>
      <c r="H64" s="91" t="s">
        <v>402</v>
      </c>
      <c r="I64" s="91" t="s">
        <v>402</v>
      </c>
      <c r="J64" s="91"/>
      <c r="M64" s="87"/>
      <c r="N64" s="87" t="s">
        <v>403</v>
      </c>
      <c r="O64" s="88"/>
      <c r="P64" s="88" t="n">
        <v>1</v>
      </c>
      <c r="Q64" s="89"/>
    </row>
    <row r="65" customFormat="false" ht="21" hidden="false" customHeight="true" outlineLevel="0" collapsed="false">
      <c r="C65" s="90"/>
      <c r="D65" s="91"/>
      <c r="E65" s="91" t="s">
        <v>404</v>
      </c>
      <c r="F65" s="91" t="s">
        <v>405</v>
      </c>
      <c r="G65" s="91" t="s">
        <v>404</v>
      </c>
      <c r="H65" s="91" t="s">
        <v>405</v>
      </c>
      <c r="I65" s="91"/>
      <c r="J65" s="91"/>
      <c r="M65" s="87"/>
      <c r="N65" s="87" t="s">
        <v>406</v>
      </c>
      <c r="O65" s="88"/>
      <c r="P65" s="88" t="n">
        <v>1</v>
      </c>
      <c r="Q65" s="89"/>
    </row>
    <row r="66" customFormat="false" ht="21" hidden="false" customHeight="true" outlineLevel="0" collapsed="false">
      <c r="M66" s="87"/>
      <c r="N66" s="87" t="s">
        <v>407</v>
      </c>
      <c r="O66" s="88"/>
      <c r="P66" s="88" t="n">
        <v>1</v>
      </c>
      <c r="Q66" s="89"/>
    </row>
    <row r="67" customFormat="false" ht="21" hidden="false" customHeight="true" outlineLevel="0" collapsed="false">
      <c r="C67" s="92"/>
      <c r="D67" s="93" t="s">
        <v>408</v>
      </c>
      <c r="E67" s="94" t="n">
        <f aca="false">F35</f>
        <v>2750</v>
      </c>
      <c r="F67" s="94" t="n">
        <f aca="false">F36</f>
        <v>8300</v>
      </c>
      <c r="G67" s="94" t="n">
        <f aca="false">F37</f>
        <v>650</v>
      </c>
      <c r="H67" s="94" t="n">
        <f aca="false">F38</f>
        <v>2050</v>
      </c>
      <c r="I67" s="95" t="s">
        <v>409</v>
      </c>
      <c r="J67" s="96"/>
      <c r="M67" s="87"/>
      <c r="N67" s="87" t="s">
        <v>410</v>
      </c>
      <c r="O67" s="88"/>
      <c r="P67" s="88" t="n">
        <v>0</v>
      </c>
      <c r="Q67" s="89"/>
    </row>
    <row r="68" customFormat="false" ht="21" hidden="false" customHeight="true" outlineLevel="0" collapsed="false">
      <c r="C68" s="97"/>
      <c r="D68" s="98" t="s">
        <v>411</v>
      </c>
      <c r="E68" s="99" t="n">
        <f aca="false">ROUND(F35*1.3,0)</f>
        <v>3575</v>
      </c>
      <c r="F68" s="99" t="n">
        <f aca="false">ROUND(F36*1.3,0)</f>
        <v>10790</v>
      </c>
      <c r="G68" s="99" t="n">
        <f aca="false">ROUND(F37*12*0.5,0)</f>
        <v>3900</v>
      </c>
      <c r="H68" s="99" t="n">
        <f aca="false">ROUND(F38*12*0.5,0)</f>
        <v>12300</v>
      </c>
      <c r="I68" s="100" t="s">
        <v>412</v>
      </c>
      <c r="J68" s="96"/>
      <c r="M68" s="89"/>
      <c r="N68" s="101" t="s">
        <v>413</v>
      </c>
      <c r="O68" s="89"/>
      <c r="P68" s="89" t="s">
        <v>414</v>
      </c>
      <c r="Q68" s="89"/>
    </row>
    <row r="69" customFormat="false" ht="21" hidden="false" customHeight="true" outlineLevel="0" collapsed="false">
      <c r="C69" s="102"/>
      <c r="D69" s="103" t="s">
        <v>415</v>
      </c>
      <c r="E69" s="104" t="n">
        <f aca="false">ROUND(F35+2.5*12*F37,0)</f>
        <v>22250</v>
      </c>
      <c r="F69" s="104" t="n">
        <f aca="false">ROUND(F36+2.5*12*F38,0)</f>
        <v>69800</v>
      </c>
      <c r="G69" s="94" t="n">
        <v>0</v>
      </c>
      <c r="H69" s="94" t="n">
        <v>0</v>
      </c>
      <c r="I69" s="95" t="s">
        <v>416</v>
      </c>
      <c r="J69" s="96"/>
      <c r="M69" s="89"/>
      <c r="N69" s="101" t="s">
        <v>417</v>
      </c>
      <c r="O69" s="89"/>
      <c r="P69" s="89" t="s">
        <v>418</v>
      </c>
      <c r="Q69" s="89"/>
    </row>
    <row r="70" customFormat="false" ht="21" hidden="false" customHeight="true" outlineLevel="0" collapsed="false">
      <c r="C70" s="86"/>
      <c r="D70" s="86"/>
      <c r="E70" s="86"/>
      <c r="F70" s="86"/>
      <c r="G70" s="86"/>
      <c r="H70" s="86"/>
      <c r="I70" s="86"/>
      <c r="M70" s="89"/>
      <c r="N70" s="101" t="s">
        <v>419</v>
      </c>
      <c r="O70" s="89"/>
      <c r="P70" s="89" t="s">
        <v>420</v>
      </c>
      <c r="Q70" s="89"/>
    </row>
    <row r="71" customFormat="false" ht="21" hidden="false" customHeight="true" outlineLevel="0" collapsed="false">
      <c r="C71" s="105" t="s">
        <v>421</v>
      </c>
      <c r="D71" s="105"/>
      <c r="E71" s="105"/>
      <c r="F71" s="105"/>
      <c r="G71" s="105"/>
      <c r="H71" s="105"/>
      <c r="I71" s="105"/>
      <c r="J71" s="105"/>
    </row>
  </sheetData>
  <mergeCells count="2">
    <mergeCell ref="C58:J58"/>
    <mergeCell ref="C71:J71"/>
  </mergeCells>
  <dataValidations count="3">
    <dataValidation allowBlank="true" errorStyle="stop" operator="between" showDropDown="false" showErrorMessage="true" showInputMessage="true" sqref="F6" type="list">
      <formula1>$Q$5:$Q$9</formula1>
      <formula2>0</formula2>
    </dataValidation>
    <dataValidation allowBlank="true" errorStyle="stop" operator="between" showDropDown="false" showErrorMessage="true" showInputMessage="true" sqref="F7" type="list">
      <formula1>$S$5:$S$9</formula1>
      <formula2>0</formula2>
    </dataValidation>
    <dataValidation allowBlank="true" errorStyle="stop" operator="between" showDropDown="false" showErrorMessage="true" showInputMessage="true" sqref="F8" type="list">
      <formula1>$U$5:$U$10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47"/>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c r="G4" s="106" t="s">
        <v>424</v>
      </c>
      <c r="J4" s="106" t="s">
        <v>424</v>
      </c>
    </row>
    <row r="5" customFormat="false" ht="15.75" hidden="false" customHeight="true" outlineLevel="0" collapsed="false">
      <c r="A5" s="107"/>
      <c r="B5" s="110" t="s">
        <v>425</v>
      </c>
      <c r="C5" s="110"/>
      <c r="D5" s="110"/>
      <c r="E5" s="107"/>
      <c r="G5" s="111" t="s">
        <v>426</v>
      </c>
      <c r="H5" s="112"/>
      <c r="J5" s="111" t="s">
        <v>427</v>
      </c>
      <c r="K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c r="J7" s="116" t="n">
        <v>2</v>
      </c>
      <c r="K7" s="117" t="s">
        <v>430</v>
      </c>
    </row>
    <row r="8" customFormat="false" ht="15.75" hidden="false" customHeight="true" outlineLevel="0" collapsed="false">
      <c r="A8" s="107"/>
      <c r="B8" s="115" t="s">
        <v>431</v>
      </c>
      <c r="C8" s="116" t="n">
        <v>5</v>
      </c>
      <c r="D8" s="117" t="s">
        <v>432</v>
      </c>
      <c r="E8" s="107"/>
      <c r="G8" s="116" t="n">
        <v>2</v>
      </c>
      <c r="H8" s="117" t="s">
        <v>432</v>
      </c>
      <c r="J8" s="116" t="n">
        <v>2</v>
      </c>
      <c r="K8" s="117" t="s">
        <v>432</v>
      </c>
    </row>
    <row r="9" customFormat="false" ht="15.75" hidden="false" customHeight="true" outlineLevel="0" collapsed="false">
      <c r="A9" s="107"/>
      <c r="B9" s="115" t="s">
        <v>433</v>
      </c>
      <c r="C9" s="116" t="n">
        <v>100</v>
      </c>
      <c r="D9" s="117" t="s">
        <v>434</v>
      </c>
      <c r="E9" s="107"/>
      <c r="G9" s="116" t="n">
        <v>80</v>
      </c>
      <c r="H9" s="117" t="s">
        <v>434</v>
      </c>
      <c r="J9" s="116" t="n">
        <v>80</v>
      </c>
      <c r="K9" s="117" t="s">
        <v>434</v>
      </c>
    </row>
    <row r="10" customFormat="false" ht="15.75" hidden="false" customHeight="true" outlineLevel="0" collapsed="false">
      <c r="A10" s="107"/>
      <c r="B10" s="114"/>
      <c r="C10" s="114"/>
      <c r="D10" s="114"/>
      <c r="E10" s="107"/>
      <c r="G10" s="114"/>
      <c r="H10" s="114"/>
      <c r="J10" s="114"/>
      <c r="K10" s="114"/>
    </row>
    <row r="11" customFormat="false" ht="15.75" hidden="false" customHeight="true" outlineLevel="0" collapsed="false">
      <c r="A11" s="107"/>
      <c r="B11" s="113" t="s">
        <v>435</v>
      </c>
      <c r="C11" s="114"/>
      <c r="D11" s="114"/>
      <c r="E11" s="107"/>
      <c r="G11" s="114"/>
      <c r="H11" s="114"/>
      <c r="J11" s="114"/>
      <c r="K11" s="114"/>
    </row>
    <row r="12" customFormat="false" ht="15.75" hidden="false" customHeight="true" outlineLevel="0" collapsed="false">
      <c r="A12" s="107"/>
      <c r="B12" s="115" t="s">
        <v>436</v>
      </c>
      <c r="C12" s="116" t="n">
        <v>5</v>
      </c>
      <c r="D12" s="117" t="s">
        <v>437</v>
      </c>
      <c r="E12" s="107"/>
      <c r="G12" s="116" t="n">
        <v>1</v>
      </c>
      <c r="H12" s="117" t="s">
        <v>437</v>
      </c>
      <c r="J12" s="116" t="n">
        <v>1</v>
      </c>
      <c r="K12" s="117" t="s">
        <v>437</v>
      </c>
    </row>
    <row r="13" customFormat="false" ht="15.75" hidden="false" customHeight="true" outlineLevel="0" collapsed="false">
      <c r="A13" s="107"/>
      <c r="B13" s="115" t="s">
        <v>438</v>
      </c>
      <c r="C13" s="116" t="n">
        <v>200</v>
      </c>
      <c r="D13" s="117" t="s">
        <v>439</v>
      </c>
      <c r="E13" s="107"/>
      <c r="G13" s="116" t="n">
        <v>75</v>
      </c>
      <c r="H13" s="117" t="s">
        <v>439</v>
      </c>
      <c r="J13" s="116" t="n">
        <v>125</v>
      </c>
      <c r="K13" s="117" t="s">
        <v>439</v>
      </c>
    </row>
    <row r="14" customFormat="false" ht="15.75" hidden="false" customHeight="true" outlineLevel="0" collapsed="false">
      <c r="A14" s="107"/>
      <c r="B14" s="114"/>
      <c r="C14" s="114"/>
      <c r="D14" s="114"/>
      <c r="E14" s="107"/>
      <c r="G14" s="114"/>
      <c r="H14" s="114"/>
      <c r="J14" s="114"/>
      <c r="K14" s="114"/>
    </row>
    <row r="15" customFormat="false" ht="15.75" hidden="false" customHeight="true" outlineLevel="0" collapsed="false">
      <c r="A15" s="107"/>
      <c r="B15" s="113" t="s">
        <v>440</v>
      </c>
      <c r="C15" s="114"/>
      <c r="D15" s="114"/>
      <c r="E15" s="107"/>
      <c r="G15" s="114"/>
      <c r="H15" s="114"/>
      <c r="J15" s="114"/>
      <c r="K15" s="114"/>
    </row>
    <row r="16" customFormat="false" ht="15.75" hidden="false" customHeight="true" outlineLevel="0" collapsed="false">
      <c r="A16" s="107"/>
      <c r="B16" s="115" t="s">
        <v>441</v>
      </c>
      <c r="C16" s="116" t="n">
        <v>10</v>
      </c>
      <c r="D16" s="117" t="s">
        <v>442</v>
      </c>
      <c r="E16" s="107"/>
      <c r="G16" s="116" t="n">
        <v>1</v>
      </c>
      <c r="H16" s="117" t="s">
        <v>442</v>
      </c>
      <c r="J16" s="116" t="n">
        <v>2</v>
      </c>
      <c r="K16" s="117" t="s">
        <v>442</v>
      </c>
    </row>
    <row r="17" customFormat="false" ht="15.75" hidden="false" customHeight="true" outlineLevel="0" collapsed="false">
      <c r="A17" s="107"/>
      <c r="B17" s="115" t="s">
        <v>443</v>
      </c>
      <c r="C17" s="116" t="n">
        <v>1500</v>
      </c>
      <c r="D17" s="117" t="s">
        <v>444</v>
      </c>
      <c r="E17" s="107"/>
      <c r="G17" s="116" t="n">
        <v>1000</v>
      </c>
      <c r="H17" s="117" t="s">
        <v>444</v>
      </c>
      <c r="J17" s="116" t="n">
        <v>125</v>
      </c>
      <c r="K17" s="117" t="s">
        <v>444</v>
      </c>
    </row>
    <row r="18" customFormat="false" ht="15.75" hidden="false" customHeight="true" outlineLevel="0" collapsed="false">
      <c r="A18" s="107"/>
      <c r="B18" s="114"/>
      <c r="C18" s="114"/>
      <c r="D18" s="114"/>
      <c r="E18" s="107"/>
      <c r="G18" s="114"/>
      <c r="H18" s="114"/>
      <c r="J18" s="114"/>
      <c r="K18" s="114"/>
    </row>
    <row r="19" customFormat="false" ht="15.75" hidden="false" customHeight="true" outlineLevel="0" collapsed="false">
      <c r="A19" s="107"/>
      <c r="B19" s="113" t="s">
        <v>445</v>
      </c>
      <c r="C19" s="114"/>
      <c r="D19" s="114"/>
      <c r="E19" s="107"/>
      <c r="G19" s="114"/>
      <c r="H19" s="114"/>
      <c r="J19" s="114"/>
      <c r="K19" s="114"/>
    </row>
    <row r="20" customFormat="false" ht="15.75" hidden="false" customHeight="true" outlineLevel="0" collapsed="false">
      <c r="A20" s="107"/>
      <c r="B20" s="115" t="s">
        <v>446</v>
      </c>
      <c r="C20" s="118" t="n">
        <f aca="false">'Quote Calculator'!F39</f>
        <v>5500</v>
      </c>
      <c r="D20" s="117" t="s">
        <v>447</v>
      </c>
      <c r="E20" s="107"/>
      <c r="G20" s="116" t="n">
        <v>3500</v>
      </c>
      <c r="H20" s="117" t="s">
        <v>448</v>
      </c>
      <c r="J20" s="116" t="n">
        <v>2500</v>
      </c>
      <c r="K20" s="117" t="s">
        <v>448</v>
      </c>
    </row>
    <row r="21" customFormat="false" ht="15.75" hidden="false" customHeight="true" outlineLevel="0" collapsed="false">
      <c r="A21" s="107"/>
      <c r="B21" s="115" t="s">
        <v>449</v>
      </c>
      <c r="C21" s="118" t="n">
        <f aca="false">'Quote Calculator'!F40</f>
        <v>1400</v>
      </c>
      <c r="D21" s="117" t="s">
        <v>450</v>
      </c>
      <c r="E21" s="107"/>
      <c r="G21" s="116" t="n">
        <v>1600</v>
      </c>
      <c r="H21" s="117" t="s">
        <v>451</v>
      </c>
      <c r="J21" s="116" t="n">
        <v>800</v>
      </c>
      <c r="K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c r="J23" s="111" t="s">
        <v>453</v>
      </c>
      <c r="K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c r="J25" s="118" t="n">
        <f aca="false">J7*J8*J9*4</f>
        <v>1280</v>
      </c>
      <c r="K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c r="J26" s="118" t="n">
        <f aca="false">J12*J13*4</f>
        <v>500</v>
      </c>
      <c r="K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c r="J27" s="118" t="n">
        <f aca="false">J16*J17</f>
        <v>250</v>
      </c>
      <c r="K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c r="J28" s="119" t="n">
        <f aca="false">SUM(J25:J27)</f>
        <v>2030</v>
      </c>
      <c r="K28" s="113" t="s">
        <v>459</v>
      </c>
    </row>
    <row r="29" customFormat="false" ht="15.75" hidden="false" customHeight="true" outlineLevel="0" collapsed="false">
      <c r="A29" s="107"/>
      <c r="B29" s="117" t="s">
        <v>460</v>
      </c>
      <c r="C29" s="120" t="n">
        <f aca="false">C21</f>
        <v>1400</v>
      </c>
      <c r="D29" s="117" t="s">
        <v>455</v>
      </c>
      <c r="E29" s="107"/>
      <c r="G29" s="120" t="n">
        <f aca="false">G21</f>
        <v>1600</v>
      </c>
      <c r="H29" s="117" t="s">
        <v>455</v>
      </c>
      <c r="J29" s="120" t="n">
        <f aca="false">J21</f>
        <v>800</v>
      </c>
      <c r="K29" s="117" t="s">
        <v>455</v>
      </c>
    </row>
    <row r="30" customFormat="false" ht="15.75" hidden="false" customHeight="true" outlineLevel="0" collapsed="false">
      <c r="A30" s="107"/>
      <c r="B30" s="113" t="s">
        <v>461</v>
      </c>
      <c r="C30" s="121" t="n">
        <f aca="false">C28-C29</f>
        <v>21600</v>
      </c>
      <c r="D30" s="113" t="s">
        <v>455</v>
      </c>
      <c r="E30" s="107"/>
      <c r="G30" s="121" t="n">
        <f aca="false">G28-G29</f>
        <v>2260</v>
      </c>
      <c r="H30" s="113" t="s">
        <v>455</v>
      </c>
      <c r="J30" s="121" t="n">
        <f aca="false">J28-J29</f>
        <v>1230</v>
      </c>
      <c r="K30" s="113" t="s">
        <v>455</v>
      </c>
    </row>
    <row r="31" customFormat="false" ht="15.75" hidden="false" customHeight="true" outlineLevel="0" collapsed="false">
      <c r="A31" s="107"/>
      <c r="B31" s="113" t="s">
        <v>462</v>
      </c>
      <c r="C31" s="122" t="n">
        <f aca="false">C30*12</f>
        <v>259200</v>
      </c>
      <c r="D31" s="113" t="s">
        <v>455</v>
      </c>
      <c r="E31" s="107"/>
      <c r="G31" s="122" t="n">
        <f aca="false">G30*12</f>
        <v>27120</v>
      </c>
      <c r="H31" s="113" t="s">
        <v>455</v>
      </c>
      <c r="J31" s="122" t="n">
        <f aca="false">J30*12</f>
        <v>14760</v>
      </c>
      <c r="K31" s="113" t="s">
        <v>455</v>
      </c>
    </row>
    <row r="32" customFormat="false" ht="15.75" hidden="false" customHeight="true" outlineLevel="0" collapsed="false">
      <c r="B32" s="123" t="s">
        <v>463</v>
      </c>
      <c r="C32" s="124" t="n">
        <f aca="false">C20+C21*12</f>
        <v>22300</v>
      </c>
      <c r="D32" s="125" t="s">
        <v>464</v>
      </c>
      <c r="G32" s="124" t="n">
        <f aca="false">G20+G21*12</f>
        <v>22700</v>
      </c>
      <c r="H32" s="123" t="s">
        <v>455</v>
      </c>
      <c r="J32" s="124" t="n">
        <f aca="false">J20+J21*12</f>
        <v>12100</v>
      </c>
      <c r="K32" s="123" t="s">
        <v>455</v>
      </c>
    </row>
    <row r="33" customFormat="false" ht="15.75" hidden="false" customHeight="true" outlineLevel="0" collapsed="false">
      <c r="A33" s="107"/>
      <c r="B33" s="113" t="s">
        <v>465</v>
      </c>
      <c r="C33" s="126" t="n">
        <f aca="false">IF(C30&lt;=0,"N/A",C20/C30)</f>
        <v>0.25462962962963</v>
      </c>
      <c r="D33" s="113" t="s">
        <v>466</v>
      </c>
      <c r="E33" s="107"/>
      <c r="G33" s="126" t="n">
        <f aca="false">IF(G30&lt;=0,"N/A",G20/G30)</f>
        <v>1.54867256637168</v>
      </c>
      <c r="H33" s="113" t="s">
        <v>466</v>
      </c>
      <c r="J33" s="126" t="n">
        <f aca="false">IF(J30&lt;=0,"N/A",J20/J30)</f>
        <v>2.03252032520325</v>
      </c>
      <c r="K33" s="113" t="s">
        <v>466</v>
      </c>
    </row>
    <row r="34" customFormat="false" ht="15.75" hidden="false" customHeight="true" outlineLevel="0" collapsed="false">
      <c r="A34" s="107"/>
      <c r="B34" s="123" t="s">
        <v>467</v>
      </c>
      <c r="C34" s="127" t="n">
        <f aca="false">IF(C32=0,"N/A",(C31-C20)/C32)</f>
        <v>11.3766816143498</v>
      </c>
      <c r="D34" s="125" t="s">
        <v>468</v>
      </c>
      <c r="E34" s="107"/>
      <c r="G34" s="127" t="n">
        <f aca="false">IF(G32=0,"N/A",(G31-G20)/G32)</f>
        <v>1.04052863436123</v>
      </c>
      <c r="H34" s="123" t="s">
        <v>469</v>
      </c>
      <c r="J34" s="127" t="n">
        <f aca="false">IF(J32=0,"N/A",(J31-J20)/J32)</f>
        <v>1.01322314049587</v>
      </c>
      <c r="K34" s="123" t="s">
        <v>469</v>
      </c>
    </row>
    <row r="35" customFormat="false" ht="15.75" hidden="false" customHeight="true" outlineLevel="0" collapsed="false">
      <c r="A35" s="107"/>
      <c r="B35" s="123" t="s">
        <v>470</v>
      </c>
      <c r="C35" s="128" t="n">
        <f aca="false">IF(C21=0,"N/A",C30*12/(C21*12))</f>
        <v>15.4285714285714</v>
      </c>
      <c r="E35" s="107"/>
      <c r="G35" s="129" t="n">
        <f aca="false">IF(G21=0,"N/A",G30*12/(G21*12))</f>
        <v>1.4125</v>
      </c>
      <c r="H35" s="123" t="s">
        <v>469</v>
      </c>
      <c r="J35" s="129" t="n">
        <f aca="false">IF(J21=0,"N/A",J30*12/(J21*12))</f>
        <v>1.5375</v>
      </c>
      <c r="K35" s="123" t="s">
        <v>469</v>
      </c>
    </row>
    <row r="36" customFormat="false" ht="15.75" hidden="false" customHeight="true" outlineLevel="0" collapsed="false">
      <c r="A36" s="107"/>
      <c r="B36" s="123"/>
      <c r="C36" s="123"/>
      <c r="E36" s="107"/>
      <c r="G36" s="123"/>
      <c r="H36" s="123"/>
      <c r="J36" s="123"/>
      <c r="K36" s="123"/>
    </row>
    <row r="37" customFormat="false" ht="15.75" hidden="false" customHeight="true" outlineLevel="0" collapsed="false">
      <c r="B37" s="110" t="s">
        <v>471</v>
      </c>
      <c r="C37" s="110"/>
      <c r="D37" s="110"/>
      <c r="E37" s="107"/>
    </row>
    <row r="38" customFormat="false" ht="15.75" hidden="false" customHeight="true" outlineLevel="0" collapsed="false">
      <c r="B38" s="123" t="s">
        <v>472</v>
      </c>
      <c r="C38" s="130" t="n">
        <f aca="false">IF(C20+C28=0,"N/A",(C28*12-C20)/12)</f>
        <v>22541.6666666667</v>
      </c>
      <c r="D38" s="125" t="s">
        <v>473</v>
      </c>
      <c r="E38" s="107"/>
      <c r="G38" s="130" t="n">
        <f aca="false">IF(G20+G28=0,"N/A",(G28*12-G20)/12)</f>
        <v>3568.33333333333</v>
      </c>
      <c r="H38" s="125" t="s">
        <v>474</v>
      </c>
      <c r="J38" s="130" t="n">
        <f aca="false">IF(J20+J28=0,"N/A",(J28*12-J20)/12)</f>
        <v>1821.66666666667</v>
      </c>
      <c r="K38" s="125" t="s">
        <v>474</v>
      </c>
    </row>
    <row r="39" customFormat="false" ht="15.75" hidden="false" customHeight="true" outlineLevel="0" collapsed="false">
      <c r="B39" s="125" t="s">
        <v>475</v>
      </c>
      <c r="C39" s="130" t="n">
        <f aca="false">IF(C38="N/A","N/A",C38-C21)</f>
        <v>21141.6666666667</v>
      </c>
      <c r="D39" s="125" t="s">
        <v>476</v>
      </c>
      <c r="E39" s="107"/>
      <c r="G39" s="130" t="n">
        <f aca="false">IF(G38="N/A","N/A",G38-G21)</f>
        <v>1968.33333333333</v>
      </c>
      <c r="H39" s="125" t="s">
        <v>474</v>
      </c>
      <c r="J39" s="130" t="n">
        <f aca="false">IF(J38="N/A","N/A",J38-J21)</f>
        <v>1021.66666666667</v>
      </c>
      <c r="K39" s="125" t="s">
        <v>474</v>
      </c>
    </row>
    <row r="40" customFormat="false" ht="15.75" hidden="false" customHeight="true" outlineLevel="0" collapsed="false">
      <c r="B40" s="123"/>
      <c r="C40" s="125"/>
      <c r="D40" s="125"/>
      <c r="E40" s="107"/>
      <c r="G40" s="125"/>
      <c r="H40" s="125"/>
      <c r="J40" s="125"/>
      <c r="K40" s="125"/>
    </row>
    <row r="41" customFormat="false" ht="15.75" hidden="false" customHeight="true" outlineLevel="0" collapsed="false">
      <c r="B41" s="131" t="s">
        <v>477</v>
      </c>
      <c r="C41" s="131"/>
      <c r="D41" s="131"/>
      <c r="E41" s="107"/>
    </row>
    <row r="42" customFormat="false" ht="15.75" hidden="false" customHeight="true" outlineLevel="0" collapsed="false">
      <c r="B42" s="123" t="s">
        <v>478</v>
      </c>
      <c r="C42" s="132" t="n">
        <v>0</v>
      </c>
      <c r="D42" s="125" t="s">
        <v>479</v>
      </c>
      <c r="E42" s="107"/>
      <c r="G42" s="132" t="n">
        <v>0</v>
      </c>
      <c r="H42" s="125" t="s">
        <v>474</v>
      </c>
      <c r="J42" s="132" t="n">
        <v>0</v>
      </c>
      <c r="K42" s="125" t="s">
        <v>474</v>
      </c>
    </row>
    <row r="43" customFormat="false" ht="15.75" hidden="false" customHeight="true" outlineLevel="0" collapsed="false">
      <c r="B43" s="123" t="s">
        <v>480</v>
      </c>
      <c r="C43" s="133" t="str">
        <f aca="false">IF(C42=0,"(enter staffing cost above)",C42-C21)</f>
        <v>(enter staffing cost above)</v>
      </c>
      <c r="D43" s="125" t="s">
        <v>481</v>
      </c>
      <c r="E43" s="107"/>
      <c r="G43" s="133" t="str">
        <f aca="false">IF(G42=0,"(enter staffing cost above)",G42-G21)</f>
        <v>(enter staffing cost above)</v>
      </c>
      <c r="H43" s="125" t="s">
        <v>474</v>
      </c>
      <c r="J43" s="133" t="str">
        <f aca="false">IF(J42=0,"(enter staffing cost above)",J42-J21)</f>
        <v>(enter staffing cost above)</v>
      </c>
      <c r="K43" s="125" t="s">
        <v>474</v>
      </c>
    </row>
    <row r="44" customFormat="false" ht="15.75" hidden="false" customHeight="true" outlineLevel="0" collapsed="false">
      <c r="E44" s="107"/>
    </row>
    <row r="45" customFormat="false" ht="88.5" hidden="false" customHeight="true" outlineLevel="0" collapsed="false">
      <c r="B45" s="134" t="s">
        <v>482</v>
      </c>
      <c r="C45" s="134"/>
      <c r="D45" s="134"/>
      <c r="E45" s="107"/>
      <c r="J45" s="125"/>
    </row>
    <row r="46" customFormat="false" ht="15.75" hidden="false" customHeight="true" outlineLevel="0" collapsed="false">
      <c r="E46" s="107"/>
    </row>
    <row r="47" customFormat="false" ht="88.5" hidden="false" customHeight="true" outlineLevel="0" collapsed="false">
      <c r="A47" s="107"/>
      <c r="B47" s="135" t="s">
        <v>483</v>
      </c>
      <c r="C47" s="135"/>
      <c r="D47" s="135"/>
      <c r="E47" s="107"/>
    </row>
  </sheetData>
  <mergeCells count="5">
    <mergeCell ref="B5:D5"/>
    <mergeCell ref="B23:D23"/>
    <mergeCell ref="B37:D37"/>
    <mergeCell ref="B45:D45"/>
    <mergeCell ref="B47:D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B32" s="123" t="s">
        <v>463</v>
      </c>
      <c r="C32" s="124" t="n">
        <f aca="false">C20+C21*12</f>
        <v>48200</v>
      </c>
      <c r="D32" s="125" t="s">
        <v>464</v>
      </c>
      <c r="G32" s="124" t="n">
        <f aca="false">G20+G21*12</f>
        <v>22700</v>
      </c>
      <c r="H32" s="123" t="s">
        <v>455</v>
      </c>
    </row>
    <row r="33" customFormat="false" ht="15.75" hidden="false" customHeight="true" outlineLevel="0" collapsed="false">
      <c r="A33" s="107"/>
      <c r="B33" s="113" t="s">
        <v>465</v>
      </c>
      <c r="C33" s="126" t="n">
        <f aca="false">IF(C30&lt;=0,"N/A",C20/C30)</f>
        <v>0.968523002421308</v>
      </c>
      <c r="D33" s="113" t="s">
        <v>466</v>
      </c>
      <c r="E33" s="107"/>
      <c r="G33" s="126" t="n">
        <f aca="false">IF(G30&lt;=0,"N/A",G20/G30)</f>
        <v>1.54867256637168</v>
      </c>
      <c r="H33" s="113" t="s">
        <v>466</v>
      </c>
    </row>
    <row r="34" customFormat="false" ht="15.75" hidden="false" customHeight="true" outlineLevel="0" collapsed="false">
      <c r="A34" s="107"/>
      <c r="B34" s="123" t="s">
        <v>467</v>
      </c>
      <c r="C34" s="127" t="n">
        <f aca="false">IF(C32=0,"N/A",(C31-C20)/C32)</f>
        <v>4.72614107883817</v>
      </c>
      <c r="D34" s="125" t="s">
        <v>468</v>
      </c>
      <c r="E34" s="107"/>
      <c r="G34" s="127" t="n">
        <f aca="false">IF(G32=0,"N/A",(G31-G20)/G32)</f>
        <v>1.04052863436123</v>
      </c>
      <c r="H34" s="123" t="s">
        <v>469</v>
      </c>
    </row>
    <row r="35" customFormat="false" ht="15.75" hidden="false" customHeight="true" outlineLevel="0" collapsed="false">
      <c r="A35" s="107"/>
      <c r="B35" s="123" t="s">
        <v>470</v>
      </c>
      <c r="C35" s="128" t="n">
        <f aca="false">IF(C21=0,"N/A",C30*12/(C21*12))</f>
        <v>8.78723404255319</v>
      </c>
      <c r="E35" s="107"/>
      <c r="G35" s="129" t="n">
        <f aca="false">IF(G21=0,"N/A",G30*12/(G21*12))</f>
        <v>1.4125</v>
      </c>
      <c r="H35" s="123" t="s">
        <v>469</v>
      </c>
    </row>
    <row r="36" customFormat="false" ht="88.5" hidden="false" customHeight="true" outlineLevel="0" collapsed="false">
      <c r="A36" s="107"/>
      <c r="B36" s="136" t="s">
        <v>483</v>
      </c>
      <c r="C36" s="136"/>
      <c r="D36" s="136"/>
      <c r="E36" s="107"/>
    </row>
  </sheetData>
  <mergeCells count="3">
    <mergeCell ref="B5:D5"/>
    <mergeCell ref="B23:D23"/>
    <mergeCell ref="B36:D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A32" s="107"/>
      <c r="B32" s="113" t="s">
        <v>465</v>
      </c>
      <c r="C32" s="126" t="n">
        <f aca="false">IF(C30&lt;=0,"N/A",C20/C30)</f>
        <v>0.968523002421308</v>
      </c>
      <c r="D32" s="113" t="s">
        <v>466</v>
      </c>
      <c r="E32" s="107"/>
      <c r="G32" s="126" t="n">
        <f aca="false">IF(G30&lt;=0,"N/A",G20/G30)</f>
        <v>1.54867256637168</v>
      </c>
      <c r="H32" s="113" t="s">
        <v>466</v>
      </c>
    </row>
    <row r="33" customFormat="false" ht="15.75" hidden="false" customHeight="true" outlineLevel="0" collapsed="false">
      <c r="A33" s="107"/>
      <c r="B33" s="113" t="s">
        <v>467</v>
      </c>
      <c r="C33" s="137" t="n">
        <f aca="false">IF(C20=0,"N/A",(C30*12-C20)/C20)</f>
        <v>11.39</v>
      </c>
      <c r="D33" s="113" t="s">
        <v>486</v>
      </c>
      <c r="E33" s="107"/>
      <c r="G33" s="137" t="n">
        <f aca="false">IF(G20=0,"N/A",(G30*12-G20)/G20)</f>
        <v>6.74857142857143</v>
      </c>
      <c r="H33" s="113" t="s">
        <v>486</v>
      </c>
    </row>
    <row r="34" customFormat="false" ht="15.75" hidden="false" customHeight="true" outlineLevel="0" collapsed="false">
      <c r="A34" s="107"/>
      <c r="B34" s="114"/>
      <c r="C34" s="114"/>
      <c r="D34" s="114"/>
      <c r="E34" s="107"/>
    </row>
    <row r="35" customFormat="false" ht="88.5" hidden="false" customHeight="true" outlineLevel="0" collapsed="false">
      <c r="A35" s="107"/>
      <c r="B35" s="138" t="s">
        <v>487</v>
      </c>
      <c r="C35" s="138"/>
      <c r="D35" s="138"/>
      <c r="E35" s="107"/>
    </row>
  </sheetData>
  <mergeCells count="3">
    <mergeCell ref="B5:D5"/>
    <mergeCell ref="B23:D23"/>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L1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12" min="2" style="1" width="13.83"/>
  </cols>
  <sheetData>
    <row r="2" customFormat="false" ht="33.75" hidden="false" customHeight="true" outlineLevel="0" collapsed="false">
      <c r="B2" s="2" t="s">
        <v>488</v>
      </c>
      <c r="C2" s="2"/>
      <c r="D2" s="2"/>
      <c r="E2" s="2"/>
      <c r="F2" s="2"/>
      <c r="G2" s="2"/>
      <c r="H2" s="2"/>
      <c r="I2" s="2"/>
      <c r="J2" s="2"/>
      <c r="K2" s="2"/>
      <c r="L2" s="2"/>
    </row>
    <row r="3" customFormat="false" ht="21" hidden="false" customHeight="true" outlineLevel="0" collapsed="false">
      <c r="B3" s="139" t="s">
        <v>489</v>
      </c>
      <c r="C3" s="140"/>
      <c r="D3" s="140"/>
      <c r="E3" s="140"/>
      <c r="F3" s="140"/>
      <c r="G3" s="140"/>
      <c r="H3" s="140"/>
      <c r="I3" s="140"/>
      <c r="J3" s="140"/>
      <c r="K3" s="140"/>
      <c r="L3" s="140"/>
    </row>
    <row r="5" customFormat="false" ht="30" hidden="false" customHeight="true" outlineLevel="0" collapsed="false">
      <c r="B5" s="141" t="s">
        <v>251</v>
      </c>
      <c r="C5" s="141" t="s">
        <v>490</v>
      </c>
      <c r="D5" s="141" t="s">
        <v>491</v>
      </c>
      <c r="E5" s="141" t="s">
        <v>492</v>
      </c>
      <c r="F5" s="141" t="s">
        <v>493</v>
      </c>
      <c r="G5" s="141" t="s">
        <v>494</v>
      </c>
      <c r="H5" s="141" t="s">
        <v>495</v>
      </c>
      <c r="I5" s="141" t="s">
        <v>258</v>
      </c>
      <c r="J5" s="141" t="s">
        <v>496</v>
      </c>
      <c r="K5" s="141" t="s">
        <v>497</v>
      </c>
      <c r="L5" s="142" t="s">
        <v>498</v>
      </c>
    </row>
    <row r="6" customFormat="false" ht="33.75" hidden="false" customHeight="true" outlineLevel="0" collapsed="false">
      <c r="B6" s="143" t="s">
        <v>248</v>
      </c>
      <c r="C6" s="143" t="n">
        <v>750</v>
      </c>
      <c r="D6" s="143" t="n">
        <v>1800</v>
      </c>
      <c r="E6" s="143" t="n">
        <v>150</v>
      </c>
      <c r="F6" s="143" t="n">
        <v>450</v>
      </c>
      <c r="G6" s="144" t="s">
        <v>499</v>
      </c>
      <c r="H6" s="144" t="s">
        <v>500</v>
      </c>
      <c r="I6" s="144" t="s">
        <v>501</v>
      </c>
      <c r="J6" s="144" t="s">
        <v>502</v>
      </c>
      <c r="K6" s="144" t="s">
        <v>503</v>
      </c>
      <c r="L6" s="144" t="s">
        <v>504</v>
      </c>
    </row>
    <row r="7" customFormat="false" ht="33.75" hidden="false" customHeight="true" outlineLevel="0" collapsed="false">
      <c r="B7" s="143" t="s">
        <v>505</v>
      </c>
      <c r="C7" s="143" t="n">
        <v>1500</v>
      </c>
      <c r="D7" s="143" t="n">
        <v>3500</v>
      </c>
      <c r="E7" s="143" t="n">
        <v>300</v>
      </c>
      <c r="F7" s="143" t="n">
        <v>750</v>
      </c>
      <c r="G7" s="144" t="s">
        <v>506</v>
      </c>
      <c r="H7" s="144" t="s">
        <v>507</v>
      </c>
      <c r="I7" s="144" t="s">
        <v>508</v>
      </c>
      <c r="J7" s="144" t="s">
        <v>509</v>
      </c>
      <c r="K7" s="144" t="s">
        <v>510</v>
      </c>
      <c r="L7" s="144" t="s">
        <v>511</v>
      </c>
    </row>
    <row r="8" customFormat="false" ht="33.75" hidden="false" customHeight="true" outlineLevel="0" collapsed="false">
      <c r="B8" s="143" t="s">
        <v>512</v>
      </c>
      <c r="C8" s="143" t="n">
        <v>3500</v>
      </c>
      <c r="D8" s="143" t="n">
        <v>7500</v>
      </c>
      <c r="E8" s="143" t="n">
        <v>750</v>
      </c>
      <c r="F8" s="143" t="n">
        <v>1500</v>
      </c>
      <c r="G8" s="144" t="s">
        <v>513</v>
      </c>
      <c r="H8" s="144" t="s">
        <v>514</v>
      </c>
      <c r="I8" s="144" t="s">
        <v>515</v>
      </c>
      <c r="J8" s="144" t="s">
        <v>516</v>
      </c>
      <c r="K8" s="144" t="s">
        <v>517</v>
      </c>
      <c r="L8" s="144" t="s">
        <v>518</v>
      </c>
    </row>
    <row r="9" customFormat="false" ht="33.75" hidden="false" customHeight="true" outlineLevel="0" collapsed="false">
      <c r="B9" s="143" t="s">
        <v>519</v>
      </c>
      <c r="C9" s="143" t="n">
        <v>7500</v>
      </c>
      <c r="D9" s="143" t="n">
        <v>15000</v>
      </c>
      <c r="E9" s="143" t="n">
        <v>1500</v>
      </c>
      <c r="F9" s="143" t="n">
        <v>3500</v>
      </c>
      <c r="G9" s="144" t="s">
        <v>520</v>
      </c>
      <c r="H9" s="144" t="s">
        <v>521</v>
      </c>
      <c r="I9" s="144" t="s">
        <v>522</v>
      </c>
      <c r="J9" s="144" t="s">
        <v>523</v>
      </c>
      <c r="K9" s="144" t="s">
        <v>524</v>
      </c>
      <c r="L9" s="144" t="s">
        <v>525</v>
      </c>
    </row>
    <row r="10" customFormat="false" ht="33.75" hidden="false" customHeight="true" outlineLevel="0" collapsed="false">
      <c r="B10" s="143" t="s">
        <v>266</v>
      </c>
      <c r="C10" s="143" t="n">
        <v>12000</v>
      </c>
      <c r="D10" s="143" t="n">
        <v>30000</v>
      </c>
      <c r="E10" s="143" t="n">
        <v>2500</v>
      </c>
      <c r="F10" s="143" t="n">
        <v>6000</v>
      </c>
      <c r="G10" s="144" t="s">
        <v>526</v>
      </c>
      <c r="H10" s="144" t="s">
        <v>527</v>
      </c>
      <c r="I10" s="144" t="s">
        <v>528</v>
      </c>
      <c r="J10" s="144" t="s">
        <v>529</v>
      </c>
      <c r="K10" s="144" t="s">
        <v>530</v>
      </c>
      <c r="L10" s="144" t="s">
        <v>531</v>
      </c>
    </row>
    <row r="11" customFormat="false" ht="33.75" hidden="false" customHeight="true" outlineLevel="0" collapsed="false">
      <c r="B11" s="145" t="s">
        <v>532</v>
      </c>
      <c r="C11" s="143" t="n">
        <v>4500</v>
      </c>
      <c r="D11" s="143" t="n">
        <v>15000</v>
      </c>
      <c r="E11" s="143" t="n">
        <v>0</v>
      </c>
      <c r="F11" s="143" t="n">
        <v>1000</v>
      </c>
      <c r="G11" s="144" t="s">
        <v>533</v>
      </c>
      <c r="H11" s="144" t="s">
        <v>534</v>
      </c>
      <c r="I11" s="144" t="s">
        <v>535</v>
      </c>
      <c r="J11" s="144" t="s">
        <v>536</v>
      </c>
      <c r="K11" s="144" t="s">
        <v>537</v>
      </c>
      <c r="L11" s="144" t="s">
        <v>538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N3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1.83"/>
    <col collapsed="false" customWidth="true" hidden="false" outlineLevel="0" max="5" min="5" style="1" width="56"/>
    <col collapsed="false" customWidth="true" hidden="false" outlineLevel="0" max="6" min="6" style="1" width="21.83"/>
    <col collapsed="false" customWidth="true" hidden="false" outlineLevel="0" max="10" min="8" style="1" width="21.83"/>
    <col collapsed="false" customWidth="true" hidden="false" outlineLevel="0" max="12" min="12" style="1" width="11.83"/>
    <col collapsed="false" customWidth="true" hidden="false" outlineLevel="0" max="13" min="13" style="1" width="21.83"/>
    <col collapsed="false" customWidth="true" hidden="false" outlineLevel="0" max="14" min="14" style="1" width="22"/>
  </cols>
  <sheetData>
    <row r="2" customFormat="false" ht="33.75" hidden="false" customHeight="true" outlineLevel="0" collapsed="false">
      <c r="B2" s="2" t="s">
        <v>539</v>
      </c>
      <c r="C2" s="2"/>
      <c r="D2" s="2"/>
      <c r="E2" s="2"/>
      <c r="F2" s="2"/>
      <c r="G2" s="2"/>
      <c r="H2" s="2"/>
      <c r="I2" s="2"/>
      <c r="J2" s="2"/>
      <c r="K2" s="2"/>
      <c r="L2" s="2"/>
      <c r="M2" s="2"/>
      <c r="N2" s="2"/>
    </row>
    <row r="3" customFormat="false" ht="15" hidden="false" customHeight="true" outlineLevel="0" collapsed="false">
      <c r="B3" s="146" t="s">
        <v>540</v>
      </c>
    </row>
    <row r="4" customFormat="false" ht="15" hidden="false" customHeight="true" outlineLevel="0" collapsed="false"/>
    <row r="5" customFormat="false" ht="27.75" hidden="false" customHeight="true" outlineLevel="0" collapsed="false">
      <c r="B5" s="141" t="s">
        <v>541</v>
      </c>
      <c r="C5" s="147" t="s">
        <v>542</v>
      </c>
      <c r="D5" s="141" t="s">
        <v>543</v>
      </c>
      <c r="E5" s="141" t="s">
        <v>544</v>
      </c>
      <c r="F5" s="141" t="s">
        <v>545</v>
      </c>
      <c r="G5" s="141" t="s">
        <v>546</v>
      </c>
      <c r="H5" s="141" t="s">
        <v>547</v>
      </c>
      <c r="I5" s="141" t="s">
        <v>548</v>
      </c>
      <c r="J5" s="141" t="s">
        <v>496</v>
      </c>
      <c r="K5" s="141" t="s">
        <v>549</v>
      </c>
      <c r="L5" s="141" t="s">
        <v>550</v>
      </c>
      <c r="M5" s="141" t="s">
        <v>551</v>
      </c>
      <c r="N5" s="141" t="s">
        <v>552</v>
      </c>
    </row>
    <row r="6" customFormat="false" ht="33.75" hidden="false" customHeight="true" outlineLevel="0" collapsed="false">
      <c r="B6" s="148" t="s">
        <v>256</v>
      </c>
      <c r="C6" s="149" t="s">
        <v>553</v>
      </c>
      <c r="D6" s="149" t="s">
        <v>554</v>
      </c>
      <c r="E6" s="149" t="s">
        <v>555</v>
      </c>
      <c r="F6" s="149" t="s">
        <v>556</v>
      </c>
      <c r="G6" s="1" t="s">
        <v>557</v>
      </c>
      <c r="H6" s="149" t="s">
        <v>558</v>
      </c>
      <c r="I6" s="149" t="s">
        <v>559</v>
      </c>
      <c r="J6" s="1" t="s">
        <v>560</v>
      </c>
      <c r="K6" s="150" t="n">
        <v>1</v>
      </c>
      <c r="L6" s="150" t="s">
        <v>561</v>
      </c>
      <c r="M6" s="149" t="s">
        <v>562</v>
      </c>
      <c r="N6" s="30" t="s">
        <v>408</v>
      </c>
    </row>
    <row r="7" customFormat="false" ht="33.75" hidden="false" customHeight="true" outlineLevel="0" collapsed="false">
      <c r="B7" s="148" t="s">
        <v>563</v>
      </c>
      <c r="C7" s="149" t="s">
        <v>564</v>
      </c>
      <c r="D7" s="149" t="s">
        <v>565</v>
      </c>
      <c r="E7" s="149" t="s">
        <v>566</v>
      </c>
      <c r="F7" s="149" t="s">
        <v>556</v>
      </c>
      <c r="G7" s="1" t="s">
        <v>557</v>
      </c>
      <c r="H7" s="149" t="s">
        <v>567</v>
      </c>
      <c r="I7" s="149" t="s">
        <v>568</v>
      </c>
      <c r="J7" s="1" t="s">
        <v>569</v>
      </c>
      <c r="K7" s="150" t="n">
        <v>1.1</v>
      </c>
      <c r="L7" s="150" t="s">
        <v>570</v>
      </c>
      <c r="M7" s="149" t="s">
        <v>571</v>
      </c>
      <c r="N7" s="30" t="s">
        <v>411</v>
      </c>
    </row>
    <row r="8" customFormat="false" ht="33.75" hidden="false" customHeight="true" outlineLevel="0" collapsed="false">
      <c r="B8" s="148" t="s">
        <v>572</v>
      </c>
      <c r="C8" s="149" t="s">
        <v>573</v>
      </c>
      <c r="D8" s="149" t="s">
        <v>574</v>
      </c>
      <c r="E8" s="149" t="s">
        <v>575</v>
      </c>
      <c r="F8" s="149" t="s">
        <v>576</v>
      </c>
      <c r="G8" s="1" t="s">
        <v>577</v>
      </c>
      <c r="H8" s="149" t="s">
        <v>578</v>
      </c>
      <c r="I8" s="149" t="s">
        <v>579</v>
      </c>
      <c r="J8" s="1" t="s">
        <v>580</v>
      </c>
      <c r="K8" s="150" t="n">
        <v>1.2</v>
      </c>
      <c r="L8" s="150" t="s">
        <v>581</v>
      </c>
      <c r="M8" s="149" t="s">
        <v>582</v>
      </c>
      <c r="N8" s="30" t="s">
        <v>411</v>
      </c>
    </row>
    <row r="9" customFormat="false" ht="33.75" hidden="false" customHeight="true" outlineLevel="0" collapsed="false">
      <c r="B9" s="148" t="s">
        <v>583</v>
      </c>
      <c r="C9" s="149" t="s">
        <v>584</v>
      </c>
      <c r="D9" s="149" t="s">
        <v>585</v>
      </c>
      <c r="E9" s="149" t="s">
        <v>586</v>
      </c>
      <c r="F9" s="149" t="s">
        <v>587</v>
      </c>
      <c r="G9" s="1" t="s">
        <v>577</v>
      </c>
      <c r="H9" s="149" t="s">
        <v>588</v>
      </c>
      <c r="I9" s="149" t="s">
        <v>589</v>
      </c>
      <c r="J9" s="1" t="s">
        <v>590</v>
      </c>
      <c r="K9" s="150" t="n">
        <v>1.5</v>
      </c>
      <c r="L9" s="150" t="s">
        <v>591</v>
      </c>
      <c r="M9" s="149" t="s">
        <v>592</v>
      </c>
      <c r="N9" s="30" t="s">
        <v>411</v>
      </c>
    </row>
    <row r="10" customFormat="false" ht="33.75" hidden="false" customHeight="true" outlineLevel="0" collapsed="false">
      <c r="B10" s="148" t="s">
        <v>593</v>
      </c>
      <c r="C10" s="149" t="s">
        <v>594</v>
      </c>
      <c r="D10" s="149" t="s">
        <v>595</v>
      </c>
      <c r="E10" s="149" t="s">
        <v>596</v>
      </c>
      <c r="F10" s="149" t="s">
        <v>597</v>
      </c>
      <c r="G10" s="1" t="s">
        <v>598</v>
      </c>
      <c r="H10" s="151" t="s">
        <v>599</v>
      </c>
      <c r="I10" s="149" t="s">
        <v>600</v>
      </c>
      <c r="J10" s="152" t="s">
        <v>601</v>
      </c>
      <c r="K10" s="150" t="n">
        <v>2</v>
      </c>
      <c r="L10" s="150" t="s">
        <v>602</v>
      </c>
      <c r="M10" s="149" t="s">
        <v>603</v>
      </c>
      <c r="N10" s="153" t="s">
        <v>604</v>
      </c>
    </row>
    <row r="12" customFormat="false" ht="15.75" hidden="false" customHeight="true" outlineLevel="0" collapsed="false">
      <c r="B12" s="154"/>
      <c r="C12" s="154" t="s">
        <v>605</v>
      </c>
      <c r="D12" s="154" t="s">
        <v>606</v>
      </c>
      <c r="E12" s="154" t="s">
        <v>607</v>
      </c>
    </row>
    <row r="13" customFormat="false" ht="15" hidden="false" customHeight="true" outlineLevel="0" collapsed="false">
      <c r="C13" s="155" t="s">
        <v>608</v>
      </c>
      <c r="E13" s="156" t="s">
        <v>609</v>
      </c>
    </row>
    <row r="14" customFormat="false" ht="15" hidden="false" customHeight="true" outlineLevel="0" collapsed="false">
      <c r="C14" s="155" t="s">
        <v>610</v>
      </c>
      <c r="E14" s="156" t="s">
        <v>611</v>
      </c>
    </row>
    <row r="15" customFormat="false" ht="15" hidden="false" customHeight="true" outlineLevel="0" collapsed="false">
      <c r="C15" s="155" t="s">
        <v>612</v>
      </c>
      <c r="E15" s="156" t="s">
        <v>613</v>
      </c>
    </row>
    <row r="16" customFormat="false" ht="15" hidden="false" customHeight="true" outlineLevel="0" collapsed="false">
      <c r="C16" s="155" t="s">
        <v>614</v>
      </c>
      <c r="E16" s="156" t="s">
        <v>615</v>
      </c>
    </row>
    <row r="17" customFormat="false" ht="15" hidden="false" customHeight="true" outlineLevel="0" collapsed="false">
      <c r="C17" s="155" t="s">
        <v>616</v>
      </c>
      <c r="E17" s="156" t="s">
        <v>617</v>
      </c>
    </row>
    <row r="18" customFormat="false" ht="21.75" hidden="false" customHeight="true" outlineLevel="0" collapsed="false">
      <c r="C18" s="155" t="s">
        <v>618</v>
      </c>
      <c r="E18" s="156" t="s">
        <v>619</v>
      </c>
    </row>
    <row r="19" customFormat="false" ht="15" hidden="false" customHeight="true" outlineLevel="0" collapsed="false">
      <c r="C19" s="155" t="s">
        <v>620</v>
      </c>
      <c r="E19" s="156" t="s">
        <v>621</v>
      </c>
    </row>
    <row r="20" customFormat="false" ht="15" hidden="false" customHeight="true" outlineLevel="0" collapsed="false">
      <c r="C20" s="155" t="s">
        <v>622</v>
      </c>
      <c r="E20" s="156" t="s">
        <v>623</v>
      </c>
    </row>
    <row r="21" customFormat="false" ht="15" hidden="false" customHeight="true" outlineLevel="0" collapsed="false">
      <c r="C21" s="155" t="s">
        <v>624</v>
      </c>
      <c r="E21" s="156" t="s">
        <v>625</v>
      </c>
    </row>
    <row r="22" customFormat="false" ht="15" hidden="false" customHeight="true" outlineLevel="0" collapsed="false">
      <c r="C22" s="155" t="s">
        <v>626</v>
      </c>
      <c r="E22" s="156" t="s">
        <v>627</v>
      </c>
    </row>
    <row r="23" customFormat="false" ht="15" hidden="false" customHeight="true" outlineLevel="0" collapsed="false">
      <c r="C23" s="155" t="s">
        <v>628</v>
      </c>
      <c r="E23" s="156" t="s">
        <v>629</v>
      </c>
    </row>
    <row r="24" customFormat="false" ht="15" hidden="false" customHeight="true" outlineLevel="0" collapsed="false">
      <c r="D24" s="155" t="s">
        <v>630</v>
      </c>
      <c r="E24" s="156" t="s">
        <v>631</v>
      </c>
    </row>
    <row r="25" customFormat="false" ht="15" hidden="false" customHeight="true" outlineLevel="0" collapsed="false">
      <c r="C25" s="155" t="s">
        <v>632</v>
      </c>
      <c r="E25" s="156" t="s">
        <v>633</v>
      </c>
    </row>
    <row r="26" customFormat="false" ht="15" hidden="false" customHeight="true" outlineLevel="0" collapsed="false">
      <c r="C26" s="155" t="s">
        <v>634</v>
      </c>
      <c r="E26" s="156" t="s">
        <v>635</v>
      </c>
    </row>
    <row r="27" customFormat="false" ht="15" hidden="false" customHeight="true" outlineLevel="0" collapsed="false">
      <c r="D27" s="155" t="s">
        <v>636</v>
      </c>
      <c r="E27" s="156" t="s">
        <v>637</v>
      </c>
    </row>
    <row r="28" customFormat="false" ht="15" hidden="false" customHeight="true" outlineLevel="0" collapsed="false">
      <c r="D28" s="155" t="s">
        <v>638</v>
      </c>
      <c r="E28" s="156" t="s">
        <v>639</v>
      </c>
    </row>
    <row r="29" customFormat="false" ht="15" hidden="false" customHeight="true" outlineLevel="0" collapsed="false">
      <c r="D29" s="155" t="s">
        <v>640</v>
      </c>
      <c r="E29" s="156" t="s">
        <v>641</v>
      </c>
    </row>
    <row r="30" customFormat="false" ht="21.75" hidden="false" customHeight="true" outlineLevel="0" collapsed="false">
      <c r="D30" s="155" t="s">
        <v>642</v>
      </c>
      <c r="E30" s="156" t="s">
        <v>643</v>
      </c>
    </row>
    <row r="31" customFormat="false" ht="15" hidden="false" customHeight="true" outlineLevel="0" collapsed="false">
      <c r="D31" s="155" t="s">
        <v>644</v>
      </c>
      <c r="E31" s="156" t="s">
        <v>645</v>
      </c>
    </row>
    <row r="32" customFormat="false" ht="21.75" hidden="false" customHeight="true" outlineLevel="0" collapsed="false">
      <c r="D32" s="155" t="s">
        <v>646</v>
      </c>
      <c r="E32" s="156" t="s">
        <v>647</v>
      </c>
    </row>
    <row r="33" customFormat="false" ht="15" hidden="false" customHeight="true" outlineLevel="0" collapsed="false">
      <c r="D33" s="155" t="s">
        <v>648</v>
      </c>
      <c r="E33" s="156" t="s">
        <v>649</v>
      </c>
    </row>
    <row r="34" customFormat="false" ht="15" hidden="false" customHeight="true" outlineLevel="0" collapsed="false">
      <c r="D34" s="155" t="s">
        <v>650</v>
      </c>
      <c r="E34" s="156" t="s">
        <v>651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S20"/>
  <sheetViews>
    <sheetView showFormulas="false" showGridLines="true" showRowColHeaders="true" showZeros="true" rightToLeft="false" tabSelected="false" showOutlineSymbols="true" defaultGridColor="true" view="normal" topLeftCell="J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13.83"/>
    <col collapsed="false" customWidth="true" hidden="false" outlineLevel="0" max="10" min="4" style="1" width="21.83"/>
    <col collapsed="false" customWidth="true" hidden="false" outlineLevel="0" max="19" min="15" style="1" width="21.83"/>
  </cols>
  <sheetData>
    <row r="2" customFormat="false" ht="33.75" hidden="false" customHeight="true" outlineLevel="0" collapsed="false">
      <c r="B2" s="2" t="s">
        <v>652</v>
      </c>
      <c r="C2" s="2"/>
      <c r="D2" s="2"/>
      <c r="E2" s="2"/>
      <c r="F2" s="2"/>
      <c r="G2" s="2"/>
      <c r="H2" s="2"/>
      <c r="I2" s="2"/>
      <c r="J2" s="2"/>
      <c r="L2" s="157" t="s">
        <v>653</v>
      </c>
      <c r="M2" s="157"/>
      <c r="N2" s="157"/>
      <c r="O2" s="157"/>
      <c r="P2" s="157"/>
      <c r="Q2" s="157"/>
      <c r="R2" s="157"/>
      <c r="S2" s="157"/>
    </row>
    <row r="4" customFormat="false" ht="33.75" hidden="false" customHeight="true" outlineLevel="0" collapsed="false">
      <c r="B4" s="141" t="s">
        <v>654</v>
      </c>
      <c r="C4" s="141" t="s">
        <v>490</v>
      </c>
      <c r="D4" s="141" t="s">
        <v>491</v>
      </c>
      <c r="E4" s="141" t="s">
        <v>492</v>
      </c>
      <c r="F4" s="141" t="s">
        <v>493</v>
      </c>
      <c r="G4" s="141" t="s">
        <v>655</v>
      </c>
      <c r="H4" s="141" t="s">
        <v>656</v>
      </c>
      <c r="I4" s="141" t="s">
        <v>282</v>
      </c>
      <c r="J4" s="141" t="s">
        <v>657</v>
      </c>
      <c r="L4" s="141" t="s">
        <v>658</v>
      </c>
      <c r="M4" s="141" t="s">
        <v>659</v>
      </c>
      <c r="N4" s="141" t="s">
        <v>660</v>
      </c>
      <c r="O4" s="141" t="s">
        <v>661</v>
      </c>
      <c r="P4" s="141" t="s">
        <v>662</v>
      </c>
      <c r="Q4" s="141" t="s">
        <v>663</v>
      </c>
      <c r="R4" s="141" t="s">
        <v>664</v>
      </c>
      <c r="S4" s="141" t="s">
        <v>665</v>
      </c>
    </row>
    <row r="5" customFormat="false" ht="21" hidden="false" customHeight="true" outlineLevel="0" collapsed="false">
      <c r="B5" s="1" t="s">
        <v>299</v>
      </c>
      <c r="C5" s="1" t="n">
        <v>500</v>
      </c>
      <c r="D5" s="1" t="n">
        <v>1500</v>
      </c>
      <c r="E5" s="1" t="n">
        <v>100</v>
      </c>
      <c r="F5" s="1" t="n">
        <v>300</v>
      </c>
      <c r="G5" s="1" t="s">
        <v>666</v>
      </c>
      <c r="H5" s="1" t="s">
        <v>667</v>
      </c>
      <c r="I5" s="1" t="s">
        <v>668</v>
      </c>
      <c r="J5" s="1" t="s">
        <v>669</v>
      </c>
      <c r="L5" s="158" t="s">
        <v>244</v>
      </c>
      <c r="M5" s="159" t="n">
        <v>0</v>
      </c>
      <c r="N5" s="159" t="n">
        <v>1</v>
      </c>
      <c r="O5" s="1" t="s">
        <v>670</v>
      </c>
      <c r="P5" s="1" t="s">
        <v>671</v>
      </c>
      <c r="Q5" s="1" t="s">
        <v>672</v>
      </c>
      <c r="R5" s="1" t="s">
        <v>673</v>
      </c>
      <c r="S5" s="1" t="s">
        <v>674</v>
      </c>
    </row>
    <row r="6" customFormat="false" ht="21" hidden="false" customHeight="true" outlineLevel="0" collapsed="false">
      <c r="B6" s="1" t="s">
        <v>330</v>
      </c>
      <c r="C6" s="1" t="n">
        <v>500</v>
      </c>
      <c r="D6" s="1" t="n">
        <v>2000</v>
      </c>
      <c r="E6" s="1" t="n">
        <v>150</v>
      </c>
      <c r="F6" s="1" t="n">
        <v>500</v>
      </c>
      <c r="G6" s="1" t="s">
        <v>675</v>
      </c>
      <c r="H6" s="1" t="s">
        <v>676</v>
      </c>
      <c r="I6" s="1" t="s">
        <v>677</v>
      </c>
      <c r="J6" s="1" t="s">
        <v>678</v>
      </c>
      <c r="L6" s="158" t="s">
        <v>252</v>
      </c>
      <c r="M6" s="159" t="n">
        <v>0.5</v>
      </c>
      <c r="N6" s="159" t="n">
        <v>1</v>
      </c>
      <c r="O6" s="1" t="s">
        <v>679</v>
      </c>
      <c r="P6" s="1" t="s">
        <v>680</v>
      </c>
      <c r="Q6" s="1" t="s">
        <v>681</v>
      </c>
      <c r="R6" s="1" t="s">
        <v>682</v>
      </c>
      <c r="S6" s="1" t="s">
        <v>674</v>
      </c>
    </row>
    <row r="7" customFormat="false" ht="21" hidden="false" customHeight="true" outlineLevel="0" collapsed="false">
      <c r="B7" s="1" t="s">
        <v>683</v>
      </c>
      <c r="C7" s="1" t="n">
        <v>750</v>
      </c>
      <c r="D7" s="1" t="n">
        <v>2500</v>
      </c>
      <c r="E7" s="1" t="n">
        <v>200</v>
      </c>
      <c r="F7" s="1" t="n">
        <v>600</v>
      </c>
      <c r="G7" s="1" t="s">
        <v>684</v>
      </c>
      <c r="H7" s="1" t="s">
        <v>685</v>
      </c>
      <c r="I7" s="1" t="s">
        <v>686</v>
      </c>
      <c r="J7" s="1" t="s">
        <v>687</v>
      </c>
      <c r="L7" s="158" t="s">
        <v>259</v>
      </c>
      <c r="M7" s="159" t="n">
        <v>1</v>
      </c>
      <c r="N7" s="159" t="n">
        <v>1</v>
      </c>
      <c r="O7" s="1" t="s">
        <v>688</v>
      </c>
      <c r="P7" s="1" t="s">
        <v>689</v>
      </c>
      <c r="Q7" s="1" t="s">
        <v>690</v>
      </c>
      <c r="R7" s="1" t="s">
        <v>691</v>
      </c>
      <c r="S7" s="1" t="s">
        <v>692</v>
      </c>
    </row>
    <row r="8" customFormat="false" ht="21" hidden="false" customHeight="true" outlineLevel="0" collapsed="false">
      <c r="B8" s="1" t="s">
        <v>693</v>
      </c>
      <c r="C8" s="1" t="n">
        <v>750</v>
      </c>
      <c r="D8" s="1" t="n">
        <v>2000</v>
      </c>
      <c r="E8" s="1" t="n">
        <v>150</v>
      </c>
      <c r="F8" s="1" t="n">
        <v>500</v>
      </c>
      <c r="G8" s="1" t="s">
        <v>694</v>
      </c>
      <c r="H8" s="1" t="s">
        <v>695</v>
      </c>
      <c r="I8" s="1" t="s">
        <v>696</v>
      </c>
      <c r="J8" s="1" t="s">
        <v>697</v>
      </c>
      <c r="L8" s="158" t="s">
        <v>698</v>
      </c>
      <c r="M8" s="159" t="n">
        <v>1.5</v>
      </c>
      <c r="N8" s="159" t="n">
        <v>1</v>
      </c>
      <c r="O8" s="1" t="s">
        <v>699</v>
      </c>
      <c r="P8" s="1" t="s">
        <v>700</v>
      </c>
      <c r="Q8" s="1" t="s">
        <v>701</v>
      </c>
      <c r="R8" s="1" t="s">
        <v>702</v>
      </c>
      <c r="S8" s="1" t="s">
        <v>703</v>
      </c>
    </row>
    <row r="9" customFormat="false" ht="21" hidden="false" customHeight="true" outlineLevel="0" collapsed="false">
      <c r="B9" s="1" t="s">
        <v>704</v>
      </c>
      <c r="C9" s="1" t="n">
        <v>500</v>
      </c>
      <c r="D9" s="1" t="n">
        <v>2000</v>
      </c>
      <c r="E9" s="1" t="n">
        <v>250</v>
      </c>
      <c r="F9" s="1" t="n">
        <v>900</v>
      </c>
      <c r="G9" s="1" t="s">
        <v>705</v>
      </c>
      <c r="H9" s="1" t="s">
        <v>706</v>
      </c>
      <c r="I9" s="1" t="s">
        <v>256</v>
      </c>
      <c r="J9" s="1" t="s">
        <v>707</v>
      </c>
      <c r="L9" s="158" t="s">
        <v>267</v>
      </c>
      <c r="M9" s="159" t="n">
        <v>2</v>
      </c>
      <c r="N9" s="159" t="n">
        <v>1</v>
      </c>
      <c r="O9" s="1" t="s">
        <v>708</v>
      </c>
      <c r="P9" s="1" t="s">
        <v>671</v>
      </c>
      <c r="Q9" s="1" t="s">
        <v>709</v>
      </c>
      <c r="R9" s="1" t="s">
        <v>710</v>
      </c>
      <c r="S9" s="1" t="s">
        <v>711</v>
      </c>
    </row>
    <row r="10" customFormat="false" ht="21" hidden="false" customHeight="true" outlineLevel="0" collapsed="false">
      <c r="B10" s="1" t="s">
        <v>712</v>
      </c>
      <c r="C10" s="1" t="n">
        <v>0</v>
      </c>
      <c r="D10" s="1" t="n">
        <v>0</v>
      </c>
      <c r="E10" s="1" t="n">
        <v>0</v>
      </c>
      <c r="F10" s="1" t="n">
        <v>0</v>
      </c>
      <c r="G10" s="1" t="s">
        <v>713</v>
      </c>
      <c r="H10" s="1" t="s">
        <v>714</v>
      </c>
      <c r="I10" s="1" t="s">
        <v>715</v>
      </c>
      <c r="J10" s="1" t="s">
        <v>716</v>
      </c>
      <c r="L10" s="158" t="s">
        <v>272</v>
      </c>
      <c r="M10" s="159" t="n">
        <v>3</v>
      </c>
      <c r="N10" s="159" t="n">
        <v>1</v>
      </c>
      <c r="O10" s="1" t="s">
        <v>717</v>
      </c>
      <c r="P10" s="1" t="s">
        <v>718</v>
      </c>
      <c r="Q10" s="1" t="s">
        <v>719</v>
      </c>
      <c r="R10" s="1" t="s">
        <v>720</v>
      </c>
      <c r="S10" s="1" t="s">
        <v>721</v>
      </c>
    </row>
    <row r="11" customFormat="false" ht="21" hidden="false" customHeight="true" outlineLevel="0" collapsed="false">
      <c r="B11" s="1" t="s">
        <v>722</v>
      </c>
      <c r="C11" s="1" t="n">
        <v>0</v>
      </c>
      <c r="D11" s="1" t="n">
        <v>0</v>
      </c>
      <c r="E11" s="1" t="n">
        <v>0</v>
      </c>
      <c r="F11" s="1" t="n">
        <v>0</v>
      </c>
      <c r="G11" s="1" t="s">
        <v>723</v>
      </c>
      <c r="H11" s="1" t="s">
        <v>724</v>
      </c>
      <c r="I11" s="1" t="s">
        <v>725</v>
      </c>
      <c r="J11" s="1" t="s">
        <v>726</v>
      </c>
    </row>
    <row r="12" customFormat="false" ht="21" hidden="false" customHeight="true" outlineLevel="0" collapsed="false">
      <c r="B12" s="1" t="s">
        <v>671</v>
      </c>
      <c r="C12" s="1" t="n">
        <v>0</v>
      </c>
      <c r="D12" s="1" t="n">
        <v>0</v>
      </c>
      <c r="E12" s="1" t="n">
        <v>0</v>
      </c>
      <c r="F12" s="1" t="n">
        <v>0</v>
      </c>
      <c r="G12" s="1" t="s">
        <v>727</v>
      </c>
      <c r="H12" s="1" t="s">
        <v>728</v>
      </c>
      <c r="I12" s="1" t="s">
        <v>593</v>
      </c>
      <c r="J12" s="1" t="s">
        <v>729</v>
      </c>
    </row>
    <row r="14" customFormat="false" ht="33.75" hidden="false" customHeight="true" outlineLevel="0" collapsed="false">
      <c r="B14" s="141" t="s">
        <v>730</v>
      </c>
      <c r="C14" s="141" t="s">
        <v>731</v>
      </c>
      <c r="D14" s="141" t="s">
        <v>732</v>
      </c>
      <c r="E14" s="141" t="s">
        <v>547</v>
      </c>
      <c r="F14" s="141" t="s">
        <v>542</v>
      </c>
      <c r="G14" s="141" t="s">
        <v>733</v>
      </c>
      <c r="H14" s="141" t="s">
        <v>657</v>
      </c>
      <c r="I14" s="141" t="s">
        <v>734</v>
      </c>
      <c r="J14" s="141" t="s">
        <v>735</v>
      </c>
    </row>
    <row r="15" customFormat="false" ht="21" hidden="false" customHeight="true" outlineLevel="0" collapsed="false">
      <c r="B15" s="1" t="s">
        <v>244</v>
      </c>
      <c r="C15" s="160" t="n">
        <v>0</v>
      </c>
      <c r="D15" s="1" t="s">
        <v>736</v>
      </c>
      <c r="E15" s="1" t="s">
        <v>737</v>
      </c>
      <c r="F15" s="1" t="s">
        <v>738</v>
      </c>
      <c r="G15" s="1" t="s">
        <v>739</v>
      </c>
      <c r="H15" s="1" t="s">
        <v>740</v>
      </c>
      <c r="I15" s="1" t="s">
        <v>673</v>
      </c>
      <c r="J15" s="1" t="s">
        <v>741</v>
      </c>
    </row>
    <row r="16" customFormat="false" ht="21" hidden="false" customHeight="true" outlineLevel="0" collapsed="false">
      <c r="B16" s="1" t="s">
        <v>252</v>
      </c>
      <c r="C16" s="160" t="n">
        <v>0.5</v>
      </c>
      <c r="D16" s="1" t="s">
        <v>742</v>
      </c>
      <c r="E16" s="1" t="s">
        <v>743</v>
      </c>
      <c r="F16" s="1" t="s">
        <v>744</v>
      </c>
      <c r="G16" s="1" t="s">
        <v>745</v>
      </c>
      <c r="H16" s="1" t="s">
        <v>746</v>
      </c>
      <c r="I16" s="1" t="s">
        <v>747</v>
      </c>
      <c r="J16" s="1" t="s">
        <v>748</v>
      </c>
    </row>
    <row r="17" customFormat="false" ht="21" hidden="false" customHeight="true" outlineLevel="0" collapsed="false">
      <c r="B17" s="1" t="s">
        <v>259</v>
      </c>
      <c r="C17" s="160" t="n">
        <v>1</v>
      </c>
      <c r="D17" s="1" t="s">
        <v>749</v>
      </c>
      <c r="E17" s="1" t="s">
        <v>750</v>
      </c>
      <c r="F17" s="1" t="s">
        <v>751</v>
      </c>
      <c r="G17" s="1" t="s">
        <v>752</v>
      </c>
      <c r="H17" s="1" t="s">
        <v>753</v>
      </c>
      <c r="I17" s="1" t="s">
        <v>691</v>
      </c>
      <c r="J17" s="1" t="s">
        <v>558</v>
      </c>
    </row>
    <row r="18" customFormat="false" ht="21" hidden="false" customHeight="true" outlineLevel="0" collapsed="false">
      <c r="B18" s="1" t="s">
        <v>698</v>
      </c>
      <c r="C18" s="160" t="n">
        <v>1.5</v>
      </c>
      <c r="D18" s="1" t="s">
        <v>754</v>
      </c>
      <c r="E18" s="1" t="s">
        <v>755</v>
      </c>
      <c r="F18" s="1" t="s">
        <v>756</v>
      </c>
      <c r="G18" s="1" t="s">
        <v>757</v>
      </c>
      <c r="H18" s="1" t="s">
        <v>758</v>
      </c>
      <c r="I18" s="1" t="s">
        <v>759</v>
      </c>
      <c r="J18" s="1" t="s">
        <v>760</v>
      </c>
    </row>
    <row r="19" customFormat="false" ht="21" hidden="false" customHeight="true" outlineLevel="0" collapsed="false">
      <c r="B19" s="1" t="s">
        <v>267</v>
      </c>
      <c r="C19" s="160" t="n">
        <v>2</v>
      </c>
      <c r="D19" s="1" t="s">
        <v>761</v>
      </c>
      <c r="E19" s="1" t="s">
        <v>762</v>
      </c>
      <c r="F19" s="1" t="s">
        <v>763</v>
      </c>
      <c r="G19" s="1" t="s">
        <v>764</v>
      </c>
      <c r="H19" s="1" t="s">
        <v>765</v>
      </c>
      <c r="I19" s="1" t="s">
        <v>766</v>
      </c>
      <c r="J19" s="1" t="s">
        <v>767</v>
      </c>
    </row>
    <row r="20" customFormat="false" ht="21" hidden="false" customHeight="true" outlineLevel="0" collapsed="false">
      <c r="B20" s="1" t="s">
        <v>272</v>
      </c>
      <c r="C20" s="160" t="n">
        <v>3</v>
      </c>
      <c r="D20" s="1" t="s">
        <v>768</v>
      </c>
      <c r="E20" s="1" t="s">
        <v>769</v>
      </c>
      <c r="F20" s="1" t="s">
        <v>770</v>
      </c>
      <c r="G20" s="1" t="s">
        <v>771</v>
      </c>
      <c r="H20" s="1" t="s">
        <v>772</v>
      </c>
      <c r="I20" s="1" t="s">
        <v>720</v>
      </c>
      <c r="J20" s="1" t="s">
        <v>773</v>
      </c>
    </row>
  </sheetData>
  <mergeCells count="1">
    <mergeCell ref="L2:S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11" min="8" style="1" width="21.83"/>
  </cols>
  <sheetData>
    <row r="2" customFormat="false" ht="33.75" hidden="false" customHeight="true" outlineLevel="0" collapsed="false">
      <c r="B2" s="2" t="s">
        <v>774</v>
      </c>
      <c r="C2" s="2"/>
      <c r="D2" s="2"/>
      <c r="E2" s="2"/>
      <c r="F2" s="2"/>
      <c r="G2" s="2"/>
      <c r="H2" s="2"/>
      <c r="I2" s="2"/>
      <c r="J2" s="2"/>
      <c r="K2" s="2"/>
    </row>
    <row r="3" customFormat="false" ht="54.75" hidden="false" customHeight="true" outlineLevel="0" collapsed="false">
      <c r="B3" s="161" t="s">
        <v>775</v>
      </c>
      <c r="C3" s="161"/>
      <c r="D3" s="161"/>
      <c r="E3" s="161"/>
      <c r="F3" s="161"/>
      <c r="G3" s="161"/>
      <c r="H3" s="161"/>
      <c r="I3" s="161"/>
      <c r="J3" s="161"/>
    </row>
    <row r="4" customFormat="false" ht="27.75" hidden="false" customHeight="true" outlineLevel="0" collapsed="false">
      <c r="B4" s="161"/>
      <c r="C4" s="161"/>
      <c r="D4" s="161"/>
      <c r="E4" s="161"/>
      <c r="F4" s="161"/>
      <c r="G4" s="161"/>
      <c r="H4" s="161"/>
      <c r="I4" s="161"/>
      <c r="J4" s="161"/>
    </row>
    <row r="5" customFormat="false" ht="30" hidden="false" customHeight="true" outlineLevel="0" collapsed="false"/>
    <row r="6" customFormat="false" ht="30" hidden="false" customHeight="true" outlineLevel="0" collapsed="false">
      <c r="B6" s="141" t="s">
        <v>657</v>
      </c>
      <c r="C6" s="141" t="s">
        <v>251</v>
      </c>
      <c r="D6" s="141" t="s">
        <v>490</v>
      </c>
      <c r="E6" s="141" t="s">
        <v>491</v>
      </c>
      <c r="F6" s="141" t="s">
        <v>492</v>
      </c>
      <c r="G6" s="141" t="s">
        <v>493</v>
      </c>
      <c r="H6" s="141" t="s">
        <v>776</v>
      </c>
      <c r="I6" s="141" t="s">
        <v>258</v>
      </c>
      <c r="J6" s="141" t="s">
        <v>282</v>
      </c>
      <c r="K6" s="162" t="s">
        <v>360</v>
      </c>
    </row>
    <row r="7" customFormat="false" ht="30" hidden="false" customHeight="true" outlineLevel="0" collapsed="false">
      <c r="B7" s="149" t="s">
        <v>777</v>
      </c>
      <c r="C7" s="1" t="s">
        <v>505</v>
      </c>
      <c r="D7" s="1" t="n">
        <v>3500</v>
      </c>
      <c r="E7" s="1" t="n">
        <v>10000</v>
      </c>
      <c r="F7" s="1" t="n">
        <v>800</v>
      </c>
      <c r="G7" s="1" t="n">
        <v>2350</v>
      </c>
      <c r="H7" s="149" t="s">
        <v>778</v>
      </c>
      <c r="I7" s="1" t="s">
        <v>779</v>
      </c>
      <c r="J7" s="149" t="s">
        <v>780</v>
      </c>
      <c r="K7" s="163" t="s">
        <v>781</v>
      </c>
    </row>
    <row r="8" customFormat="false" ht="30" hidden="false" customHeight="true" outlineLevel="0" collapsed="false">
      <c r="B8" s="149" t="s">
        <v>782</v>
      </c>
      <c r="C8" s="1" t="s">
        <v>248</v>
      </c>
      <c r="D8" s="1" t="n">
        <v>1200</v>
      </c>
      <c r="E8" s="1" t="n">
        <v>2500</v>
      </c>
      <c r="F8" s="1" t="n">
        <v>250</v>
      </c>
      <c r="G8" s="1" t="n">
        <v>500</v>
      </c>
      <c r="H8" s="149" t="s">
        <v>783</v>
      </c>
      <c r="I8" s="1" t="s">
        <v>779</v>
      </c>
      <c r="J8" s="149" t="s">
        <v>784</v>
      </c>
      <c r="K8" s="164" t="s">
        <v>785</v>
      </c>
    </row>
    <row r="9" customFormat="false" ht="30" hidden="false" customHeight="true" outlineLevel="0" collapsed="false">
      <c r="B9" s="149" t="s">
        <v>786</v>
      </c>
      <c r="C9" s="1" t="s">
        <v>512</v>
      </c>
      <c r="D9" s="1" t="n">
        <v>3500</v>
      </c>
      <c r="E9" s="1" t="n">
        <v>7500</v>
      </c>
      <c r="F9" s="1" t="n">
        <v>750</v>
      </c>
      <c r="G9" s="1" t="n">
        <v>1500</v>
      </c>
      <c r="H9" s="149" t="s">
        <v>787</v>
      </c>
      <c r="I9" s="1" t="s">
        <v>788</v>
      </c>
      <c r="J9" s="149" t="s">
        <v>789</v>
      </c>
      <c r="K9" s="164" t="s">
        <v>785</v>
      </c>
    </row>
    <row r="10" customFormat="false" ht="30" hidden="false" customHeight="true" outlineLevel="0" collapsed="false">
      <c r="B10" s="149" t="s">
        <v>790</v>
      </c>
      <c r="C10" s="1" t="s">
        <v>519</v>
      </c>
      <c r="D10" s="1" t="n">
        <v>7500</v>
      </c>
      <c r="E10" s="1" t="n">
        <v>15000</v>
      </c>
      <c r="F10" s="1" t="n">
        <v>1500</v>
      </c>
      <c r="G10" s="1" t="n">
        <v>3500</v>
      </c>
      <c r="H10" s="149" t="s">
        <v>791</v>
      </c>
      <c r="I10" s="1" t="s">
        <v>788</v>
      </c>
      <c r="J10" s="149" t="s">
        <v>792</v>
      </c>
      <c r="K10" s="164" t="s">
        <v>785</v>
      </c>
    </row>
    <row r="11" customFormat="false" ht="30" hidden="false" customHeight="true" outlineLevel="0" collapsed="false">
      <c r="B11" s="149" t="s">
        <v>793</v>
      </c>
      <c r="C11" s="1" t="s">
        <v>266</v>
      </c>
      <c r="D11" s="1" t="n">
        <v>12000</v>
      </c>
      <c r="E11" s="1" t="n">
        <v>30000</v>
      </c>
      <c r="F11" s="1" t="n">
        <v>2500</v>
      </c>
      <c r="G11" s="1" t="n">
        <v>6000</v>
      </c>
      <c r="H11" s="149" t="s">
        <v>794</v>
      </c>
      <c r="I11" s="1" t="s">
        <v>795</v>
      </c>
      <c r="J11" s="149" t="s">
        <v>529</v>
      </c>
      <c r="K11" s="164" t="s">
        <v>785</v>
      </c>
    </row>
    <row r="12" customFormat="false" ht="30" hidden="false" customHeight="true" outlineLevel="0" collapsed="false">
      <c r="B12" s="149" t="s">
        <v>796</v>
      </c>
      <c r="C12" s="1" t="s">
        <v>532</v>
      </c>
      <c r="D12" s="1" t="n">
        <v>4500</v>
      </c>
      <c r="E12" s="1" t="n">
        <v>15000</v>
      </c>
      <c r="F12" s="1" t="n">
        <v>0</v>
      </c>
      <c r="G12" s="1" t="n">
        <v>1000</v>
      </c>
      <c r="H12" s="149" t="s">
        <v>797</v>
      </c>
      <c r="I12" s="1" t="s">
        <v>798</v>
      </c>
      <c r="J12" s="149" t="s">
        <v>799</v>
      </c>
      <c r="K12" s="164" t="s">
        <v>785</v>
      </c>
    </row>
    <row r="13" customFormat="false" ht="68.65" hidden="false" customHeight="false" outlineLevel="0" collapsed="false">
      <c r="B13" s="149" t="s">
        <v>800</v>
      </c>
      <c r="C13" s="1" t="s">
        <v>505</v>
      </c>
      <c r="D13" s="1" t="n">
        <v>1300</v>
      </c>
      <c r="E13" s="1" t="n">
        <v>2700</v>
      </c>
      <c r="F13" s="1" t="n">
        <v>200</v>
      </c>
      <c r="G13" s="1" t="n">
        <v>500</v>
      </c>
      <c r="H13" s="149" t="s">
        <v>801</v>
      </c>
      <c r="I13" s="1" t="s">
        <v>779</v>
      </c>
      <c r="J13" s="149" t="s">
        <v>802</v>
      </c>
      <c r="K13" s="164" t="s">
        <v>785</v>
      </c>
    </row>
    <row r="14" customFormat="false" ht="68.65" hidden="false" customHeight="false" outlineLevel="0" collapsed="false">
      <c r="B14" s="149" t="s">
        <v>803</v>
      </c>
      <c r="C14" s="1" t="s">
        <v>505</v>
      </c>
      <c r="D14" s="1" t="n">
        <v>2000</v>
      </c>
      <c r="E14" s="1" t="n">
        <v>4500</v>
      </c>
      <c r="F14" s="1" t="n">
        <v>400</v>
      </c>
      <c r="G14" s="1" t="n">
        <v>900</v>
      </c>
      <c r="H14" s="149" t="s">
        <v>804</v>
      </c>
      <c r="I14" s="1" t="s">
        <v>779</v>
      </c>
      <c r="J14" s="149" t="s">
        <v>805</v>
      </c>
      <c r="K14" s="164" t="s">
        <v>785</v>
      </c>
    </row>
  </sheetData>
  <mergeCells count="1">
    <mergeCell ref="B3: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4"/>
    <col collapsed="false" customWidth="true" hidden="false" outlineLevel="0" max="4" min="3" style="1" width="11"/>
    <col collapsed="false" customWidth="true" hidden="false" outlineLevel="0" max="6" min="5" style="1" width="13"/>
    <col collapsed="false" customWidth="true" hidden="false" outlineLevel="0" max="7" min="7" style="1" width="9"/>
    <col collapsed="false" customWidth="true" hidden="false" outlineLevel="0" max="8" min="8" style="1" width="28"/>
    <col collapsed="false" customWidth="true" hidden="false" outlineLevel="0" max="9" min="9" style="1" width="26"/>
  </cols>
  <sheetData>
    <row r="2" customFormat="false" ht="33.75" hidden="false" customHeight="true" outlineLevel="0" collapsed="false">
      <c r="B2" s="2" t="s">
        <v>806</v>
      </c>
      <c r="C2" s="2"/>
      <c r="D2" s="2"/>
      <c r="E2" s="2"/>
      <c r="F2" s="2"/>
      <c r="G2" s="2"/>
      <c r="H2" s="2"/>
      <c r="I2" s="2"/>
    </row>
    <row r="3" customFormat="false" ht="60" hidden="false" customHeight="true" outlineLevel="0" collapsed="false">
      <c r="B3" s="165" t="s">
        <v>807</v>
      </c>
      <c r="C3" s="165"/>
      <c r="D3" s="165"/>
      <c r="E3" s="165"/>
      <c r="F3" s="165"/>
      <c r="G3" s="165"/>
      <c r="H3" s="165"/>
      <c r="I3" s="165"/>
      <c r="J3" s="15"/>
      <c r="K3" s="15"/>
    </row>
    <row r="5" customFormat="false" ht="30" hidden="false" customHeight="true" outlineLevel="0" collapsed="false">
      <c r="B5" s="166" t="s">
        <v>782</v>
      </c>
      <c r="C5" s="167" t="s">
        <v>808</v>
      </c>
      <c r="D5" s="167"/>
      <c r="E5" s="167"/>
      <c r="F5" s="167"/>
      <c r="G5" s="167"/>
      <c r="H5" s="167"/>
      <c r="I5" s="167"/>
    </row>
    <row r="6" customFormat="false" ht="15" hidden="false" customHeight="true" outlineLevel="0" collapsed="false">
      <c r="B6" s="168" t="s">
        <v>809</v>
      </c>
      <c r="C6" s="168" t="s">
        <v>810</v>
      </c>
      <c r="D6" s="168" t="s">
        <v>811</v>
      </c>
      <c r="E6" s="168" t="s">
        <v>812</v>
      </c>
      <c r="F6" s="168" t="s">
        <v>813</v>
      </c>
      <c r="G6" s="168" t="s">
        <v>814</v>
      </c>
      <c r="H6" s="169" t="s">
        <v>815</v>
      </c>
      <c r="I6" s="169" t="s">
        <v>816</v>
      </c>
    </row>
    <row r="7" customFormat="false" ht="25.5" hidden="false" customHeight="true" outlineLevel="0" collapsed="false">
      <c r="B7" s="10" t="s">
        <v>408</v>
      </c>
      <c r="C7" s="170" t="n">
        <v>1200</v>
      </c>
      <c r="D7" s="170" t="n">
        <v>2500</v>
      </c>
      <c r="E7" s="170" t="n">
        <v>250</v>
      </c>
      <c r="F7" s="170" t="n">
        <v>500</v>
      </c>
      <c r="G7" s="171" t="s">
        <v>409</v>
      </c>
      <c r="H7" s="172" t="s">
        <v>817</v>
      </c>
      <c r="I7" s="173" t="s">
        <v>785</v>
      </c>
    </row>
    <row r="8" customFormat="false" ht="25.5" hidden="false" customHeight="true" outlineLevel="0" collapsed="false">
      <c r="B8" s="9" t="s">
        <v>818</v>
      </c>
      <c r="C8" s="174" t="n">
        <v>1560</v>
      </c>
      <c r="D8" s="174" t="n">
        <v>3250</v>
      </c>
      <c r="E8" s="174" t="n">
        <v>1500</v>
      </c>
      <c r="F8" s="174" t="n">
        <v>3000</v>
      </c>
      <c r="G8" s="175" t="s">
        <v>819</v>
      </c>
      <c r="H8" s="172" t="s">
        <v>820</v>
      </c>
      <c r="I8" s="173" t="s">
        <v>785</v>
      </c>
    </row>
    <row r="9" customFormat="false" ht="25.5" hidden="false" customHeight="true" outlineLevel="0" collapsed="false">
      <c r="B9" s="176" t="s">
        <v>821</v>
      </c>
      <c r="C9" s="177" t="n">
        <v>8700</v>
      </c>
      <c r="D9" s="177" t="n">
        <v>17500</v>
      </c>
      <c r="E9" s="170" t="n">
        <v>0</v>
      </c>
      <c r="F9" s="170" t="n">
        <v>0</v>
      </c>
      <c r="G9" s="171" t="s">
        <v>409</v>
      </c>
      <c r="H9" s="172" t="s">
        <v>822</v>
      </c>
      <c r="I9" s="178" t="s">
        <v>785</v>
      </c>
    </row>
    <row r="11" customFormat="false" ht="30" hidden="false" customHeight="true" outlineLevel="0" collapsed="false">
      <c r="B11" s="166" t="s">
        <v>823</v>
      </c>
      <c r="C11" s="167" t="s">
        <v>824</v>
      </c>
      <c r="D11" s="167"/>
      <c r="E11" s="167"/>
      <c r="F11" s="167"/>
      <c r="G11" s="167"/>
      <c r="H11" s="167"/>
      <c r="I11" s="167"/>
    </row>
    <row r="12" customFormat="false" ht="15" hidden="false" customHeight="true" outlineLevel="0" collapsed="false">
      <c r="B12" s="168" t="s">
        <v>809</v>
      </c>
      <c r="C12" s="168" t="s">
        <v>810</v>
      </c>
      <c r="D12" s="168" t="s">
        <v>811</v>
      </c>
      <c r="E12" s="168" t="s">
        <v>812</v>
      </c>
      <c r="F12" s="168" t="s">
        <v>813</v>
      </c>
      <c r="G12" s="168" t="s">
        <v>814</v>
      </c>
      <c r="H12" s="169" t="s">
        <v>815</v>
      </c>
      <c r="I12" s="169" t="s">
        <v>816</v>
      </c>
    </row>
    <row r="13" customFormat="false" ht="25.5" hidden="false" customHeight="true" outlineLevel="0" collapsed="false">
      <c r="B13" s="10" t="s">
        <v>408</v>
      </c>
      <c r="C13" s="170" t="n">
        <v>3500</v>
      </c>
      <c r="D13" s="170" t="n">
        <v>10000</v>
      </c>
      <c r="E13" s="170" t="n">
        <v>800</v>
      </c>
      <c r="F13" s="170" t="n">
        <v>2350</v>
      </c>
      <c r="G13" s="171" t="s">
        <v>409</v>
      </c>
      <c r="H13" s="172" t="s">
        <v>817</v>
      </c>
      <c r="I13" s="179" t="s">
        <v>781</v>
      </c>
    </row>
    <row r="14" customFormat="false" ht="25.5" hidden="false" customHeight="true" outlineLevel="0" collapsed="false">
      <c r="B14" s="9" t="s">
        <v>818</v>
      </c>
      <c r="C14" s="174" t="n">
        <v>4550</v>
      </c>
      <c r="D14" s="174" t="n">
        <v>13000</v>
      </c>
      <c r="E14" s="174" t="n">
        <v>4800</v>
      </c>
      <c r="F14" s="174" t="n">
        <v>14100</v>
      </c>
      <c r="G14" s="175" t="s">
        <v>819</v>
      </c>
      <c r="H14" s="172" t="s">
        <v>820</v>
      </c>
      <c r="I14" s="179" t="s">
        <v>781</v>
      </c>
    </row>
    <row r="15" customFormat="false" ht="25.5" hidden="false" customHeight="true" outlineLevel="0" collapsed="false">
      <c r="B15" s="176" t="s">
        <v>821</v>
      </c>
      <c r="C15" s="177" t="n">
        <v>27500</v>
      </c>
      <c r="D15" s="177" t="n">
        <v>80500</v>
      </c>
      <c r="E15" s="170" t="n">
        <v>0</v>
      </c>
      <c r="F15" s="170" t="n">
        <v>0</v>
      </c>
      <c r="G15" s="171" t="s">
        <v>409</v>
      </c>
      <c r="H15" s="172" t="s">
        <v>822</v>
      </c>
      <c r="I15" s="180" t="s">
        <v>781</v>
      </c>
    </row>
    <row r="17" customFormat="false" ht="30" hidden="false" customHeight="true" outlineLevel="0" collapsed="false">
      <c r="B17" s="166" t="s">
        <v>786</v>
      </c>
      <c r="C17" s="167" t="s">
        <v>825</v>
      </c>
      <c r="D17" s="167"/>
      <c r="E17" s="167"/>
      <c r="F17" s="167"/>
      <c r="G17" s="167"/>
      <c r="H17" s="167"/>
      <c r="I17" s="167"/>
    </row>
    <row r="18" customFormat="false" ht="15" hidden="false" customHeight="true" outlineLevel="0" collapsed="false">
      <c r="B18" s="168" t="s">
        <v>809</v>
      </c>
      <c r="C18" s="168" t="s">
        <v>810</v>
      </c>
      <c r="D18" s="168" t="s">
        <v>811</v>
      </c>
      <c r="E18" s="168" t="s">
        <v>812</v>
      </c>
      <c r="F18" s="168" t="s">
        <v>813</v>
      </c>
      <c r="G18" s="168" t="s">
        <v>814</v>
      </c>
      <c r="H18" s="169" t="s">
        <v>815</v>
      </c>
      <c r="I18" s="169" t="s">
        <v>816</v>
      </c>
    </row>
    <row r="19" customFormat="false" ht="25.5" hidden="false" customHeight="true" outlineLevel="0" collapsed="false">
      <c r="B19" s="10" t="s">
        <v>408</v>
      </c>
      <c r="C19" s="170" t="n">
        <v>3500</v>
      </c>
      <c r="D19" s="170" t="n">
        <v>7500</v>
      </c>
      <c r="E19" s="170" t="n">
        <v>750</v>
      </c>
      <c r="F19" s="170" t="n">
        <v>1500</v>
      </c>
      <c r="G19" s="171" t="s">
        <v>409</v>
      </c>
      <c r="H19" s="172" t="s">
        <v>817</v>
      </c>
      <c r="I19" s="173" t="s">
        <v>785</v>
      </c>
    </row>
    <row r="20" customFormat="false" ht="25.5" hidden="false" customHeight="true" outlineLevel="0" collapsed="false">
      <c r="B20" s="9" t="s">
        <v>818</v>
      </c>
      <c r="C20" s="174" t="n">
        <v>4550</v>
      </c>
      <c r="D20" s="174" t="n">
        <v>9750</v>
      </c>
      <c r="E20" s="174" t="n">
        <v>4500</v>
      </c>
      <c r="F20" s="174" t="n">
        <v>9000</v>
      </c>
      <c r="G20" s="175" t="s">
        <v>819</v>
      </c>
      <c r="H20" s="172" t="s">
        <v>820</v>
      </c>
      <c r="I20" s="173" t="s">
        <v>785</v>
      </c>
    </row>
    <row r="21" customFormat="false" ht="25.5" hidden="false" customHeight="true" outlineLevel="0" collapsed="false">
      <c r="B21" s="176" t="s">
        <v>821</v>
      </c>
      <c r="C21" s="177" t="n">
        <v>26000</v>
      </c>
      <c r="D21" s="177" t="n">
        <v>52500</v>
      </c>
      <c r="E21" s="170" t="n">
        <v>0</v>
      </c>
      <c r="F21" s="170" t="n">
        <v>0</v>
      </c>
      <c r="G21" s="171" t="s">
        <v>409</v>
      </c>
      <c r="H21" s="172" t="s">
        <v>822</v>
      </c>
      <c r="I21" s="178" t="s">
        <v>785</v>
      </c>
    </row>
    <row r="23" customFormat="false" ht="30" hidden="false" customHeight="true" outlineLevel="0" collapsed="false">
      <c r="B23" s="166" t="s">
        <v>790</v>
      </c>
      <c r="C23" s="167" t="s">
        <v>826</v>
      </c>
      <c r="D23" s="167"/>
      <c r="E23" s="167"/>
      <c r="F23" s="167"/>
      <c r="G23" s="167"/>
      <c r="H23" s="167"/>
      <c r="I23" s="167"/>
    </row>
    <row r="24" customFormat="false" ht="15" hidden="false" customHeight="true" outlineLevel="0" collapsed="false">
      <c r="B24" s="168" t="s">
        <v>809</v>
      </c>
      <c r="C24" s="168" t="s">
        <v>810</v>
      </c>
      <c r="D24" s="168" t="s">
        <v>811</v>
      </c>
      <c r="E24" s="168" t="s">
        <v>812</v>
      </c>
      <c r="F24" s="168" t="s">
        <v>813</v>
      </c>
      <c r="G24" s="168" t="s">
        <v>814</v>
      </c>
      <c r="H24" s="169" t="s">
        <v>815</v>
      </c>
      <c r="I24" s="169" t="s">
        <v>816</v>
      </c>
    </row>
    <row r="25" customFormat="false" ht="25.5" hidden="false" customHeight="true" outlineLevel="0" collapsed="false">
      <c r="B25" s="10" t="s">
        <v>408</v>
      </c>
      <c r="C25" s="170" t="n">
        <v>7500</v>
      </c>
      <c r="D25" s="170" t="n">
        <v>15000</v>
      </c>
      <c r="E25" s="170" t="n">
        <v>1500</v>
      </c>
      <c r="F25" s="170" t="n">
        <v>3500</v>
      </c>
      <c r="G25" s="171" t="s">
        <v>409</v>
      </c>
      <c r="H25" s="172" t="s">
        <v>817</v>
      </c>
      <c r="I25" s="173" t="s">
        <v>785</v>
      </c>
    </row>
    <row r="26" customFormat="false" ht="25.5" hidden="false" customHeight="true" outlineLevel="0" collapsed="false">
      <c r="B26" s="9" t="s">
        <v>818</v>
      </c>
      <c r="C26" s="174" t="n">
        <v>9750</v>
      </c>
      <c r="D26" s="174" t="n">
        <v>19500</v>
      </c>
      <c r="E26" s="174" t="n">
        <v>9000</v>
      </c>
      <c r="F26" s="174" t="n">
        <v>21000</v>
      </c>
      <c r="G26" s="175" t="s">
        <v>819</v>
      </c>
      <c r="H26" s="172" t="s">
        <v>820</v>
      </c>
      <c r="I26" s="173" t="s">
        <v>785</v>
      </c>
    </row>
    <row r="27" customFormat="false" ht="25.5" hidden="false" customHeight="true" outlineLevel="0" collapsed="false">
      <c r="B27" s="176" t="s">
        <v>821</v>
      </c>
      <c r="C27" s="177" t="n">
        <v>52500</v>
      </c>
      <c r="D27" s="177" t="n">
        <v>120000</v>
      </c>
      <c r="E27" s="170" t="n">
        <v>0</v>
      </c>
      <c r="F27" s="170" t="n">
        <v>0</v>
      </c>
      <c r="G27" s="171" t="s">
        <v>409</v>
      </c>
      <c r="H27" s="172" t="s">
        <v>822</v>
      </c>
      <c r="I27" s="178" t="s">
        <v>785</v>
      </c>
    </row>
    <row r="29" customFormat="false" ht="15" hidden="false" customHeight="true" outlineLevel="0" collapsed="false">
      <c r="B29" s="166" t="s">
        <v>793</v>
      </c>
      <c r="C29" s="167" t="s">
        <v>827</v>
      </c>
      <c r="D29" s="167"/>
      <c r="E29" s="167"/>
      <c r="F29" s="167"/>
      <c r="G29" s="167"/>
      <c r="H29" s="167"/>
      <c r="I29" s="167"/>
    </row>
    <row r="30" customFormat="false" ht="15" hidden="false" customHeight="true" outlineLevel="0" collapsed="false">
      <c r="B30" s="168" t="s">
        <v>809</v>
      </c>
      <c r="C30" s="168" t="s">
        <v>810</v>
      </c>
      <c r="D30" s="168" t="s">
        <v>811</v>
      </c>
      <c r="E30" s="168" t="s">
        <v>812</v>
      </c>
      <c r="F30" s="168" t="s">
        <v>813</v>
      </c>
      <c r="G30" s="168" t="s">
        <v>814</v>
      </c>
      <c r="H30" s="169" t="s">
        <v>815</v>
      </c>
      <c r="I30" s="169" t="s">
        <v>816</v>
      </c>
    </row>
    <row r="31" customFormat="false" ht="25.5" hidden="false" customHeight="true" outlineLevel="0" collapsed="false">
      <c r="B31" s="10" t="s">
        <v>408</v>
      </c>
      <c r="C31" s="170" t="n">
        <v>12000</v>
      </c>
      <c r="D31" s="170" t="n">
        <v>30000</v>
      </c>
      <c r="E31" s="170" t="n">
        <v>2500</v>
      </c>
      <c r="F31" s="170" t="n">
        <v>6000</v>
      </c>
      <c r="G31" s="171" t="s">
        <v>409</v>
      </c>
      <c r="H31" s="172" t="s">
        <v>817</v>
      </c>
      <c r="I31" s="173" t="s">
        <v>785</v>
      </c>
    </row>
    <row r="32" customFormat="false" ht="25.5" hidden="false" customHeight="true" outlineLevel="0" collapsed="false">
      <c r="B32" s="9" t="s">
        <v>818</v>
      </c>
      <c r="C32" s="174" t="n">
        <v>15600</v>
      </c>
      <c r="D32" s="174" t="n">
        <v>39000</v>
      </c>
      <c r="E32" s="174" t="n">
        <v>15000</v>
      </c>
      <c r="F32" s="174" t="n">
        <v>36000</v>
      </c>
      <c r="G32" s="175" t="s">
        <v>819</v>
      </c>
      <c r="H32" s="172" t="s">
        <v>820</v>
      </c>
      <c r="I32" s="173" t="s">
        <v>785</v>
      </c>
    </row>
    <row r="33" customFormat="false" ht="25.5" hidden="false" customHeight="true" outlineLevel="0" collapsed="false">
      <c r="B33" s="176" t="s">
        <v>821</v>
      </c>
      <c r="C33" s="177" t="n">
        <v>87000</v>
      </c>
      <c r="D33" s="177" t="n">
        <v>210000</v>
      </c>
      <c r="E33" s="170" t="n">
        <v>0</v>
      </c>
      <c r="F33" s="170" t="n">
        <v>0</v>
      </c>
      <c r="G33" s="171" t="s">
        <v>409</v>
      </c>
      <c r="H33" s="172" t="s">
        <v>822</v>
      </c>
      <c r="I33" s="178" t="s">
        <v>785</v>
      </c>
    </row>
    <row r="35" customFormat="false" ht="15" hidden="false" customHeight="true" outlineLevel="0" collapsed="false">
      <c r="B35" s="181" t="s">
        <v>828</v>
      </c>
      <c r="C35" s="181"/>
      <c r="D35" s="181"/>
      <c r="E35" s="181"/>
      <c r="F35" s="181"/>
      <c r="G35" s="181"/>
      <c r="H35" s="181"/>
      <c r="I35" s="181"/>
    </row>
    <row r="36" customFormat="false" ht="18.75" hidden="false" customHeight="true" outlineLevel="0" collapsed="false">
      <c r="B36" s="182" t="s">
        <v>829</v>
      </c>
      <c r="C36" s="182"/>
      <c r="D36" s="182"/>
      <c r="E36" s="182"/>
      <c r="F36" s="182"/>
      <c r="G36" s="182"/>
      <c r="H36" s="182"/>
      <c r="I36" s="182"/>
    </row>
  </sheetData>
  <mergeCells count="8">
    <mergeCell ref="B3:I3"/>
    <mergeCell ref="C5:I5"/>
    <mergeCell ref="C11:I11"/>
    <mergeCell ref="C17:I17"/>
    <mergeCell ref="C23:I23"/>
    <mergeCell ref="C29:I29"/>
    <mergeCell ref="B35:I35"/>
    <mergeCell ref="B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7" min="3" style="1" width="13.83"/>
    <col collapsed="false" customWidth="true" hidden="false" outlineLevel="0" max="8" min="8" style="1" width="21.83"/>
    <col collapsed="false" customWidth="true" hidden="false" outlineLevel="0" max="9" min="9" style="1" width="13.83"/>
  </cols>
  <sheetData>
    <row r="1" customFormat="false" ht="15" hidden="false" customHeight="true" outlineLevel="0" collapsed="false"/>
    <row r="2" customFormat="false" ht="33.75" hidden="false" customHeight="true" outlineLevel="0" collapsed="false">
      <c r="B2" s="2" t="s">
        <v>34</v>
      </c>
      <c r="C2" s="2"/>
      <c r="D2" s="2"/>
      <c r="E2" s="2"/>
      <c r="F2" s="2"/>
      <c r="G2" s="2"/>
      <c r="H2" s="2"/>
      <c r="I2" s="2"/>
    </row>
    <row r="3" customFormat="false" ht="33.75" hidden="false" customHeight="true" outlineLevel="0" collapsed="false">
      <c r="B3" s="165" t="s">
        <v>830</v>
      </c>
      <c r="C3" s="165"/>
      <c r="D3" s="165"/>
      <c r="E3" s="165"/>
      <c r="F3" s="165"/>
      <c r="G3" s="165"/>
      <c r="H3" s="165"/>
      <c r="I3" s="165"/>
    </row>
    <row r="5" customFormat="false" ht="15" hidden="false" customHeight="true" outlineLevel="0" collapsed="false">
      <c r="B5" s="183" t="s">
        <v>831</v>
      </c>
      <c r="C5" s="183"/>
      <c r="D5" s="183"/>
      <c r="E5" s="183"/>
      <c r="F5" s="183"/>
      <c r="G5" s="183"/>
      <c r="H5" s="183"/>
      <c r="I5" s="183"/>
    </row>
    <row r="6" customFormat="false" ht="27.75" hidden="false" customHeight="true" outlineLevel="0" collapsed="false">
      <c r="B6" s="184" t="s">
        <v>832</v>
      </c>
      <c r="C6" s="185" t="n">
        <v>0.5</v>
      </c>
      <c r="D6" s="186" t="s">
        <v>833</v>
      </c>
      <c r="E6" s="186"/>
      <c r="F6" s="186"/>
      <c r="G6" s="186"/>
      <c r="H6" s="186"/>
      <c r="I6" s="186"/>
    </row>
    <row r="7" customFormat="false" ht="15" hidden="false" customHeight="true" outlineLevel="0" collapsed="false">
      <c r="B7" s="184" t="s">
        <v>834</v>
      </c>
      <c r="C7" s="187" t="n">
        <v>1.3</v>
      </c>
      <c r="D7" s="186" t="s">
        <v>835</v>
      </c>
      <c r="E7" s="186"/>
      <c r="F7" s="186"/>
      <c r="G7" s="186"/>
      <c r="H7" s="186"/>
      <c r="I7" s="186"/>
    </row>
    <row r="8" customFormat="false" ht="27.75" hidden="false" customHeight="true" outlineLevel="0" collapsed="false">
      <c r="B8" s="184" t="s">
        <v>836</v>
      </c>
      <c r="C8" s="188" t="n">
        <v>2.5</v>
      </c>
      <c r="D8" s="186" t="s">
        <v>837</v>
      </c>
      <c r="E8" s="186"/>
      <c r="F8" s="186"/>
      <c r="G8" s="186"/>
      <c r="H8" s="186"/>
      <c r="I8" s="186"/>
    </row>
    <row r="10" customFormat="false" ht="30" hidden="false" customHeight="true" outlineLevel="0" collapsed="false">
      <c r="B10" s="141" t="s">
        <v>251</v>
      </c>
      <c r="C10" s="141" t="s">
        <v>838</v>
      </c>
      <c r="D10" s="141" t="s">
        <v>839</v>
      </c>
      <c r="E10" s="141" t="s">
        <v>840</v>
      </c>
      <c r="F10" s="141" t="s">
        <v>841</v>
      </c>
      <c r="G10" s="141" t="s">
        <v>842</v>
      </c>
      <c r="H10" s="189" t="s">
        <v>843</v>
      </c>
      <c r="I10" s="189" t="s">
        <v>844</v>
      </c>
    </row>
    <row r="11" customFormat="false" ht="15" hidden="false" customHeight="true" outlineLevel="0" collapsed="false">
      <c r="B11" s="190" t="str">
        <f aca="false">'Package Reference'!B6</f>
        <v>Basic Intake</v>
      </c>
      <c r="C11" s="191" t="n">
        <f aca="false">ROUND(('Package Reference'!C6+'Package Reference'!D6)/2,0)</f>
        <v>1275</v>
      </c>
      <c r="D11" s="191" t="n">
        <f aca="false">ROUND(('Package Reference'!E6+'Package Reference'!F6)/2,0)</f>
        <v>300</v>
      </c>
      <c r="E11" s="191" t="n">
        <f aca="false">ROUND(C11*$C$7,0)</f>
        <v>1658</v>
      </c>
      <c r="F11" s="191" t="n">
        <f aca="false">ROUND(D11*12*$C$6,0)</f>
        <v>1800</v>
      </c>
      <c r="G11" s="191" t="n">
        <f aca="false">ROUND(F11/12,0)</f>
        <v>150</v>
      </c>
      <c r="H11" s="191" t="n">
        <f aca="false">ROUND(C11+$C$8*12*D11,0)</f>
        <v>10275</v>
      </c>
      <c r="I11" s="191" t="n">
        <v>0</v>
      </c>
    </row>
    <row r="12" customFormat="false" ht="15" hidden="false" customHeight="true" outlineLevel="0" collapsed="false">
      <c r="B12" s="192" t="str">
        <f aca="false">'Package Reference'!B7</f>
        <v>Basic+ AI Triage</v>
      </c>
      <c r="C12" s="193" t="n">
        <f aca="false">ROUND(('Package Reference'!C7+'Package Reference'!D7)/2,0)</f>
        <v>2500</v>
      </c>
      <c r="D12" s="193" t="n">
        <f aca="false">ROUND(('Package Reference'!E7+'Package Reference'!F7)/2,0)</f>
        <v>525</v>
      </c>
      <c r="E12" s="193" t="n">
        <f aca="false">ROUND(C12*$C$7,0)</f>
        <v>3250</v>
      </c>
      <c r="F12" s="193" t="n">
        <f aca="false">ROUND(D12*12*$C$6,0)</f>
        <v>3150</v>
      </c>
      <c r="G12" s="193" t="n">
        <f aca="false">ROUND(F12/12,0)</f>
        <v>263</v>
      </c>
      <c r="H12" s="193" t="n">
        <f aca="false">ROUND(C12+$C$8*12*D12,0)</f>
        <v>18250</v>
      </c>
      <c r="I12" s="193" t="n">
        <v>0</v>
      </c>
    </row>
    <row r="13" customFormat="false" ht="15" hidden="false" customHeight="true" outlineLevel="0" collapsed="false">
      <c r="B13" s="190" t="str">
        <f aca="false">'Package Reference'!B8</f>
        <v>Pro Multi-Channel</v>
      </c>
      <c r="C13" s="191" t="n">
        <f aca="false">ROUND(('Package Reference'!C8+'Package Reference'!D8)/2,0)</f>
        <v>5500</v>
      </c>
      <c r="D13" s="191" t="n">
        <f aca="false">ROUND(('Package Reference'!E8+'Package Reference'!F8)/2,0)</f>
        <v>1125</v>
      </c>
      <c r="E13" s="191" t="n">
        <f aca="false">ROUND(C13*$C$7,0)</f>
        <v>7150</v>
      </c>
      <c r="F13" s="191" t="n">
        <f aca="false">ROUND(D13*12*$C$6,0)</f>
        <v>6750</v>
      </c>
      <c r="G13" s="191" t="n">
        <f aca="false">ROUND(F13/12,0)</f>
        <v>563</v>
      </c>
      <c r="H13" s="191" t="n">
        <f aca="false">ROUND(C13+$C$8*12*D13,0)</f>
        <v>39250</v>
      </c>
      <c r="I13" s="191" t="n">
        <v>0</v>
      </c>
    </row>
    <row r="14" customFormat="false" ht="15" hidden="false" customHeight="true" outlineLevel="0" collapsed="false">
      <c r="B14" s="192" t="str">
        <f aca="false">'Package Reference'!B9</f>
        <v>Managed Operations</v>
      </c>
      <c r="C14" s="193" t="n">
        <f aca="false">ROUND(('Package Reference'!C9+'Package Reference'!D9)/2,0)</f>
        <v>11250</v>
      </c>
      <c r="D14" s="193" t="n">
        <f aca="false">ROUND(('Package Reference'!E9+'Package Reference'!F9)/2,0)</f>
        <v>2500</v>
      </c>
      <c r="E14" s="193" t="n">
        <f aca="false">ROUND(C14*$C$7,0)</f>
        <v>14625</v>
      </c>
      <c r="F14" s="193" t="n">
        <f aca="false">ROUND(D14*12*$C$6,0)</f>
        <v>15000</v>
      </c>
      <c r="G14" s="193" t="n">
        <f aca="false">ROUND(F14/12,0)</f>
        <v>1250</v>
      </c>
      <c r="H14" s="193" t="n">
        <f aca="false">ROUND(C14+$C$8*12*D14,0)</f>
        <v>86250</v>
      </c>
      <c r="I14" s="193" t="n">
        <v>0</v>
      </c>
    </row>
    <row r="15" customFormat="false" ht="15" hidden="false" customHeight="true" outlineLevel="0" collapsed="false">
      <c r="B15" s="190" t="str">
        <f aca="false">'Package Reference'!B10</f>
        <v>Agentic Automation</v>
      </c>
      <c r="C15" s="191" t="n">
        <f aca="false">ROUND(('Package Reference'!C10+'Package Reference'!D10)/2,0)</f>
        <v>21000</v>
      </c>
      <c r="D15" s="191" t="n">
        <f aca="false">ROUND(('Package Reference'!E10+'Package Reference'!F10)/2,0)</f>
        <v>4250</v>
      </c>
      <c r="E15" s="191" t="n">
        <f aca="false">ROUND(C15*$C$7,0)</f>
        <v>27300</v>
      </c>
      <c r="F15" s="191" t="n">
        <f aca="false">ROUND(D15*12*$C$6,0)</f>
        <v>25500</v>
      </c>
      <c r="G15" s="191" t="n">
        <f aca="false">ROUND(F15/12,0)</f>
        <v>2125</v>
      </c>
      <c r="H15" s="191" t="n">
        <f aca="false">ROUND(C15+$C$8*12*D15,0)</f>
        <v>148500</v>
      </c>
      <c r="I15" s="191" t="n">
        <v>0</v>
      </c>
    </row>
    <row r="17" customFormat="false" ht="15" hidden="false" customHeight="true" outlineLevel="0" collapsed="false">
      <c r="B17" s="183" t="s">
        <v>845</v>
      </c>
      <c r="C17" s="183"/>
      <c r="D17" s="183"/>
      <c r="E17" s="183"/>
      <c r="F17" s="183"/>
      <c r="G17" s="183"/>
      <c r="H17" s="183"/>
      <c r="I17" s="183"/>
    </row>
    <row r="18" customFormat="false" ht="13.5" hidden="false" customHeight="true" outlineLevel="0" collapsed="false">
      <c r="B18" s="186" t="s">
        <v>846</v>
      </c>
      <c r="C18" s="186"/>
      <c r="D18" s="186"/>
      <c r="E18" s="186"/>
      <c r="F18" s="186"/>
      <c r="G18" s="186"/>
      <c r="H18" s="186"/>
      <c r="I18" s="186"/>
    </row>
    <row r="19" customFormat="false" ht="24" hidden="false" customHeight="true" outlineLevel="0" collapsed="false">
      <c r="B19" s="186" t="s">
        <v>847</v>
      </c>
      <c r="C19" s="186"/>
      <c r="D19" s="186"/>
      <c r="E19" s="186"/>
      <c r="F19" s="186"/>
      <c r="G19" s="186"/>
      <c r="H19" s="186"/>
      <c r="I19" s="186"/>
    </row>
    <row r="20" customFormat="false" ht="24" hidden="false" customHeight="true" outlineLevel="0" collapsed="false">
      <c r="B20" s="186" t="s">
        <v>848</v>
      </c>
      <c r="C20" s="186"/>
      <c r="D20" s="186"/>
      <c r="E20" s="186"/>
      <c r="F20" s="186"/>
      <c r="G20" s="186"/>
      <c r="H20" s="186"/>
      <c r="I20" s="186"/>
    </row>
    <row r="21" customFormat="false" ht="13.5" hidden="false" customHeight="true" outlineLevel="0" collapsed="false">
      <c r="B21" s="186" t="s">
        <v>849</v>
      </c>
      <c r="C21" s="186"/>
      <c r="D21" s="186"/>
      <c r="E21" s="186"/>
      <c r="F21" s="186"/>
      <c r="G21" s="186"/>
      <c r="H21" s="186"/>
      <c r="I21" s="186"/>
    </row>
    <row r="22" customFormat="false" ht="13.5" hidden="false" customHeight="true" outlineLevel="0" collapsed="false">
      <c r="B22" s="186" t="s">
        <v>850</v>
      </c>
      <c r="C22" s="186"/>
      <c r="D22" s="186"/>
      <c r="E22" s="186"/>
      <c r="F22" s="186"/>
      <c r="G22" s="186"/>
      <c r="H22" s="186"/>
      <c r="I22" s="186"/>
    </row>
    <row r="24" customFormat="false" ht="15" hidden="false" customHeight="true" outlineLevel="0" collapsed="false">
      <c r="B24" s="194" t="s">
        <v>851</v>
      </c>
      <c r="C24" s="194"/>
      <c r="D24" s="194"/>
      <c r="E24" s="194"/>
      <c r="F24" s="194"/>
      <c r="G24" s="194"/>
      <c r="H24" s="194"/>
      <c r="I24" s="194"/>
    </row>
  </sheetData>
  <mergeCells count="10">
    <mergeCell ref="B3:I3"/>
    <mergeCell ref="D6:I6"/>
    <mergeCell ref="D7:I7"/>
    <mergeCell ref="D8:I8"/>
    <mergeCell ref="B18:I18"/>
    <mergeCell ref="B19:I19"/>
    <mergeCell ref="B20:I20"/>
    <mergeCell ref="B21:I21"/>
    <mergeCell ref="B22:I22"/>
    <mergeCell ref="B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6"/>
    <col collapsed="false" customWidth="true" hidden="false" outlineLevel="0" max="4" min="4" style="1" width="56"/>
    <col collapsed="false" customWidth="true" hidden="false" outlineLevel="0" max="6" min="5" style="1" width="16"/>
  </cols>
  <sheetData>
    <row r="2" customFormat="false" ht="15" hidden="false" customHeight="true" outlineLevel="0" collapsed="false">
      <c r="B2" s="195" t="s">
        <v>852</v>
      </c>
      <c r="C2" s="195"/>
      <c r="D2" s="195"/>
      <c r="E2" s="195"/>
      <c r="F2" s="195"/>
    </row>
    <row r="3" customFormat="false" ht="39.75" hidden="false" customHeight="true" outlineLevel="0" collapsed="false">
      <c r="B3" s="196" t="s">
        <v>853</v>
      </c>
      <c r="C3" s="196"/>
      <c r="D3" s="196"/>
      <c r="E3" s="196"/>
      <c r="F3" s="196"/>
    </row>
    <row r="5" customFormat="false" ht="15" hidden="false" customHeight="true" outlineLevel="0" collapsed="false">
      <c r="B5" s="197" t="s">
        <v>854</v>
      </c>
      <c r="C5" s="197"/>
      <c r="D5" s="197"/>
      <c r="E5" s="197"/>
      <c r="F5" s="197"/>
    </row>
    <row r="6" customFormat="false" ht="15" hidden="false" customHeight="true" outlineLevel="0" collapsed="false">
      <c r="B6" s="198" t="s">
        <v>251</v>
      </c>
      <c r="C6" s="198" t="s">
        <v>855</v>
      </c>
      <c r="D6" s="198" t="s">
        <v>856</v>
      </c>
    </row>
    <row r="7" customFormat="false" ht="15" hidden="false" customHeight="true" outlineLevel="0" collapsed="false">
      <c r="B7" s="1" t="str">
        <f aca="false">'Access &amp; Licence Pricing'!B11</f>
        <v>Basic Intake</v>
      </c>
      <c r="C7" s="199" t="n">
        <f aca="false">'Access &amp; Licence Pricing'!D11</f>
        <v>300</v>
      </c>
      <c r="D7" s="200" t="n">
        <v>0.3</v>
      </c>
    </row>
    <row r="8" customFormat="false" ht="15" hidden="false" customHeight="true" outlineLevel="0" collapsed="false">
      <c r="B8" s="1" t="str">
        <f aca="false">'Access &amp; Licence Pricing'!B12</f>
        <v>Basic+ AI Triage</v>
      </c>
      <c r="C8" s="199" t="n">
        <f aca="false">'Access &amp; Licence Pricing'!D12</f>
        <v>525</v>
      </c>
      <c r="D8" s="200" t="n">
        <v>0.35</v>
      </c>
    </row>
    <row r="9" customFormat="false" ht="15" hidden="false" customHeight="true" outlineLevel="0" collapsed="false">
      <c r="B9" s="1" t="str">
        <f aca="false">'Access &amp; Licence Pricing'!B13</f>
        <v>Pro Multi-Channel</v>
      </c>
      <c r="C9" s="199" t="n">
        <f aca="false">'Access &amp; Licence Pricing'!D13</f>
        <v>1125</v>
      </c>
      <c r="D9" s="200" t="n">
        <v>0.25</v>
      </c>
    </row>
    <row r="10" customFormat="false" ht="15" hidden="false" customHeight="true" outlineLevel="0" collapsed="false">
      <c r="B10" s="1" t="str">
        <f aca="false">'Access &amp; Licence Pricing'!B14</f>
        <v>Managed Operations</v>
      </c>
      <c r="C10" s="199" t="n">
        <f aca="false">'Access &amp; Licence Pricing'!D14</f>
        <v>2500</v>
      </c>
      <c r="D10" s="200" t="n">
        <v>0.08</v>
      </c>
    </row>
    <row r="11" customFormat="false" ht="15" hidden="false" customHeight="true" outlineLevel="0" collapsed="false">
      <c r="B11" s="1" t="str">
        <f aca="false">'Access &amp; Licence Pricing'!B15</f>
        <v>Agentic Automation</v>
      </c>
      <c r="C11" s="199" t="n">
        <f aca="false">'Access &amp; Licence Pricing'!D15</f>
        <v>4250</v>
      </c>
      <c r="D11" s="200" t="n">
        <v>0.02</v>
      </c>
    </row>
    <row r="12" customFormat="false" ht="15" hidden="false" customHeight="true" outlineLevel="0" collapsed="false">
      <c r="B12" s="201" t="s">
        <v>857</v>
      </c>
      <c r="C12" s="202" t="n">
        <f aca="false">SUM(D7:D11)</f>
        <v>1</v>
      </c>
      <c r="D12" s="201" t="str">
        <f aca="false">IF(ABS(SUM(D7:D11)-1)&lt;0.001,"OK","FIX WEIGHTS — must total 100%")</f>
        <v>OK</v>
      </c>
    </row>
    <row r="13" customFormat="false" ht="15" hidden="false" customHeight="true" outlineLevel="0" collapsed="false">
      <c r="B13" s="201" t="s">
        <v>858</v>
      </c>
      <c r="C13" s="199" t="n">
        <f aca="false">SUMPRODUCT(C7:C11,D7:D11)</f>
        <v>840</v>
      </c>
      <c r="D13" s="201" t="str">
        <f aca="false">CONCATENATE("Implied ARR/client: CHF ",TEXT(C13*12,"#,##0"),"/yr — deck (Slide 7) claims CHF 8,000-15,000/yr blended")</f>
        <v>Implied ARR/client: CHF 10,080/yr — deck (Slide 7) claims CHF 8,000-15,000/yr blended</v>
      </c>
    </row>
    <row r="15" customFormat="false" ht="15" hidden="false" customHeight="true" outlineLevel="0" collapsed="false">
      <c r="B15" s="197" t="s">
        <v>859</v>
      </c>
      <c r="C15" s="197"/>
      <c r="D15" s="197"/>
      <c r="E15" s="197"/>
      <c r="F15" s="197"/>
    </row>
    <row r="16" customFormat="false" ht="15" hidden="false" customHeight="true" outlineLevel="0" collapsed="false">
      <c r="B16" s="1" t="s">
        <v>860</v>
      </c>
      <c r="C16" s="158" t="n">
        <v>6000</v>
      </c>
    </row>
    <row r="17" customFormat="false" ht="15" hidden="false" customHeight="true" outlineLevel="0" collapsed="false">
      <c r="B17" s="1" t="s">
        <v>861</v>
      </c>
      <c r="C17" s="158" t="n">
        <v>500</v>
      </c>
    </row>
    <row r="18" customFormat="false" ht="41.25" hidden="false" customHeight="true" outlineLevel="0" collapsed="false">
      <c r="B18" s="1" t="s">
        <v>862</v>
      </c>
      <c r="C18" s="200" t="n">
        <v>0.85</v>
      </c>
      <c r="D18" s="203" t="s">
        <v>863</v>
      </c>
    </row>
    <row r="19" customFormat="false" ht="15" hidden="false" customHeight="true" outlineLevel="0" collapsed="false">
      <c r="B19" s="201" t="s">
        <v>864</v>
      </c>
      <c r="C19" s="199" t="n">
        <f aca="false">C16+C17</f>
        <v>6500</v>
      </c>
    </row>
    <row r="20" customFormat="false" ht="15" hidden="false" customHeight="true" outlineLevel="0" collapsed="false">
      <c r="B20" s="201" t="s">
        <v>865</v>
      </c>
      <c r="C20" s="199" t="n">
        <f aca="false">C13*C18</f>
        <v>714</v>
      </c>
    </row>
    <row r="22" customFormat="false" ht="15" hidden="false" customHeight="true" outlineLevel="0" collapsed="false">
      <c r="B22" s="197" t="s">
        <v>866</v>
      </c>
      <c r="C22" s="197"/>
      <c r="D22" s="197"/>
      <c r="E22" s="197"/>
      <c r="F22" s="197"/>
    </row>
    <row r="23" customFormat="false" ht="15" hidden="false" customHeight="true" outlineLevel="0" collapsed="false">
      <c r="B23" s="201" t="s">
        <v>867</v>
      </c>
      <c r="C23" s="201" t="n">
        <f aca="false">IF(C20&lt;=0,"n/a",ROUNDUP(C19/C20,0))</f>
        <v>10</v>
      </c>
    </row>
    <row r="24" customFormat="false" ht="15" hidden="false" customHeight="true" outlineLevel="0" collapsed="false">
      <c r="B24" s="201" t="s">
        <v>868</v>
      </c>
      <c r="C24" s="199" t="n">
        <f aca="false">IF(ISNUMBER(C23),C23*C13,"n/a")</f>
        <v>8400</v>
      </c>
    </row>
    <row r="25" customFormat="false" ht="15" hidden="false" customHeight="true" outlineLevel="0" collapsed="false">
      <c r="B25" s="201" t="s">
        <v>869</v>
      </c>
      <c r="C25" s="201" t="str">
        <f aca="false">IF(ISNUMBER(C23),IF(AND(C23&gt;=6,C23&lt;=8),"OK — matches deck","CHECK — model says "&amp;C23&amp;" clients, deck says 6-8"),"n/a")</f>
        <v>CHECK — model says 10 clients, deck says 6-8</v>
      </c>
    </row>
    <row r="27" customFormat="false" ht="15" hidden="false" customHeight="true" outlineLevel="0" collapsed="false">
      <c r="B27" s="197" t="s">
        <v>870</v>
      </c>
      <c r="C27" s="197"/>
      <c r="D27" s="197"/>
      <c r="E27" s="197"/>
      <c r="F27" s="197"/>
    </row>
    <row r="28" customFormat="false" ht="15" hidden="false" customHeight="true" outlineLevel="0" collapsed="false">
      <c r="B28" s="1" t="s">
        <v>871</v>
      </c>
      <c r="C28" s="158" t="n">
        <v>0</v>
      </c>
    </row>
    <row r="29" customFormat="false" ht="15" hidden="false" customHeight="true" outlineLevel="0" collapsed="false">
      <c r="B29" s="201" t="s">
        <v>872</v>
      </c>
      <c r="C29" s="201" t="str">
        <f aca="false">IF(C28&lt;=0,"enter starting cash",IF(C19&lt;=0,"n/a — zero fixed costs",ROUND(C28/C19,1)))</f>
        <v>enter starting cash</v>
      </c>
    </row>
    <row r="31" customFormat="false" ht="15" hidden="false" customHeight="true" outlineLevel="0" collapsed="false">
      <c r="B31" s="197" t="s">
        <v>873</v>
      </c>
      <c r="C31" s="197"/>
      <c r="D31" s="197"/>
      <c r="E31" s="197"/>
      <c r="F31" s="197"/>
    </row>
    <row r="32" customFormat="false" ht="15" hidden="false" customHeight="true" outlineLevel="0" collapsed="false">
      <c r="B32" s="198" t="s">
        <v>874</v>
      </c>
      <c r="C32" s="198" t="s">
        <v>875</v>
      </c>
    </row>
    <row r="33" customFormat="false" ht="15" hidden="false" customHeight="true" outlineLevel="0" collapsed="false">
      <c r="B33" s="1" t="s">
        <v>876</v>
      </c>
      <c r="C33" s="201" t="n">
        <f aca="false">IF(C20&lt;=0,"n/a",ROUNDUP((4000+C17)/C20,0))</f>
        <v>7</v>
      </c>
    </row>
    <row r="34" customFormat="false" ht="15" hidden="false" customHeight="true" outlineLevel="0" collapsed="false">
      <c r="B34" s="1" t="s">
        <v>877</v>
      </c>
      <c r="C34" s="201" t="n">
        <f aca="false">IF(C20&lt;=0,"n/a",ROUNDUP((C16+C17)/C20,0))</f>
        <v>10</v>
      </c>
    </row>
    <row r="35" customFormat="false" ht="15" hidden="false" customHeight="true" outlineLevel="0" collapsed="false">
      <c r="B35" s="1" t="s">
        <v>878</v>
      </c>
      <c r="C35" s="201" t="n">
        <f aca="false">IF(C20&lt;=0,"n/a",ROUNDUP((8000+C17)/C20,0))</f>
        <v>12</v>
      </c>
    </row>
    <row r="37" customFormat="false" ht="15" hidden="false" customHeight="true" outlineLevel="0" collapsed="false">
      <c r="B37" s="204" t="s">
        <v>879</v>
      </c>
      <c r="C37" s="204"/>
      <c r="D37" s="204"/>
      <c r="E37" s="204"/>
      <c r="F37" s="204"/>
    </row>
    <row r="38" customFormat="false" ht="15" hidden="false" customHeight="true" outlineLevel="0" collapsed="false">
      <c r="B38" s="204"/>
      <c r="C38" s="204"/>
      <c r="D38" s="204"/>
      <c r="E38" s="204"/>
      <c r="F38" s="204"/>
    </row>
  </sheetData>
  <mergeCells count="8">
    <mergeCell ref="B2:F2"/>
    <mergeCell ref="B3:F3"/>
    <mergeCell ref="B5:F5"/>
    <mergeCell ref="B15:F15"/>
    <mergeCell ref="B22:F22"/>
    <mergeCell ref="B27:F27"/>
    <mergeCell ref="B31:F31"/>
    <mergeCell ref="B37: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68"/>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205" width="2.83"/>
    <col collapsed="false" customWidth="true" hidden="false" outlineLevel="0" max="2" min="2" style="205" width="21.83"/>
    <col collapsed="false" customWidth="false" hidden="false" outlineLevel="0" max="5" min="3" style="205" width="8.83"/>
    <col collapsed="false" customWidth="true" hidden="false" outlineLevel="0" max="6" min="6" style="205" width="21.83"/>
    <col collapsed="false" customWidth="false" hidden="false" outlineLevel="0" max="16384" min="7" style="205" width="8.83"/>
  </cols>
  <sheetData>
    <row r="2" customFormat="false" ht="33.75" hidden="false" customHeight="true" outlineLevel="0" collapsed="false">
      <c r="B2" s="206" t="s">
        <v>880</v>
      </c>
      <c r="C2" s="206"/>
      <c r="D2" s="206"/>
      <c r="E2" s="206"/>
      <c r="F2" s="206"/>
      <c r="G2" s="206"/>
      <c r="H2" s="206"/>
      <c r="I2" s="206"/>
      <c r="J2" s="206"/>
    </row>
    <row r="3" customFormat="false" ht="54" hidden="false" customHeight="true" outlineLevel="0" collapsed="false">
      <c r="B3" s="207" t="s">
        <v>881</v>
      </c>
      <c r="C3" s="207"/>
      <c r="D3" s="207"/>
      <c r="E3" s="207"/>
      <c r="F3" s="207"/>
      <c r="G3" s="207"/>
      <c r="H3" s="207"/>
      <c r="I3" s="207"/>
    </row>
    <row r="5" customFormat="false" ht="15" hidden="false" customHeight="true" outlineLevel="0" collapsed="false">
      <c r="B5" s="208" t="s">
        <v>882</v>
      </c>
      <c r="C5" s="208"/>
      <c r="D5" s="208"/>
      <c r="E5" s="208"/>
      <c r="F5" s="208"/>
      <c r="G5" s="208"/>
      <c r="H5" s="208"/>
      <c r="I5" s="208"/>
      <c r="J5" s="208"/>
    </row>
    <row r="6" customFormat="false" ht="15" hidden="false" customHeight="true" outlineLevel="0" collapsed="false">
      <c r="B6" s="209" t="s">
        <v>883</v>
      </c>
      <c r="C6" s="210" t="s">
        <v>884</v>
      </c>
      <c r="D6" s="210"/>
      <c r="E6" s="210"/>
      <c r="F6" s="210"/>
      <c r="G6" s="210"/>
      <c r="H6" s="210"/>
      <c r="I6" s="210"/>
    </row>
    <row r="7" customFormat="false" ht="31.5" hidden="false" customHeight="true" outlineLevel="0" collapsed="false">
      <c r="B7" s="211" t="s">
        <v>251</v>
      </c>
      <c r="C7" s="211" t="s">
        <v>885</v>
      </c>
      <c r="D7" s="211" t="s">
        <v>885</v>
      </c>
      <c r="E7" s="211" t="s">
        <v>885</v>
      </c>
      <c r="F7" s="211" t="s">
        <v>886</v>
      </c>
      <c r="G7" s="211" t="s">
        <v>29</v>
      </c>
      <c r="H7" s="211" t="s">
        <v>402</v>
      </c>
      <c r="I7" s="211" t="s">
        <v>887</v>
      </c>
      <c r="J7" s="211"/>
    </row>
    <row r="8" customFormat="false" ht="15.75" hidden="false" customHeight="true" outlineLevel="0" collapsed="false">
      <c r="B8" s="211"/>
      <c r="C8" s="211" t="s">
        <v>888</v>
      </c>
      <c r="D8" s="211" t="s">
        <v>889</v>
      </c>
      <c r="E8" s="211" t="s">
        <v>890</v>
      </c>
      <c r="F8" s="211"/>
      <c r="G8" s="211" t="s">
        <v>891</v>
      </c>
      <c r="H8" s="211" t="s">
        <v>892</v>
      </c>
      <c r="I8" s="211"/>
      <c r="J8" s="211"/>
    </row>
    <row r="9" customFormat="false" ht="30" hidden="false" customHeight="true" outlineLevel="0" collapsed="false">
      <c r="B9" s="212" t="s">
        <v>893</v>
      </c>
      <c r="C9" s="213" t="n">
        <v>0</v>
      </c>
      <c r="D9" s="213" t="n">
        <v>250</v>
      </c>
      <c r="E9" s="214" t="s">
        <v>894</v>
      </c>
      <c r="F9" s="215" t="s">
        <v>895</v>
      </c>
      <c r="G9" s="216" t="s">
        <v>896</v>
      </c>
      <c r="H9" s="217" t="s">
        <v>897</v>
      </c>
      <c r="I9" s="218" t="s">
        <v>898</v>
      </c>
      <c r="J9" s="216"/>
    </row>
    <row r="10" customFormat="false" ht="30" hidden="false" customHeight="true" outlineLevel="0" collapsed="false">
      <c r="B10" s="212" t="s">
        <v>899</v>
      </c>
      <c r="C10" s="213" t="n">
        <v>2500</v>
      </c>
      <c r="D10" s="213" t="n">
        <v>5000</v>
      </c>
      <c r="E10" s="214" t="s">
        <v>900</v>
      </c>
      <c r="F10" s="215" t="s">
        <v>901</v>
      </c>
      <c r="G10" s="216" t="s">
        <v>902</v>
      </c>
      <c r="H10" s="217" t="s">
        <v>897</v>
      </c>
      <c r="I10" s="218" t="s">
        <v>903</v>
      </c>
      <c r="J10" s="216"/>
    </row>
    <row r="11" customFormat="false" ht="30" hidden="false" customHeight="true" outlineLevel="0" collapsed="false">
      <c r="B11" s="212" t="s">
        <v>788</v>
      </c>
      <c r="C11" s="213" t="n">
        <v>500</v>
      </c>
      <c r="D11" s="213" t="n">
        <v>1000</v>
      </c>
      <c r="E11" s="214" t="s">
        <v>904</v>
      </c>
      <c r="F11" s="215" t="s">
        <v>905</v>
      </c>
      <c r="G11" s="216" t="s">
        <v>906</v>
      </c>
      <c r="H11" s="217" t="s">
        <v>907</v>
      </c>
      <c r="I11" s="218" t="s">
        <v>908</v>
      </c>
      <c r="J11" s="216"/>
    </row>
    <row r="12" customFormat="false" ht="15" hidden="false" customHeight="true" outlineLevel="0" collapsed="false">
      <c r="B12" s="219" t="s">
        <v>909</v>
      </c>
    </row>
    <row r="14" customFormat="false" ht="15" hidden="false" customHeight="true" outlineLevel="0" collapsed="false">
      <c r="B14" s="208" t="s">
        <v>910</v>
      </c>
      <c r="C14" s="208"/>
      <c r="D14" s="208"/>
      <c r="E14" s="208"/>
      <c r="F14" s="208"/>
      <c r="G14" s="208"/>
      <c r="H14" s="208"/>
      <c r="I14" s="208"/>
      <c r="J14" s="208"/>
    </row>
    <row r="15" customFormat="false" ht="15" hidden="false" customHeight="true" outlineLevel="0" collapsed="false">
      <c r="B15" s="220" t="s">
        <v>911</v>
      </c>
    </row>
    <row r="16" customFormat="false" ht="15" hidden="false" customHeight="true" outlineLevel="0" collapsed="false">
      <c r="B16" s="221" t="s">
        <v>912</v>
      </c>
      <c r="C16" s="221"/>
      <c r="D16" s="221"/>
      <c r="E16" s="221"/>
      <c r="F16" s="221"/>
      <c r="G16" s="221"/>
      <c r="H16" s="221"/>
      <c r="I16" s="221"/>
      <c r="J16" s="221"/>
    </row>
    <row r="17" customFormat="false" ht="31.5" hidden="false" customHeight="true" outlineLevel="0" collapsed="false">
      <c r="B17" s="211" t="s">
        <v>913</v>
      </c>
      <c r="C17" s="211"/>
      <c r="D17" s="211"/>
      <c r="E17" s="211"/>
      <c r="F17" s="211" t="s">
        <v>914</v>
      </c>
      <c r="G17" s="211" t="s">
        <v>915</v>
      </c>
      <c r="H17" s="222" t="s">
        <v>916</v>
      </c>
      <c r="I17" s="222"/>
      <c r="J17" s="222"/>
    </row>
    <row r="18" customFormat="false" ht="30" hidden="false" customHeight="true" outlineLevel="0" collapsed="false">
      <c r="B18" s="212" t="s">
        <v>917</v>
      </c>
      <c r="F18" s="215" t="s">
        <v>918</v>
      </c>
      <c r="G18" s="216" t="s">
        <v>919</v>
      </c>
      <c r="H18" s="223" t="s">
        <v>920</v>
      </c>
    </row>
    <row r="19" customFormat="false" ht="30" hidden="false" customHeight="true" outlineLevel="0" collapsed="false">
      <c r="B19" s="212" t="s">
        <v>921</v>
      </c>
      <c r="F19" s="215" t="s">
        <v>922</v>
      </c>
      <c r="G19" s="216" t="s">
        <v>919</v>
      </c>
      <c r="H19" s="223" t="s">
        <v>923</v>
      </c>
    </row>
    <row r="20" customFormat="false" ht="30" hidden="false" customHeight="true" outlineLevel="0" collapsed="false">
      <c r="B20" s="212" t="s">
        <v>924</v>
      </c>
      <c r="F20" s="215" t="s">
        <v>925</v>
      </c>
      <c r="G20" s="216" t="s">
        <v>926</v>
      </c>
      <c r="H20" s="223" t="s">
        <v>927</v>
      </c>
    </row>
    <row r="21" customFormat="false" ht="30" hidden="false" customHeight="true" outlineLevel="0" collapsed="false">
      <c r="B21" s="212" t="s">
        <v>928</v>
      </c>
      <c r="F21" s="215" t="s">
        <v>929</v>
      </c>
      <c r="G21" s="216" t="s">
        <v>930</v>
      </c>
      <c r="H21" s="223" t="s">
        <v>931</v>
      </c>
    </row>
    <row r="22" customFormat="false" ht="15" hidden="false" customHeight="true" outlineLevel="0" collapsed="false">
      <c r="B22" s="221" t="s">
        <v>932</v>
      </c>
      <c r="C22" s="221"/>
      <c r="D22" s="221"/>
      <c r="E22" s="221"/>
      <c r="F22" s="221"/>
      <c r="G22" s="221"/>
      <c r="H22" s="221"/>
      <c r="I22" s="221"/>
      <c r="J22" s="221"/>
    </row>
    <row r="23" customFormat="false" ht="15.75" hidden="false" customHeight="true" outlineLevel="0" collapsed="false">
      <c r="B23" s="212" t="s">
        <v>933</v>
      </c>
      <c r="C23" s="224" t="s">
        <v>934</v>
      </c>
      <c r="D23" s="225"/>
      <c r="E23" s="225"/>
      <c r="F23" s="225"/>
      <c r="G23" s="226"/>
    </row>
    <row r="24" customFormat="false" ht="15" hidden="false" customHeight="true" outlineLevel="0" collapsed="false">
      <c r="B24" s="212" t="s">
        <v>935</v>
      </c>
      <c r="C24" s="224" t="s">
        <v>936</v>
      </c>
      <c r="D24" s="225"/>
      <c r="E24" s="225"/>
      <c r="F24" s="225"/>
      <c r="G24" s="226"/>
    </row>
    <row r="25" customFormat="false" ht="15" hidden="false" customHeight="true" outlineLevel="0" collapsed="false">
      <c r="B25" s="212" t="s">
        <v>937</v>
      </c>
      <c r="C25" s="224" t="s">
        <v>938</v>
      </c>
      <c r="D25" s="225"/>
      <c r="E25" s="225"/>
      <c r="F25" s="225"/>
      <c r="G25" s="226"/>
    </row>
    <row r="26" customFormat="false" ht="15" hidden="false" customHeight="true" outlineLevel="0" collapsed="false">
      <c r="B26" s="219" t="s">
        <v>939</v>
      </c>
    </row>
    <row r="28" customFormat="false" ht="15" hidden="false" customHeight="true" outlineLevel="0" collapsed="false">
      <c r="B28" s="227" t="s">
        <v>940</v>
      </c>
      <c r="C28" s="227"/>
      <c r="D28" s="227"/>
      <c r="E28" s="227"/>
      <c r="F28" s="227"/>
      <c r="G28" s="227"/>
      <c r="H28" s="227"/>
      <c r="I28" s="227"/>
      <c r="J28" s="227"/>
    </row>
    <row r="29" customFormat="false" ht="31.5" hidden="false" customHeight="true" outlineLevel="0" collapsed="false">
      <c r="B29" s="211" t="s">
        <v>941</v>
      </c>
      <c r="C29" s="211" t="s">
        <v>885</v>
      </c>
      <c r="D29" s="211" t="s">
        <v>885</v>
      </c>
      <c r="E29" s="211" t="s">
        <v>885</v>
      </c>
      <c r="F29" s="211" t="s">
        <v>886</v>
      </c>
      <c r="G29" s="211" t="s">
        <v>942</v>
      </c>
      <c r="H29" s="211" t="s">
        <v>402</v>
      </c>
      <c r="I29" s="211" t="s">
        <v>887</v>
      </c>
      <c r="J29" s="211"/>
    </row>
    <row r="30" customFormat="false" ht="15.75" hidden="false" customHeight="true" outlineLevel="0" collapsed="false">
      <c r="B30" s="211"/>
      <c r="C30" s="211" t="s">
        <v>888</v>
      </c>
      <c r="D30" s="211" t="s">
        <v>889</v>
      </c>
      <c r="E30" s="211" t="s">
        <v>890</v>
      </c>
      <c r="F30" s="211"/>
      <c r="G30" s="211" t="s">
        <v>943</v>
      </c>
      <c r="H30" s="211" t="s">
        <v>892</v>
      </c>
      <c r="I30" s="211"/>
      <c r="J30" s="211"/>
    </row>
    <row r="31" customFormat="false" ht="30" hidden="false" customHeight="true" outlineLevel="0" collapsed="false">
      <c r="B31" s="212" t="s">
        <v>944</v>
      </c>
      <c r="C31" s="213" t="n">
        <v>0</v>
      </c>
      <c r="D31" s="213" t="n">
        <v>0</v>
      </c>
      <c r="E31" s="214" t="s">
        <v>894</v>
      </c>
      <c r="F31" s="215" t="s">
        <v>945</v>
      </c>
      <c r="G31" s="216" t="s">
        <v>946</v>
      </c>
      <c r="H31" s="217" t="s">
        <v>897</v>
      </c>
      <c r="I31" s="218" t="s">
        <v>947</v>
      </c>
    </row>
    <row r="32" customFormat="false" ht="30" hidden="false" customHeight="true" outlineLevel="0" collapsed="false">
      <c r="B32" s="212" t="s">
        <v>899</v>
      </c>
      <c r="C32" s="213" t="n">
        <v>1500</v>
      </c>
      <c r="D32" s="213" t="n">
        <v>3500</v>
      </c>
      <c r="E32" s="214" t="s">
        <v>900</v>
      </c>
      <c r="F32" s="215" t="s">
        <v>948</v>
      </c>
      <c r="G32" s="216" t="s">
        <v>949</v>
      </c>
      <c r="H32" s="217" t="s">
        <v>897</v>
      </c>
      <c r="I32" s="218" t="s">
        <v>950</v>
      </c>
    </row>
    <row r="33" customFormat="false" ht="30" hidden="false" customHeight="true" outlineLevel="0" collapsed="false">
      <c r="B33" s="212" t="s">
        <v>951</v>
      </c>
      <c r="C33" s="213" t="n">
        <v>300</v>
      </c>
      <c r="D33" s="213" t="n">
        <v>800</v>
      </c>
      <c r="E33" s="214" t="s">
        <v>952</v>
      </c>
      <c r="F33" s="215" t="s">
        <v>953</v>
      </c>
      <c r="G33" s="216" t="s">
        <v>954</v>
      </c>
      <c r="H33" s="217" t="s">
        <v>897</v>
      </c>
      <c r="I33" s="218" t="s">
        <v>955</v>
      </c>
    </row>
    <row r="34" customFormat="false" ht="30" hidden="false" customHeight="true" outlineLevel="0" collapsed="false">
      <c r="B34" s="212" t="s">
        <v>788</v>
      </c>
      <c r="C34" s="213" t="n">
        <v>300</v>
      </c>
      <c r="D34" s="213" t="n">
        <v>700</v>
      </c>
      <c r="E34" s="214" t="s">
        <v>904</v>
      </c>
      <c r="F34" s="215" t="s">
        <v>956</v>
      </c>
      <c r="G34" s="216" t="s">
        <v>957</v>
      </c>
      <c r="H34" s="217" t="s">
        <v>907</v>
      </c>
      <c r="I34" s="218" t="s">
        <v>958</v>
      </c>
    </row>
    <row r="36" customFormat="false" ht="15" hidden="false" customHeight="true" outlineLevel="0" collapsed="false">
      <c r="B36" s="228" t="s">
        <v>959</v>
      </c>
      <c r="C36" s="228"/>
      <c r="D36" s="228"/>
      <c r="E36" s="228"/>
      <c r="F36" s="228"/>
      <c r="G36" s="228"/>
      <c r="H36" s="228"/>
      <c r="I36" s="228"/>
      <c r="J36" s="228"/>
    </row>
    <row r="37" customFormat="false" ht="15" hidden="false" customHeight="true" outlineLevel="0" collapsed="false">
      <c r="B37" s="229" t="s">
        <v>960</v>
      </c>
      <c r="C37" s="229"/>
      <c r="D37" s="229"/>
      <c r="E37" s="229"/>
      <c r="F37" s="229"/>
      <c r="G37" s="229"/>
    </row>
    <row r="38" customFormat="false" ht="15" hidden="false" customHeight="true" outlineLevel="0" collapsed="false">
      <c r="B38" s="229" t="s">
        <v>961</v>
      </c>
      <c r="C38" s="229"/>
      <c r="D38" s="229"/>
      <c r="E38" s="229"/>
      <c r="F38" s="229"/>
      <c r="G38" s="229"/>
    </row>
    <row r="39" customFormat="false" ht="15" hidden="false" customHeight="true" outlineLevel="0" collapsed="false">
      <c r="B39" s="229" t="s">
        <v>962</v>
      </c>
      <c r="C39" s="229"/>
      <c r="D39" s="229"/>
      <c r="E39" s="229"/>
      <c r="F39" s="229"/>
      <c r="G39" s="229"/>
    </row>
    <row r="40" customFormat="false" ht="15" hidden="false" customHeight="true" outlineLevel="0" collapsed="false">
      <c r="B40" s="229" t="s">
        <v>963</v>
      </c>
      <c r="C40" s="229"/>
      <c r="D40" s="229"/>
      <c r="E40" s="229"/>
      <c r="F40" s="229"/>
      <c r="G40" s="229"/>
    </row>
    <row r="41" customFormat="false" ht="15" hidden="false" customHeight="true" outlineLevel="0" collapsed="false">
      <c r="B41" s="230" t="s">
        <v>964</v>
      </c>
      <c r="C41" s="230"/>
      <c r="D41" s="230"/>
      <c r="E41" s="230"/>
      <c r="F41" s="230"/>
      <c r="G41" s="230"/>
    </row>
    <row r="43" customFormat="false" ht="15" hidden="false" customHeight="true" outlineLevel="0" collapsed="false">
      <c r="B43" s="228" t="s">
        <v>965</v>
      </c>
      <c r="C43" s="228"/>
      <c r="D43" s="228"/>
      <c r="E43" s="228"/>
      <c r="F43" s="228"/>
      <c r="G43" s="228"/>
      <c r="H43" s="228"/>
      <c r="I43" s="228"/>
      <c r="J43" s="228"/>
    </row>
    <row r="44" customFormat="false" ht="27.75" hidden="false" customHeight="true" outlineLevel="0" collapsed="false">
      <c r="B44" s="231" t="s">
        <v>966</v>
      </c>
      <c r="C44" s="231"/>
      <c r="D44" s="231"/>
      <c r="E44" s="231"/>
      <c r="F44" s="231"/>
      <c r="G44" s="231"/>
    </row>
    <row r="45" customFormat="false" ht="15" hidden="false" customHeight="true" outlineLevel="0" collapsed="false">
      <c r="B45" s="208" t="s">
        <v>967</v>
      </c>
      <c r="C45" s="208"/>
      <c r="D45" s="208"/>
      <c r="E45" s="208"/>
      <c r="F45" s="208"/>
      <c r="G45" s="208"/>
      <c r="H45" s="208"/>
      <c r="I45" s="208"/>
      <c r="J45" s="208"/>
    </row>
    <row r="46" customFormat="false" ht="15.75" hidden="false" customHeight="true" outlineLevel="0" collapsed="false">
      <c r="B46" s="211" t="s">
        <v>941</v>
      </c>
      <c r="C46" s="211" t="s">
        <v>968</v>
      </c>
      <c r="D46" s="211" t="s">
        <v>968</v>
      </c>
      <c r="E46" s="211" t="s">
        <v>968</v>
      </c>
      <c r="F46" s="211" t="s">
        <v>969</v>
      </c>
      <c r="G46" s="211" t="s">
        <v>970</v>
      </c>
      <c r="H46" s="211" t="s">
        <v>970</v>
      </c>
      <c r="I46" s="211" t="s">
        <v>970</v>
      </c>
      <c r="J46" s="222" t="s">
        <v>971</v>
      </c>
    </row>
    <row r="47" customFormat="false" ht="15.75" hidden="false" customHeight="true" outlineLevel="0" collapsed="false">
      <c r="B47" s="211"/>
      <c r="C47" s="211" t="s">
        <v>888</v>
      </c>
      <c r="D47" s="211" t="s">
        <v>889</v>
      </c>
      <c r="E47" s="211" t="s">
        <v>890</v>
      </c>
      <c r="F47" s="211" t="s">
        <v>972</v>
      </c>
      <c r="G47" s="211" t="s">
        <v>888</v>
      </c>
      <c r="H47" s="211" t="s">
        <v>889</v>
      </c>
      <c r="I47" s="211" t="s">
        <v>890</v>
      </c>
      <c r="J47" s="222"/>
    </row>
    <row r="48" customFormat="false" ht="30" hidden="false" customHeight="true" outlineLevel="0" collapsed="false">
      <c r="B48" s="212" t="s">
        <v>973</v>
      </c>
      <c r="C48" s="213" t="n">
        <v>0</v>
      </c>
      <c r="D48" s="213" t="n">
        <v>250</v>
      </c>
      <c r="E48" s="214" t="s">
        <v>894</v>
      </c>
      <c r="F48" s="215" t="s">
        <v>974</v>
      </c>
      <c r="G48" s="213" t="n">
        <v>50</v>
      </c>
      <c r="H48" s="213" t="n">
        <v>1000</v>
      </c>
      <c r="I48" s="232" t="s">
        <v>904</v>
      </c>
      <c r="J48" s="218" t="s">
        <v>975</v>
      </c>
    </row>
    <row r="49" customFormat="false" ht="30" hidden="false" customHeight="true" outlineLevel="0" collapsed="false">
      <c r="B49" s="212" t="s">
        <v>976</v>
      </c>
      <c r="C49" s="213" t="n">
        <v>2500</v>
      </c>
      <c r="D49" s="213" t="n">
        <v>5000</v>
      </c>
      <c r="E49" s="214" t="s">
        <v>894</v>
      </c>
      <c r="F49" s="215" t="s">
        <v>977</v>
      </c>
      <c r="G49" s="213" t="n">
        <v>1500</v>
      </c>
      <c r="H49" s="213" t="n">
        <v>5000</v>
      </c>
      <c r="I49" s="232" t="s">
        <v>978</v>
      </c>
      <c r="J49" s="218" t="s">
        <v>979</v>
      </c>
    </row>
    <row r="50" customFormat="false" ht="30" hidden="false" customHeight="true" outlineLevel="0" collapsed="false">
      <c r="B50" s="212" t="s">
        <v>980</v>
      </c>
      <c r="C50" s="213" t="n">
        <v>500</v>
      </c>
      <c r="D50" s="213" t="n">
        <v>1000</v>
      </c>
      <c r="E50" s="214" t="s">
        <v>894</v>
      </c>
      <c r="F50" s="215" t="s">
        <v>981</v>
      </c>
      <c r="G50" s="213" t="n">
        <v>3000</v>
      </c>
      <c r="H50" s="213" t="n">
        <v>6000</v>
      </c>
      <c r="I50" s="232" t="s">
        <v>982</v>
      </c>
      <c r="J50" s="218" t="s">
        <v>983</v>
      </c>
    </row>
    <row r="51" customFormat="false" ht="30" hidden="false" customHeight="true" outlineLevel="0" collapsed="false">
      <c r="B51" s="212" t="s">
        <v>984</v>
      </c>
      <c r="C51" s="213" t="s">
        <v>894</v>
      </c>
      <c r="D51" s="213" t="s">
        <v>894</v>
      </c>
      <c r="E51" s="214" t="s">
        <v>985</v>
      </c>
      <c r="F51" s="215" t="s">
        <v>986</v>
      </c>
      <c r="G51" s="213" t="n">
        <v>10000</v>
      </c>
      <c r="H51" s="213" t="n">
        <v>30000</v>
      </c>
      <c r="I51" s="205" t="s">
        <v>904</v>
      </c>
      <c r="J51" s="218" t="s">
        <v>987</v>
      </c>
    </row>
    <row r="52" customFormat="false" ht="15" hidden="false" customHeight="true" outlineLevel="0" collapsed="false">
      <c r="B52" s="233" t="s">
        <v>988</v>
      </c>
      <c r="C52" s="233"/>
      <c r="D52" s="233"/>
      <c r="E52" s="233"/>
      <c r="F52" s="233"/>
      <c r="G52" s="233"/>
      <c r="H52" s="233"/>
      <c r="I52" s="233"/>
    </row>
    <row r="53" customFormat="false" ht="15" hidden="false" customHeight="true" outlineLevel="0" collapsed="false">
      <c r="L53" s="205" t="s">
        <v>989</v>
      </c>
      <c r="M53" s="205" t="s">
        <v>990</v>
      </c>
      <c r="N53" s="205" t="s">
        <v>991</v>
      </c>
      <c r="O53" s="205" t="s">
        <v>991</v>
      </c>
      <c r="P53" s="205" t="s">
        <v>989</v>
      </c>
      <c r="Q53" s="205" t="s">
        <v>990</v>
      </c>
      <c r="R53" s="205" t="s">
        <v>991</v>
      </c>
      <c r="S53" s="205" t="s">
        <v>991</v>
      </c>
    </row>
    <row r="54" customFormat="false" ht="15" hidden="false" customHeight="true" outlineLevel="0" collapsed="false">
      <c r="B54" s="208" t="s">
        <v>217</v>
      </c>
      <c r="C54" s="208"/>
      <c r="D54" s="208"/>
      <c r="E54" s="208"/>
      <c r="F54" s="208"/>
      <c r="G54" s="208"/>
      <c r="H54" s="208"/>
      <c r="I54" s="208"/>
      <c r="J54" s="208"/>
      <c r="M54" s="205" t="s">
        <v>455</v>
      </c>
      <c r="N54" s="205" t="s">
        <v>455</v>
      </c>
      <c r="O54" s="205" t="s">
        <v>992</v>
      </c>
      <c r="Q54" s="205" t="s">
        <v>455</v>
      </c>
      <c r="R54" s="205" t="s">
        <v>455</v>
      </c>
      <c r="S54" s="205" t="s">
        <v>992</v>
      </c>
    </row>
    <row r="55" customFormat="false" ht="15.75" hidden="false" customHeight="true" outlineLevel="0" collapsed="false">
      <c r="B55" s="211" t="s">
        <v>941</v>
      </c>
      <c r="C55" s="211" t="s">
        <v>968</v>
      </c>
      <c r="D55" s="211" t="s">
        <v>968</v>
      </c>
      <c r="E55" s="211" t="s">
        <v>968</v>
      </c>
      <c r="F55" s="211" t="s">
        <v>969</v>
      </c>
      <c r="G55" s="211" t="s">
        <v>970</v>
      </c>
      <c r="H55" s="211" t="s">
        <v>970</v>
      </c>
      <c r="I55" s="211" t="s">
        <v>970</v>
      </c>
      <c r="J55" s="222" t="s">
        <v>971</v>
      </c>
      <c r="L55" s="205" t="s">
        <v>993</v>
      </c>
      <c r="M55" s="234" t="n">
        <v>0.85</v>
      </c>
      <c r="N55" s="234" t="n">
        <v>0.94</v>
      </c>
      <c r="P55" s="205" t="s">
        <v>993</v>
      </c>
      <c r="Q55" s="234" t="n">
        <v>0.85</v>
      </c>
      <c r="R55" s="234" t="n">
        <v>0.94</v>
      </c>
    </row>
    <row r="56" customFormat="false" ht="15.75" hidden="false" customHeight="true" outlineLevel="0" collapsed="false">
      <c r="B56" s="211"/>
      <c r="C56" s="211" t="s">
        <v>888</v>
      </c>
      <c r="D56" s="211" t="s">
        <v>889</v>
      </c>
      <c r="E56" s="211" t="s">
        <v>890</v>
      </c>
      <c r="F56" s="211" t="s">
        <v>972</v>
      </c>
      <c r="G56" s="211" t="s">
        <v>888</v>
      </c>
      <c r="H56" s="211" t="s">
        <v>889</v>
      </c>
      <c r="I56" s="211" t="s">
        <v>890</v>
      </c>
      <c r="J56" s="222"/>
      <c r="L56" s="205" t="s">
        <v>888</v>
      </c>
      <c r="M56" s="205" t="s">
        <v>990</v>
      </c>
      <c r="N56" s="205" t="s">
        <v>455</v>
      </c>
      <c r="O56" s="205" t="s">
        <v>888</v>
      </c>
      <c r="P56" s="205" t="s">
        <v>889</v>
      </c>
      <c r="Q56" s="205" t="s">
        <v>990</v>
      </c>
      <c r="R56" s="205" t="s">
        <v>455</v>
      </c>
      <c r="S56" s="205" t="s">
        <v>889</v>
      </c>
    </row>
    <row r="57" customFormat="false" ht="30" hidden="false" customHeight="true" outlineLevel="0" collapsed="false">
      <c r="B57" s="212" t="s">
        <v>944</v>
      </c>
      <c r="C57" s="213" t="n">
        <v>0</v>
      </c>
      <c r="D57" s="213" t="n">
        <v>0</v>
      </c>
      <c r="E57" s="214" t="s">
        <v>894</v>
      </c>
      <c r="F57" s="215" t="s">
        <v>994</v>
      </c>
      <c r="G57" s="213" t="n">
        <v>1000</v>
      </c>
      <c r="H57" s="213" t="n">
        <v>1000</v>
      </c>
      <c r="I57" s="205" t="s">
        <v>992</v>
      </c>
      <c r="J57" s="218" t="s">
        <v>995</v>
      </c>
      <c r="K57" s="216"/>
      <c r="L57" s="216"/>
    </row>
    <row r="58" customFormat="false" ht="30" hidden="false" customHeight="true" outlineLevel="0" collapsed="false">
      <c r="B58" s="212" t="s">
        <v>996</v>
      </c>
      <c r="C58" s="213" t="n">
        <v>1500</v>
      </c>
      <c r="D58" s="213" t="n">
        <v>3500</v>
      </c>
      <c r="E58" s="214" t="s">
        <v>894</v>
      </c>
      <c r="F58" s="215" t="s">
        <v>997</v>
      </c>
      <c r="G58" s="213" t="n">
        <v>4000</v>
      </c>
      <c r="H58" s="213" t="n">
        <v>10000</v>
      </c>
      <c r="I58" s="232" t="s">
        <v>998</v>
      </c>
      <c r="J58" s="218" t="s">
        <v>999</v>
      </c>
      <c r="K58" s="216"/>
      <c r="L58" s="216"/>
    </row>
    <row r="59" customFormat="false" ht="30" hidden="false" customHeight="true" outlineLevel="0" collapsed="false">
      <c r="B59" s="212" t="s">
        <v>1000</v>
      </c>
      <c r="C59" s="213" t="n">
        <v>300</v>
      </c>
      <c r="D59" s="213" t="n">
        <v>800</v>
      </c>
      <c r="E59" s="214" t="s">
        <v>952</v>
      </c>
      <c r="F59" s="215" t="s">
        <v>1001</v>
      </c>
      <c r="G59" s="214" t="s">
        <v>894</v>
      </c>
      <c r="H59" s="214" t="s">
        <v>894</v>
      </c>
      <c r="I59" s="214" t="s">
        <v>894</v>
      </c>
      <c r="J59" s="218" t="s">
        <v>1002</v>
      </c>
      <c r="K59" s="216"/>
      <c r="L59" s="216"/>
    </row>
    <row r="60" customFormat="false" ht="30" hidden="false" customHeight="true" outlineLevel="0" collapsed="false">
      <c r="B60" s="212" t="s">
        <v>980</v>
      </c>
      <c r="C60" s="213" t="n">
        <v>300</v>
      </c>
      <c r="D60" s="213" t="n">
        <v>700</v>
      </c>
      <c r="E60" s="214" t="s">
        <v>904</v>
      </c>
      <c r="F60" s="215" t="s">
        <v>1003</v>
      </c>
      <c r="G60" s="213" t="n">
        <f aca="false">M60</f>
        <v>3318</v>
      </c>
      <c r="H60" s="213" t="n">
        <f aca="false">Q60</f>
        <v>8847</v>
      </c>
      <c r="I60" s="232" t="s">
        <v>1004</v>
      </c>
      <c r="J60" s="218" t="s">
        <v>1005</v>
      </c>
      <c r="K60" s="216"/>
      <c r="L60" s="235" t="n">
        <f aca="false">ROUND(M60/12,0)</f>
        <v>277</v>
      </c>
      <c r="M60" s="236" t="n">
        <f aca="false">ROUND(N60/M55,0)</f>
        <v>3318</v>
      </c>
      <c r="N60" s="213" t="n">
        <f aca="false">O60*N55</f>
        <v>2820</v>
      </c>
      <c r="O60" s="237" t="n">
        <v>3000</v>
      </c>
      <c r="P60" s="235" t="n">
        <f aca="false">ROUND(Q60/12,0)</f>
        <v>737</v>
      </c>
      <c r="Q60" s="236" t="n">
        <f aca="false">ROUND(R60/Q55,0)</f>
        <v>8847</v>
      </c>
      <c r="R60" s="213" t="n">
        <f aca="false">S60*R55</f>
        <v>7520</v>
      </c>
      <c r="S60" s="237" t="n">
        <v>8000</v>
      </c>
    </row>
    <row r="61" customFormat="false" ht="30" hidden="false" customHeight="true" outlineLevel="0" collapsed="false">
      <c r="B61" s="212" t="s">
        <v>1006</v>
      </c>
      <c r="C61" s="213" t="s">
        <v>894</v>
      </c>
      <c r="D61" s="213" t="s">
        <v>894</v>
      </c>
      <c r="E61" s="214" t="s">
        <v>985</v>
      </c>
      <c r="F61" s="215" t="s">
        <v>1007</v>
      </c>
      <c r="G61" s="213" t="n">
        <v>5000</v>
      </c>
      <c r="H61" s="213" t="n">
        <v>30000</v>
      </c>
      <c r="J61" s="218" t="s">
        <v>1008</v>
      </c>
      <c r="K61" s="216"/>
      <c r="L61" s="216"/>
    </row>
    <row r="62" customFormat="false" ht="15" hidden="false" customHeight="true" outlineLevel="0" collapsed="false">
      <c r="B62" s="233" t="s">
        <v>1009</v>
      </c>
      <c r="C62" s="233"/>
      <c r="D62" s="233"/>
      <c r="E62" s="233"/>
      <c r="F62" s="233"/>
      <c r="J62" s="233"/>
      <c r="K62" s="233"/>
      <c r="L62" s="233"/>
    </row>
    <row r="64" customFormat="false" ht="15" hidden="false" customHeight="true" outlineLevel="0" collapsed="false">
      <c r="B64" s="221" t="s">
        <v>1010</v>
      </c>
      <c r="C64" s="221"/>
      <c r="D64" s="221"/>
      <c r="E64" s="221"/>
      <c r="F64" s="221"/>
      <c r="G64" s="221"/>
      <c r="H64" s="221"/>
      <c r="I64" s="221"/>
      <c r="J64" s="221"/>
    </row>
    <row r="65" customFormat="false" ht="15" hidden="false" customHeight="true" outlineLevel="0" collapsed="false">
      <c r="B65" s="229" t="s">
        <v>1011</v>
      </c>
      <c r="C65" s="229"/>
      <c r="D65" s="229"/>
      <c r="E65" s="229"/>
      <c r="F65" s="229"/>
      <c r="G65" s="229"/>
      <c r="H65" s="229"/>
      <c r="I65" s="229"/>
    </row>
    <row r="66" customFormat="false" ht="15" hidden="false" customHeight="true" outlineLevel="0" collapsed="false">
      <c r="B66" s="229" t="s">
        <v>1012</v>
      </c>
      <c r="C66" s="229"/>
      <c r="D66" s="229"/>
      <c r="E66" s="229"/>
      <c r="F66" s="229"/>
      <c r="G66" s="229"/>
      <c r="H66" s="229"/>
      <c r="I66" s="229"/>
    </row>
    <row r="67" customFormat="false" ht="15" hidden="false" customHeight="true" outlineLevel="0" collapsed="false">
      <c r="B67" s="229" t="s">
        <v>1013</v>
      </c>
      <c r="C67" s="229"/>
      <c r="D67" s="229"/>
      <c r="E67" s="229"/>
      <c r="F67" s="229"/>
      <c r="G67" s="229"/>
      <c r="H67" s="229"/>
      <c r="I67" s="229"/>
    </row>
    <row r="68" customFormat="false" ht="15" hidden="false" customHeight="true" outlineLevel="0" collapsed="false">
      <c r="B68" s="229" t="s">
        <v>1014</v>
      </c>
      <c r="C68" s="229"/>
      <c r="D68" s="229"/>
      <c r="E68" s="229"/>
      <c r="F68" s="229"/>
      <c r="G68" s="229"/>
      <c r="H68" s="229"/>
      <c r="I68" s="229"/>
    </row>
  </sheetData>
  <mergeCells count="1">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7" min="2" style="1" width="21.83"/>
  </cols>
  <sheetData>
    <row r="2" customFormat="false" ht="33.75" hidden="false" customHeight="true" outlineLevel="0" collapsed="false">
      <c r="B2" s="2" t="s">
        <v>1015</v>
      </c>
      <c r="C2" s="2"/>
      <c r="D2" s="2"/>
      <c r="E2" s="2"/>
      <c r="F2" s="2"/>
      <c r="G2" s="2"/>
    </row>
    <row r="4" customFormat="false" ht="15" hidden="false" customHeight="true" outlineLevel="0" collapsed="false">
      <c r="B4" s="238" t="s">
        <v>1016</v>
      </c>
      <c r="C4" s="1" t="s">
        <v>1017</v>
      </c>
    </row>
    <row r="5" customFormat="false" ht="15" hidden="false" customHeight="true" outlineLevel="0" collapsed="false">
      <c r="B5" s="238" t="s">
        <v>1018</v>
      </c>
      <c r="C5" s="1" t="s">
        <v>1019</v>
      </c>
    </row>
    <row r="6" customFormat="false" ht="15" hidden="false" customHeight="true" outlineLevel="0" collapsed="false">
      <c r="B6" s="238" t="s">
        <v>1020</v>
      </c>
      <c r="C6" s="1" t="s">
        <v>1021</v>
      </c>
    </row>
    <row r="7" customFormat="false" ht="15" hidden="false" customHeight="true" outlineLevel="0" collapsed="false">
      <c r="B7" s="238" t="s">
        <v>1022</v>
      </c>
      <c r="C7" s="1" t="s">
        <v>1023</v>
      </c>
    </row>
    <row r="8" customFormat="false" ht="15" hidden="false" customHeight="true" outlineLevel="0" collapsed="false">
      <c r="B8" s="238" t="s">
        <v>1024</v>
      </c>
      <c r="C8" s="1" t="s">
        <v>1025</v>
      </c>
    </row>
    <row r="9" customFormat="false" ht="15" hidden="false" customHeight="true" outlineLevel="0" collapsed="false">
      <c r="B9" s="238" t="s">
        <v>1026</v>
      </c>
      <c r="C9" s="1" t="s">
        <v>1027</v>
      </c>
    </row>
    <row r="10" customFormat="false" ht="15" hidden="false" customHeight="true" outlineLevel="0" collapsed="false">
      <c r="B10" s="238" t="s">
        <v>1028</v>
      </c>
      <c r="C10" s="1" t="s">
        <v>1029</v>
      </c>
    </row>
    <row r="11" customFormat="false" ht="15" hidden="false" customHeight="true" outlineLevel="0" collapsed="false">
      <c r="B11" s="238" t="s">
        <v>258</v>
      </c>
      <c r="C11" s="1" t="s">
        <v>1030</v>
      </c>
    </row>
    <row r="12" customFormat="false" ht="15" hidden="false" customHeight="true" outlineLevel="0" collapsed="false">
      <c r="B12" s="238" t="s">
        <v>1031</v>
      </c>
      <c r="C12" s="1" t="s">
        <v>1032</v>
      </c>
    </row>
    <row r="13" customFormat="false" ht="15" hidden="false" customHeight="true" outlineLevel="0" collapsed="false">
      <c r="B13" s="238" t="s">
        <v>1033</v>
      </c>
      <c r="C13" s="1" t="s">
        <v>1034</v>
      </c>
    </row>
    <row r="14" customFormat="false" ht="15" hidden="false" customHeight="true" outlineLevel="0" collapsed="false">
      <c r="B14" s="238" t="s">
        <v>1035</v>
      </c>
      <c r="C14" s="1" t="s">
        <v>1036</v>
      </c>
    </row>
    <row r="15" customFormat="false" ht="15" hidden="false" customHeight="true" outlineLevel="0" collapsed="false">
      <c r="B15" s="238" t="s">
        <v>282</v>
      </c>
      <c r="C15" s="1" t="s">
        <v>1037</v>
      </c>
    </row>
    <row r="16" customFormat="false" ht="15" hidden="false" customHeight="true" outlineLevel="0" collapsed="false">
      <c r="B16" s="238"/>
    </row>
    <row r="17" customFormat="false" ht="15" hidden="false" customHeight="true" outlineLevel="0" collapsed="false">
      <c r="B17" s="238" t="s">
        <v>1038</v>
      </c>
      <c r="C17" s="1" t="s">
        <v>1039</v>
      </c>
    </row>
    <row r="18" customFormat="false" ht="15" hidden="false" customHeight="true" outlineLevel="0" collapsed="false">
      <c r="B18" s="238" t="s">
        <v>1040</v>
      </c>
      <c r="C18" s="1" t="s">
        <v>1041</v>
      </c>
    </row>
    <row r="19" customFormat="false" ht="15" hidden="false" customHeight="true" outlineLevel="0" collapsed="false">
      <c r="B19" s="238" t="s">
        <v>730</v>
      </c>
      <c r="C19" s="1" t="s">
        <v>1042</v>
      </c>
    </row>
    <row r="20" customFormat="false" ht="15" hidden="false" customHeight="true" outlineLevel="0" collapsed="false">
      <c r="B20" s="238" t="s">
        <v>1043</v>
      </c>
      <c r="C20" s="1" t="s">
        <v>1044</v>
      </c>
    </row>
    <row r="21" customFormat="false" ht="15" hidden="false" customHeight="true" outlineLevel="0" collapsed="false">
      <c r="B21" s="239" t="s">
        <v>1045</v>
      </c>
    </row>
    <row r="22" customFormat="false" ht="15" hidden="false" customHeight="true" outlineLevel="0" collapsed="false">
      <c r="B22" s="238" t="s">
        <v>247</v>
      </c>
      <c r="C22" s="201" t="str">
        <f aca="false">'Quote Calculator'!F6</f>
        <v>Basic Intake</v>
      </c>
    </row>
    <row r="23" customFormat="false" ht="15" hidden="false" customHeight="true" outlineLevel="0" collapsed="false">
      <c r="B23" s="238" t="s">
        <v>255</v>
      </c>
      <c r="C23" s="201" t="str">
        <f aca="false">'Quote Calculator'!F7</f>
        <v>Managed service</v>
      </c>
    </row>
    <row r="24" customFormat="false" ht="15" hidden="false" customHeight="true" outlineLevel="0" collapsed="false">
      <c r="B24" s="238" t="s">
        <v>238</v>
      </c>
      <c r="C24" s="201" t="str">
        <f aca="false">'Quote Calculator'!F8</f>
        <v>Normal managed support</v>
      </c>
    </row>
    <row r="25" customFormat="false" ht="15" hidden="false" customHeight="true" outlineLevel="0" collapsed="false">
      <c r="B25" s="238" t="s">
        <v>1046</v>
      </c>
      <c r="C25" s="201" t="n">
        <f aca="false">'Quote Calculator'!F39</f>
        <v>5500</v>
      </c>
    </row>
    <row r="26" customFormat="false" ht="15" hidden="false" customHeight="true" outlineLevel="0" collapsed="false">
      <c r="B26" s="238" t="s">
        <v>1047</v>
      </c>
      <c r="C26" s="201" t="n">
        <f aca="false">'Quote Calculator'!F40</f>
        <v>1400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6" min="3" style="1" width="34.83"/>
  </cols>
  <sheetData>
    <row r="1" customFormat="false" ht="15" hidden="false" customHeight="true" outlineLevel="0" collapsed="false">
      <c r="B1" s="240"/>
    </row>
    <row r="2" customFormat="false" ht="33.75" hidden="false" customHeight="true" outlineLevel="0" collapsed="false">
      <c r="B2" s="2" t="s">
        <v>1048</v>
      </c>
      <c r="C2" s="2"/>
      <c r="D2" s="2"/>
      <c r="E2" s="2"/>
      <c r="F2" s="2"/>
    </row>
    <row r="3" customFormat="false" ht="15" hidden="false" customHeight="true" outlineLevel="0" collapsed="false">
      <c r="B3" s="241" t="s">
        <v>1049</v>
      </c>
    </row>
    <row r="4" customFormat="false" ht="15" hidden="false" customHeight="true" outlineLevel="0" collapsed="false">
      <c r="B4" s="242"/>
    </row>
    <row r="5" customFormat="false" ht="54.75" hidden="false" customHeight="true" outlineLevel="0" collapsed="false">
      <c r="B5" s="243" t="s">
        <v>68</v>
      </c>
      <c r="C5" s="243" t="s">
        <v>1050</v>
      </c>
      <c r="D5" s="243" t="s">
        <v>1051</v>
      </c>
      <c r="E5" s="243" t="s">
        <v>544</v>
      </c>
      <c r="F5" s="243" t="s">
        <v>1052</v>
      </c>
    </row>
    <row r="6" customFormat="false" ht="54.75" hidden="false" customHeight="true" outlineLevel="0" collapsed="false">
      <c r="B6" s="144" t="s">
        <v>1053</v>
      </c>
      <c r="C6" s="144" t="s">
        <v>1054</v>
      </c>
      <c r="D6" s="144" t="s">
        <v>1055</v>
      </c>
      <c r="E6" s="144" t="s">
        <v>1056</v>
      </c>
      <c r="F6" s="144" t="s">
        <v>1057</v>
      </c>
    </row>
    <row r="7" customFormat="false" ht="54.75" hidden="false" customHeight="true" outlineLevel="0" collapsed="false">
      <c r="B7" s="144" t="s">
        <v>1058</v>
      </c>
      <c r="C7" s="144" t="s">
        <v>1059</v>
      </c>
      <c r="D7" s="144" t="s">
        <v>1060</v>
      </c>
      <c r="E7" s="144" t="s">
        <v>1061</v>
      </c>
      <c r="F7" s="144" t="s">
        <v>1062</v>
      </c>
    </row>
    <row r="8" customFormat="false" ht="54.75" hidden="false" customHeight="true" outlineLevel="0" collapsed="false">
      <c r="B8" s="144" t="s">
        <v>1063</v>
      </c>
      <c r="C8" s="144" t="s">
        <v>1064</v>
      </c>
      <c r="D8" s="144" t="s">
        <v>1065</v>
      </c>
      <c r="E8" s="144" t="s">
        <v>1066</v>
      </c>
      <c r="F8" s="144" t="s">
        <v>1067</v>
      </c>
    </row>
    <row r="9" customFormat="false" ht="54.75" hidden="false" customHeight="true" outlineLevel="0" collapsed="false">
      <c r="B9" s="144" t="s">
        <v>1068</v>
      </c>
      <c r="C9" s="144" t="s">
        <v>1069</v>
      </c>
      <c r="D9" s="144" t="s">
        <v>1070</v>
      </c>
      <c r="E9" s="144" t="s">
        <v>1071</v>
      </c>
      <c r="F9" s="144" t="s">
        <v>1072</v>
      </c>
    </row>
    <row r="10" customFormat="false" ht="54.75" hidden="false" customHeight="true" outlineLevel="0" collapsed="false">
      <c r="B10" s="144" t="s">
        <v>1073</v>
      </c>
      <c r="C10" s="144" t="s">
        <v>1074</v>
      </c>
      <c r="D10" s="144" t="s">
        <v>1075</v>
      </c>
      <c r="E10" s="144" t="s">
        <v>1076</v>
      </c>
      <c r="F10" s="144" t="s">
        <v>1077</v>
      </c>
    </row>
    <row r="11" customFormat="false" ht="54.75" hidden="false" customHeight="true" outlineLevel="0" collapsed="false">
      <c r="B11" s="144" t="s">
        <v>1078</v>
      </c>
      <c r="C11" s="144" t="s">
        <v>1079</v>
      </c>
      <c r="D11" s="144" t="s">
        <v>1080</v>
      </c>
      <c r="E11" s="144" t="s">
        <v>1081</v>
      </c>
      <c r="F11" s="144" t="s">
        <v>1082</v>
      </c>
    </row>
    <row r="12" customFormat="false" ht="54.75" hidden="false" customHeight="true" outlineLevel="0" collapsed="false">
      <c r="B12" s="144" t="s">
        <v>1083</v>
      </c>
      <c r="C12" s="144" t="s">
        <v>1084</v>
      </c>
      <c r="D12" s="144" t="s">
        <v>1085</v>
      </c>
      <c r="E12" s="144" t="s">
        <v>1086</v>
      </c>
      <c r="F12" s="144" t="s">
        <v>1087</v>
      </c>
    </row>
    <row r="13" customFormat="false" ht="48" hidden="false" customHeight="true" outlineLevel="0" collapsed="false">
      <c r="B13" s="244" t="s">
        <v>1088</v>
      </c>
      <c r="C13" s="244" t="s">
        <v>1089</v>
      </c>
      <c r="D13" s="244" t="s">
        <v>1090</v>
      </c>
      <c r="E13" s="244" t="s">
        <v>1091</v>
      </c>
      <c r="F13" s="244" t="s">
        <v>1092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6" min="4" style="1" width="34.83"/>
    <col collapsed="false" customWidth="true" hidden="false" outlineLevel="0" max="7" min="7" style="1" width="21.83"/>
  </cols>
  <sheetData>
    <row r="2" customFormat="false" ht="33.75" hidden="false" customHeight="true" outlineLevel="0" collapsed="false">
      <c r="B2" s="2" t="s">
        <v>1093</v>
      </c>
      <c r="C2" s="2"/>
      <c r="D2" s="2"/>
      <c r="E2" s="2"/>
      <c r="F2" s="2"/>
      <c r="G2" s="2"/>
    </row>
    <row r="3" customFormat="false" ht="21" hidden="false" customHeight="true" outlineLevel="0" collapsed="false">
      <c r="B3" s="245" t="s">
        <v>1094</v>
      </c>
      <c r="C3" s="246" t="s">
        <v>1095</v>
      </c>
      <c r="D3" s="247"/>
      <c r="E3" s="247"/>
      <c r="F3" s="247"/>
      <c r="G3" s="247"/>
    </row>
    <row r="4" customFormat="false" ht="21" hidden="false" customHeight="true" outlineLevel="0" collapsed="false">
      <c r="B4" s="245" t="s">
        <v>1096</v>
      </c>
      <c r="C4" s="246" t="s">
        <v>1097</v>
      </c>
      <c r="D4" s="247"/>
      <c r="E4" s="247"/>
      <c r="F4" s="247"/>
      <c r="G4" s="247"/>
    </row>
    <row r="5" customFormat="false" ht="21" hidden="false" customHeight="true" outlineLevel="0" collapsed="false">
      <c r="B5" s="247"/>
      <c r="C5" s="247"/>
      <c r="D5" s="247"/>
      <c r="E5" s="247"/>
      <c r="F5" s="247"/>
      <c r="G5" s="247"/>
    </row>
    <row r="6" customFormat="false" ht="33.75" hidden="false" customHeight="true" outlineLevel="0" collapsed="false">
      <c r="B6" s="248" t="s">
        <v>1098</v>
      </c>
      <c r="C6" s="248" t="s">
        <v>360</v>
      </c>
      <c r="D6" s="248" t="s">
        <v>361</v>
      </c>
      <c r="E6" s="248" t="s">
        <v>1099</v>
      </c>
      <c r="F6" s="248" t="s">
        <v>1100</v>
      </c>
      <c r="G6" s="248" t="s">
        <v>1101</v>
      </c>
    </row>
    <row r="7" customFormat="false" ht="54.75" hidden="false" customHeight="true" outlineLevel="0" collapsed="false">
      <c r="B7" s="247" t="s">
        <v>1102</v>
      </c>
      <c r="C7" s="247" t="s">
        <v>1103</v>
      </c>
      <c r="D7" s="247" t="s">
        <v>1104</v>
      </c>
      <c r="E7" s="247" t="s">
        <v>1105</v>
      </c>
      <c r="F7" s="247" t="s">
        <v>1106</v>
      </c>
      <c r="G7" s="247" t="s">
        <v>577</v>
      </c>
    </row>
    <row r="8" customFormat="false" ht="54.75" hidden="false" customHeight="true" outlineLevel="0" collapsed="false">
      <c r="B8" s="247" t="s">
        <v>1107</v>
      </c>
      <c r="C8" s="247" t="s">
        <v>1108</v>
      </c>
      <c r="D8" s="247" t="s">
        <v>1109</v>
      </c>
      <c r="E8" s="247" t="s">
        <v>1110</v>
      </c>
      <c r="F8" s="247" t="s">
        <v>1111</v>
      </c>
      <c r="G8" s="247" t="s">
        <v>577</v>
      </c>
    </row>
    <row r="9" customFormat="false" ht="54.75" hidden="false" customHeight="true" outlineLevel="0" collapsed="false">
      <c r="B9" s="247" t="s">
        <v>532</v>
      </c>
      <c r="C9" s="247" t="s">
        <v>1112</v>
      </c>
      <c r="D9" s="247" t="s">
        <v>1113</v>
      </c>
      <c r="E9" s="247" t="s">
        <v>1114</v>
      </c>
      <c r="F9" s="247" t="s">
        <v>1115</v>
      </c>
      <c r="G9" s="247" t="s">
        <v>598</v>
      </c>
    </row>
    <row r="10" customFormat="false" ht="54.75" hidden="false" customHeight="true" outlineLevel="0" collapsed="false">
      <c r="B10" s="247" t="s">
        <v>1116</v>
      </c>
      <c r="C10" s="247" t="s">
        <v>1117</v>
      </c>
      <c r="D10" s="247" t="s">
        <v>1118</v>
      </c>
      <c r="E10" s="247" t="s">
        <v>1119</v>
      </c>
      <c r="F10" s="247" t="s">
        <v>1120</v>
      </c>
      <c r="G10" s="247" t="s">
        <v>598</v>
      </c>
    </row>
    <row r="11" customFormat="false" ht="54.75" hidden="false" customHeight="true" outlineLevel="0" collapsed="false">
      <c r="B11" s="247" t="s">
        <v>1121</v>
      </c>
      <c r="C11" s="247" t="s">
        <v>1117</v>
      </c>
      <c r="D11" s="247" t="s">
        <v>1122</v>
      </c>
      <c r="E11" s="247" t="s">
        <v>1123</v>
      </c>
      <c r="F11" s="247" t="s">
        <v>1124</v>
      </c>
      <c r="G11" s="247" t="s">
        <v>598</v>
      </c>
    </row>
    <row r="12" customFormat="false" ht="54.75" hidden="false" customHeight="true" outlineLevel="0" collapsed="false">
      <c r="B12" s="247" t="s">
        <v>1125</v>
      </c>
      <c r="C12" s="247" t="s">
        <v>1117</v>
      </c>
      <c r="D12" s="247" t="s">
        <v>1126</v>
      </c>
      <c r="E12" s="247" t="s">
        <v>1127</v>
      </c>
      <c r="F12" s="247" t="s">
        <v>1128</v>
      </c>
      <c r="G12" s="247" t="s">
        <v>577</v>
      </c>
    </row>
    <row r="13" customFormat="false" ht="54.75" hidden="false" customHeight="true" outlineLevel="0" collapsed="false">
      <c r="B13" s="247" t="s">
        <v>40</v>
      </c>
      <c r="C13" s="247" t="s">
        <v>1117</v>
      </c>
      <c r="D13" s="247" t="s">
        <v>1129</v>
      </c>
      <c r="E13" s="247" t="s">
        <v>1130</v>
      </c>
      <c r="F13" s="247" t="s">
        <v>1131</v>
      </c>
      <c r="G13" s="247" t="s">
        <v>598</v>
      </c>
    </row>
    <row r="14" customFormat="false" ht="54.75" hidden="false" customHeight="true" outlineLevel="0" collapsed="false">
      <c r="B14" s="247" t="s">
        <v>1132</v>
      </c>
      <c r="C14" s="247" t="s">
        <v>1133</v>
      </c>
      <c r="D14" s="247" t="s">
        <v>1134</v>
      </c>
      <c r="E14" s="247" t="s">
        <v>1135</v>
      </c>
      <c r="F14" s="247" t="s">
        <v>1136</v>
      </c>
      <c r="G14" s="247" t="s">
        <v>557</v>
      </c>
    </row>
    <row r="15" customFormat="false" ht="54.75" hidden="false" customHeight="true" outlineLevel="0" collapsed="false">
      <c r="B15" s="247" t="s">
        <v>48</v>
      </c>
      <c r="C15" s="247" t="s">
        <v>1133</v>
      </c>
      <c r="D15" s="247" t="s">
        <v>1137</v>
      </c>
      <c r="E15" s="247" t="s">
        <v>1138</v>
      </c>
      <c r="F15" s="247" t="s">
        <v>1139</v>
      </c>
      <c r="G15" s="247" t="s">
        <v>557</v>
      </c>
    </row>
    <row r="16" customFormat="false" ht="54.75" hidden="false" customHeight="true" outlineLevel="0" collapsed="false">
      <c r="B16" s="247" t="s">
        <v>1140</v>
      </c>
      <c r="C16" s="247" t="s">
        <v>1133</v>
      </c>
      <c r="D16" s="247" t="s">
        <v>1141</v>
      </c>
      <c r="E16" s="247" t="s">
        <v>1142</v>
      </c>
      <c r="F16" s="247" t="s">
        <v>1143</v>
      </c>
      <c r="G16" s="247" t="s">
        <v>577</v>
      </c>
    </row>
    <row r="17" customFormat="false" ht="21" hidden="false" customHeight="true" outlineLevel="0" collapsed="false">
      <c r="B17" s="247"/>
      <c r="C17" s="247"/>
      <c r="D17" s="247"/>
      <c r="E17" s="247"/>
      <c r="F17" s="247"/>
      <c r="G17" s="247"/>
    </row>
    <row r="18" customFormat="false" ht="30" hidden="false" customHeight="true" outlineLevel="0" collapsed="false">
      <c r="B18" s="249" t="s">
        <v>1144</v>
      </c>
      <c r="C18" s="249" t="s">
        <v>232</v>
      </c>
      <c r="D18" s="249"/>
      <c r="E18" s="249"/>
      <c r="F18" s="249"/>
      <c r="G18" s="249"/>
    </row>
    <row r="19" customFormat="false" ht="21" hidden="false" customHeight="true" outlineLevel="0" collapsed="false">
      <c r="B19" s="247" t="s">
        <v>1145</v>
      </c>
      <c r="C19" s="247" t="s">
        <v>505</v>
      </c>
      <c r="D19" s="247"/>
      <c r="E19" s="247"/>
      <c r="F19" s="247"/>
      <c r="G19" s="247"/>
    </row>
    <row r="20" customFormat="false" ht="21" hidden="false" customHeight="true" outlineLevel="0" collapsed="false">
      <c r="B20" s="247" t="s">
        <v>1146</v>
      </c>
      <c r="C20" s="247" t="s">
        <v>259</v>
      </c>
      <c r="D20" s="247"/>
      <c r="E20" s="247"/>
      <c r="F20" s="247"/>
      <c r="G20" s="247"/>
    </row>
    <row r="21" customFormat="false" ht="21" hidden="false" customHeight="true" outlineLevel="0" collapsed="false">
      <c r="B21" s="247" t="s">
        <v>1147</v>
      </c>
      <c r="C21" s="247" t="n">
        <v>0</v>
      </c>
      <c r="D21" s="247"/>
      <c r="E21" s="247"/>
      <c r="F21" s="247"/>
      <c r="G21" s="247"/>
    </row>
    <row r="22" customFormat="false" ht="21" hidden="false" customHeight="true" outlineLevel="0" collapsed="false">
      <c r="B22" s="247" t="s">
        <v>1148</v>
      </c>
      <c r="C22" s="247" t="n">
        <v>1</v>
      </c>
      <c r="D22" s="247"/>
      <c r="E22" s="247"/>
      <c r="F22" s="247"/>
      <c r="G22" s="247"/>
    </row>
    <row r="23" customFormat="false" ht="21" hidden="false" customHeight="true" outlineLevel="0" collapsed="false">
      <c r="B23" s="247" t="s">
        <v>1149</v>
      </c>
      <c r="C23" s="247" t="n">
        <v>1</v>
      </c>
      <c r="D23" s="247"/>
      <c r="E23" s="247"/>
      <c r="F23" s="247"/>
      <c r="G23" s="247"/>
    </row>
    <row r="24" customFormat="false" ht="21" hidden="false" customHeight="true" outlineLevel="0" collapsed="false">
      <c r="B24" s="247" t="s">
        <v>1150</v>
      </c>
      <c r="C24" s="247" t="n">
        <v>1</v>
      </c>
      <c r="D24" s="247"/>
      <c r="E24" s="247"/>
      <c r="F24" s="247"/>
      <c r="G24" s="247"/>
    </row>
    <row r="25" customFormat="false" ht="21" hidden="false" customHeight="true" outlineLevel="0" collapsed="false">
      <c r="B25" s="247" t="s">
        <v>1151</v>
      </c>
      <c r="C25" s="247" t="n">
        <v>0</v>
      </c>
      <c r="D25" s="247"/>
      <c r="E25" s="247"/>
      <c r="F25" s="247"/>
      <c r="G25" s="247"/>
    </row>
    <row r="26" customFormat="false" ht="21" hidden="false" customHeight="true" outlineLevel="0" collapsed="false">
      <c r="B26" s="247" t="s">
        <v>1152</v>
      </c>
      <c r="C26" s="247" t="n">
        <v>1</v>
      </c>
      <c r="D26" s="247"/>
      <c r="E26" s="247"/>
      <c r="F26" s="247"/>
      <c r="G26" s="247"/>
    </row>
    <row r="27" customFormat="false" ht="21" hidden="false" customHeight="true" outlineLevel="0" collapsed="false">
      <c r="B27" s="247" t="s">
        <v>1153</v>
      </c>
      <c r="C27" s="247" t="n">
        <v>1</v>
      </c>
      <c r="D27" s="247"/>
      <c r="E27" s="247"/>
      <c r="F27" s="247"/>
      <c r="G27" s="247"/>
    </row>
    <row r="28" customFormat="false" ht="21" hidden="false" customHeight="true" outlineLevel="0" collapsed="false">
      <c r="B28" s="247"/>
      <c r="C28" s="250"/>
      <c r="D28" s="250"/>
      <c r="E28" s="250"/>
      <c r="F28" s="250"/>
      <c r="G28" s="247"/>
    </row>
    <row r="29" customFormat="false" ht="30" hidden="false" customHeight="true" outlineLevel="0" collapsed="false">
      <c r="B29" s="249" t="s">
        <v>1154</v>
      </c>
      <c r="C29" s="249" t="s">
        <v>1155</v>
      </c>
      <c r="D29" s="249" t="s">
        <v>1156</v>
      </c>
      <c r="E29" s="249" t="s">
        <v>1157</v>
      </c>
      <c r="F29" s="249" t="s">
        <v>1158</v>
      </c>
      <c r="G29" s="249" t="s">
        <v>1159</v>
      </c>
    </row>
    <row r="30" customFormat="false" ht="21" hidden="false" customHeight="true" outlineLevel="0" collapsed="false">
      <c r="B30" s="247" t="s">
        <v>1160</v>
      </c>
      <c r="C30" s="250" t="n">
        <v>3500</v>
      </c>
      <c r="D30" s="250" t="n">
        <v>10000</v>
      </c>
      <c r="E30" s="250" t="n">
        <v>800</v>
      </c>
      <c r="F30" s="250" t="n">
        <v>2350</v>
      </c>
      <c r="G30" s="247" t="s">
        <v>1161</v>
      </c>
    </row>
    <row r="31" customFormat="false" ht="21" hidden="false" customHeight="true" outlineLevel="0" collapsed="false">
      <c r="B31" s="247"/>
      <c r="C31" s="247"/>
      <c r="D31" s="247"/>
      <c r="E31" s="247"/>
      <c r="F31" s="247"/>
      <c r="G31" s="247"/>
    </row>
    <row r="32" customFormat="false" ht="30" hidden="false" customHeight="true" outlineLevel="0" collapsed="false">
      <c r="B32" s="249" t="s">
        <v>1162</v>
      </c>
      <c r="C32" s="249" t="s">
        <v>1155</v>
      </c>
      <c r="D32" s="249" t="s">
        <v>1156</v>
      </c>
      <c r="E32" s="249" t="s">
        <v>1157</v>
      </c>
      <c r="F32" s="249" t="s">
        <v>1158</v>
      </c>
      <c r="G32" s="249" t="s">
        <v>1159</v>
      </c>
    </row>
    <row r="33" customFormat="false" ht="21" hidden="false" customHeight="true" outlineLevel="0" collapsed="false">
      <c r="B33" s="247" t="s">
        <v>244</v>
      </c>
      <c r="C33" s="250" t="n">
        <v>3000</v>
      </c>
      <c r="D33" s="250" t="n">
        <v>9750</v>
      </c>
      <c r="E33" s="250" t="n">
        <v>0</v>
      </c>
      <c r="F33" s="250" t="n">
        <v>0</v>
      </c>
      <c r="G33" s="247" t="s">
        <v>1163</v>
      </c>
    </row>
    <row r="34" customFormat="false" ht="21" hidden="false" customHeight="true" outlineLevel="0" collapsed="false">
      <c r="B34" s="247" t="s">
        <v>252</v>
      </c>
      <c r="C34" s="250" t="n">
        <v>3000</v>
      </c>
      <c r="D34" s="250" t="n">
        <v>9750</v>
      </c>
      <c r="E34" s="250" t="n">
        <v>250</v>
      </c>
      <c r="F34" s="250" t="n">
        <v>800</v>
      </c>
      <c r="G34" s="247" t="s">
        <v>1164</v>
      </c>
    </row>
    <row r="35" customFormat="false" ht="21" hidden="false" customHeight="true" outlineLevel="0" collapsed="false">
      <c r="B35" s="247" t="s">
        <v>259</v>
      </c>
      <c r="C35" s="250" t="n">
        <v>2000</v>
      </c>
      <c r="D35" s="250" t="n">
        <v>6500</v>
      </c>
      <c r="E35" s="250" t="n">
        <v>500</v>
      </c>
      <c r="F35" s="250" t="n">
        <v>1600</v>
      </c>
      <c r="G35" s="247" t="s">
        <v>1165</v>
      </c>
    </row>
    <row r="36" customFormat="false" ht="21" hidden="false" customHeight="true" outlineLevel="0" collapsed="false">
      <c r="B36" s="247" t="s">
        <v>698</v>
      </c>
      <c r="C36" s="250" t="n">
        <v>3000</v>
      </c>
      <c r="D36" s="250" t="n">
        <v>9750</v>
      </c>
      <c r="E36" s="250" t="n">
        <v>750</v>
      </c>
      <c r="F36" s="250" t="n">
        <v>2400</v>
      </c>
      <c r="G36" s="247" t="s">
        <v>1166</v>
      </c>
    </row>
    <row r="37" customFormat="false" ht="21" hidden="false" customHeight="true" outlineLevel="0" collapsed="false">
      <c r="B37" s="247" t="s">
        <v>267</v>
      </c>
      <c r="C37" s="250" t="n">
        <v>4000</v>
      </c>
      <c r="D37" s="250" t="n">
        <v>13000</v>
      </c>
      <c r="E37" s="250" t="n">
        <v>1000</v>
      </c>
      <c r="F37" s="250" t="n">
        <v>3200</v>
      </c>
      <c r="G37" s="247" t="s">
        <v>1167</v>
      </c>
    </row>
    <row r="38" customFormat="false" ht="21" hidden="false" customHeight="true" outlineLevel="0" collapsed="false">
      <c r="B38" s="247" t="s">
        <v>272</v>
      </c>
      <c r="C38" s="250" t="n">
        <v>6000</v>
      </c>
      <c r="D38" s="250" t="n">
        <v>19500</v>
      </c>
      <c r="E38" s="250" t="n">
        <v>1500</v>
      </c>
      <c r="F38" s="250" t="n">
        <v>4800</v>
      </c>
      <c r="G38" s="247" t="s">
        <v>1168</v>
      </c>
    </row>
    <row r="39" customFormat="false" ht="21" hidden="false" customHeight="true" outlineLevel="0" collapsed="false">
      <c r="B39" s="247"/>
      <c r="C39" s="250"/>
      <c r="D39" s="250"/>
      <c r="E39" s="250"/>
      <c r="F39" s="250"/>
      <c r="G39" s="247"/>
    </row>
    <row r="40" customFormat="false" ht="30" hidden="false" customHeight="true" outlineLevel="0" collapsed="false">
      <c r="B40" s="249" t="s">
        <v>1169</v>
      </c>
      <c r="C40" s="249" t="s">
        <v>1155</v>
      </c>
      <c r="D40" s="249" t="s">
        <v>1156</v>
      </c>
      <c r="E40" s="249" t="s">
        <v>1157</v>
      </c>
      <c r="F40" s="249" t="s">
        <v>1158</v>
      </c>
      <c r="G40" s="249" t="s">
        <v>1159</v>
      </c>
    </row>
    <row r="41" customFormat="false" ht="21" hidden="false" customHeight="true" outlineLevel="0" collapsed="false">
      <c r="B41" s="247" t="s">
        <v>244</v>
      </c>
      <c r="C41" s="250" t="n">
        <v>0</v>
      </c>
      <c r="D41" s="250" t="n">
        <v>0</v>
      </c>
      <c r="E41" s="250" t="n">
        <v>0</v>
      </c>
      <c r="F41" s="250" t="n">
        <v>0</v>
      </c>
      <c r="G41" s="247" t="s">
        <v>1170</v>
      </c>
    </row>
    <row r="42" customFormat="false" ht="21" hidden="false" customHeight="true" outlineLevel="0" collapsed="false">
      <c r="B42" s="247" t="s">
        <v>252</v>
      </c>
      <c r="C42" s="250" t="n">
        <v>0</v>
      </c>
      <c r="D42" s="250" t="n">
        <v>0</v>
      </c>
      <c r="E42" s="250" t="n">
        <v>0</v>
      </c>
      <c r="F42" s="250" t="n">
        <v>0</v>
      </c>
      <c r="G42" s="247" t="s">
        <v>1170</v>
      </c>
    </row>
    <row r="43" customFormat="false" ht="21" hidden="false" customHeight="true" outlineLevel="0" collapsed="false">
      <c r="B43" s="247" t="s">
        <v>259</v>
      </c>
      <c r="C43" s="250" t="n">
        <v>0</v>
      </c>
      <c r="D43" s="250" t="n">
        <v>0</v>
      </c>
      <c r="E43" s="250" t="n">
        <v>0</v>
      </c>
      <c r="F43" s="250" t="n">
        <v>0</v>
      </c>
      <c r="G43" s="247" t="s">
        <v>1170</v>
      </c>
    </row>
    <row r="44" customFormat="false" ht="21" hidden="false" customHeight="true" outlineLevel="0" collapsed="false">
      <c r="B44" s="247" t="s">
        <v>698</v>
      </c>
      <c r="C44" s="250" t="n">
        <v>0</v>
      </c>
      <c r="D44" s="250" t="n">
        <v>0</v>
      </c>
      <c r="E44" s="250" t="n">
        <v>0</v>
      </c>
      <c r="F44" s="250" t="n">
        <v>0</v>
      </c>
      <c r="G44" s="247" t="s">
        <v>1170</v>
      </c>
    </row>
    <row r="45" customFormat="false" ht="21" hidden="false" customHeight="true" outlineLevel="0" collapsed="false">
      <c r="B45" s="247" t="s">
        <v>267</v>
      </c>
      <c r="C45" s="250" t="n">
        <v>0</v>
      </c>
      <c r="D45" s="250" t="n">
        <v>0</v>
      </c>
      <c r="E45" s="250" t="n">
        <v>0</v>
      </c>
      <c r="F45" s="250" t="n">
        <v>0</v>
      </c>
      <c r="G45" s="247" t="s">
        <v>1170</v>
      </c>
    </row>
    <row r="46" customFormat="false" ht="21" hidden="false" customHeight="true" outlineLevel="0" collapsed="false">
      <c r="B46" s="247" t="s">
        <v>272</v>
      </c>
      <c r="C46" s="250" t="n">
        <v>0</v>
      </c>
      <c r="D46" s="250" t="n">
        <v>0</v>
      </c>
      <c r="E46" s="250" t="n">
        <v>0</v>
      </c>
      <c r="F46" s="250" t="n">
        <v>0</v>
      </c>
      <c r="G46" s="247" t="s">
        <v>1170</v>
      </c>
    </row>
    <row r="47" customFormat="false" ht="21" hidden="false" customHeight="true" outlineLevel="0" collapsed="false">
      <c r="B47" s="247"/>
      <c r="C47" s="250"/>
      <c r="D47" s="250"/>
      <c r="E47" s="250"/>
      <c r="F47" s="250"/>
      <c r="G47" s="247"/>
    </row>
    <row r="48" customFormat="false" ht="30" hidden="false" customHeight="true" outlineLevel="0" collapsed="false">
      <c r="B48" s="249" t="s">
        <v>1171</v>
      </c>
      <c r="C48" s="249"/>
      <c r="D48" s="249"/>
      <c r="E48" s="249"/>
      <c r="F48" s="249"/>
      <c r="G48" s="249"/>
    </row>
    <row r="49" customFormat="false" ht="21" hidden="false" customHeight="true" outlineLevel="0" collapsed="false">
      <c r="B49" s="245" t="s">
        <v>1172</v>
      </c>
      <c r="C49" s="251" t="s">
        <v>1173</v>
      </c>
      <c r="D49" s="251"/>
      <c r="E49" s="251"/>
      <c r="F49" s="251"/>
      <c r="G49" s="245"/>
    </row>
    <row r="50" customFormat="false" ht="21" hidden="false" customHeight="true" outlineLevel="0" collapsed="false">
      <c r="B50" s="245" t="s">
        <v>1174</v>
      </c>
      <c r="C50" s="251" t="s">
        <v>1175</v>
      </c>
      <c r="D50" s="251"/>
      <c r="E50" s="251"/>
      <c r="F50" s="251"/>
      <c r="G50" s="245"/>
    </row>
    <row r="51" customFormat="false" ht="21" hidden="false" customHeight="true" outlineLevel="0" collapsed="false">
      <c r="B51" s="245" t="s">
        <v>1176</v>
      </c>
      <c r="C51" s="251" t="s">
        <v>1177</v>
      </c>
      <c r="D51" s="251"/>
      <c r="E51" s="251"/>
      <c r="F51" s="251"/>
      <c r="G51" s="245"/>
    </row>
    <row r="52" customFormat="false" ht="21" hidden="false" customHeight="true" outlineLevel="0" collapsed="false">
      <c r="B52" s="247"/>
      <c r="C52" s="247"/>
      <c r="D52" s="247"/>
      <c r="E52" s="247"/>
      <c r="F52" s="247"/>
      <c r="G52" s="247"/>
    </row>
    <row r="53" customFormat="false" ht="21" hidden="false" customHeight="true" outlineLevel="0" collapsed="false">
      <c r="B53" s="247"/>
      <c r="C53" s="247"/>
      <c r="D53" s="247"/>
      <c r="E53" s="247"/>
      <c r="F53" s="247"/>
      <c r="G53" s="247"/>
    </row>
    <row r="54" customFormat="false" ht="21" hidden="false" customHeight="true" outlineLevel="0" collapsed="false">
      <c r="B54" s="247"/>
      <c r="C54" s="247"/>
      <c r="D54" s="247"/>
      <c r="E54" s="247"/>
      <c r="F54" s="247"/>
      <c r="G54" s="247"/>
    </row>
    <row r="55" customFormat="false" ht="21" hidden="false" customHeight="true" outlineLevel="0" collapsed="false">
      <c r="B55" s="247"/>
      <c r="C55" s="247"/>
      <c r="D55" s="247"/>
      <c r="E55" s="247"/>
      <c r="F55" s="247"/>
      <c r="G55" s="247"/>
    </row>
    <row r="56" customFormat="false" ht="21" hidden="false" customHeight="true" outlineLevel="0" collapsed="false">
      <c r="B56" s="247"/>
      <c r="C56" s="247"/>
      <c r="D56" s="247"/>
      <c r="E56" s="247"/>
      <c r="F56" s="247"/>
      <c r="G56" s="247"/>
    </row>
    <row r="57" customFormat="false" ht="21" hidden="false" customHeight="true" outlineLevel="0" collapsed="false">
      <c r="B57" s="247"/>
      <c r="C57" s="247"/>
      <c r="D57" s="247"/>
      <c r="E57" s="247"/>
      <c r="F57" s="247"/>
      <c r="G57" s="247"/>
    </row>
    <row r="58" customFormat="false" ht="21" hidden="false" customHeight="true" outlineLevel="0" collapsed="false">
      <c r="B58" s="247"/>
      <c r="C58" s="247"/>
      <c r="D58" s="247"/>
      <c r="E58" s="247"/>
      <c r="F58" s="247"/>
      <c r="G58" s="247"/>
    </row>
    <row r="59" customFormat="false" ht="21" hidden="false" customHeight="true" outlineLevel="0" collapsed="false">
      <c r="B59" s="247"/>
      <c r="C59" s="247"/>
      <c r="D59" s="247"/>
      <c r="E59" s="247"/>
      <c r="F59" s="247"/>
      <c r="G59" s="247"/>
    </row>
    <row r="60" customFormat="false" ht="21" hidden="false" customHeight="true" outlineLevel="0" collapsed="false">
      <c r="B60" s="247"/>
      <c r="C60" s="247"/>
      <c r="D60" s="247"/>
      <c r="E60" s="247"/>
      <c r="F60" s="247"/>
      <c r="G60" s="247"/>
    </row>
    <row r="61" customFormat="false" ht="21" hidden="false" customHeight="true" outlineLevel="0" collapsed="false">
      <c r="B61" s="247"/>
      <c r="C61" s="247"/>
      <c r="D61" s="247"/>
      <c r="E61" s="247"/>
      <c r="F61" s="247"/>
      <c r="G61" s="247"/>
    </row>
    <row r="62" customFormat="false" ht="21" hidden="false" customHeight="true" outlineLevel="0" collapsed="false">
      <c r="B62" s="247"/>
      <c r="C62" s="247"/>
      <c r="D62" s="247"/>
      <c r="E62" s="247"/>
      <c r="F62" s="247"/>
      <c r="G62" s="247"/>
    </row>
    <row r="63" customFormat="false" ht="21" hidden="false" customHeight="true" outlineLevel="0" collapsed="false">
      <c r="B63" s="247"/>
      <c r="C63" s="247"/>
      <c r="D63" s="247"/>
      <c r="E63" s="247"/>
      <c r="F63" s="247"/>
      <c r="G63" s="247"/>
    </row>
    <row r="64" customFormat="false" ht="21" hidden="false" customHeight="true" outlineLevel="0" collapsed="false">
      <c r="B64" s="247"/>
      <c r="C64" s="247"/>
      <c r="D64" s="247"/>
      <c r="E64" s="247"/>
      <c r="F64" s="247"/>
      <c r="G64" s="247"/>
    </row>
    <row r="65" customFormat="false" ht="21" hidden="false" customHeight="true" outlineLevel="0" collapsed="false">
      <c r="B65" s="247"/>
      <c r="C65" s="247"/>
      <c r="D65" s="247"/>
      <c r="E65" s="247"/>
      <c r="F65" s="247"/>
      <c r="G65" s="247"/>
    </row>
    <row r="66" customFormat="false" ht="21" hidden="false" customHeight="true" outlineLevel="0" collapsed="false">
      <c r="B66" s="247"/>
      <c r="C66" s="247"/>
      <c r="D66" s="247"/>
      <c r="E66" s="247"/>
      <c r="F66" s="247"/>
      <c r="G66" s="247"/>
    </row>
    <row r="67" customFormat="false" ht="21" hidden="false" customHeight="true" outlineLevel="0" collapsed="false">
      <c r="B67" s="247"/>
      <c r="C67" s="247"/>
      <c r="D67" s="247"/>
      <c r="E67" s="247"/>
      <c r="F67" s="247"/>
      <c r="G67" s="247"/>
    </row>
    <row r="68" customFormat="false" ht="21" hidden="false" customHeight="true" outlineLevel="0" collapsed="false">
      <c r="B68" s="247"/>
      <c r="C68" s="247"/>
      <c r="D68" s="247"/>
      <c r="E68" s="247"/>
      <c r="F68" s="247"/>
      <c r="G68" s="247"/>
    </row>
    <row r="69" customFormat="false" ht="21" hidden="false" customHeight="true" outlineLevel="0" collapsed="false">
      <c r="B69" s="247"/>
      <c r="C69" s="247"/>
      <c r="D69" s="247"/>
      <c r="E69" s="247"/>
      <c r="F69" s="247"/>
      <c r="G69" s="247"/>
    </row>
    <row r="70" customFormat="false" ht="21" hidden="false" customHeight="true" outlineLevel="0" collapsed="false">
      <c r="B70" s="247"/>
      <c r="C70" s="247"/>
      <c r="D70" s="247"/>
      <c r="E70" s="247"/>
      <c r="F70" s="247"/>
      <c r="G70" s="247"/>
    </row>
    <row r="71" customFormat="false" ht="21" hidden="false" customHeight="true" outlineLevel="0" collapsed="false">
      <c r="B71" s="247"/>
      <c r="C71" s="247"/>
      <c r="D71" s="247"/>
      <c r="E71" s="247"/>
      <c r="F71" s="247"/>
      <c r="G71" s="247"/>
    </row>
    <row r="72" customFormat="false" ht="21" hidden="false" customHeight="true" outlineLevel="0" collapsed="false">
      <c r="B72" s="247"/>
      <c r="C72" s="247"/>
      <c r="D72" s="247"/>
      <c r="E72" s="247"/>
      <c r="F72" s="247"/>
      <c r="G72" s="247"/>
    </row>
    <row r="73" customFormat="false" ht="21" hidden="false" customHeight="true" outlineLevel="0" collapsed="false">
      <c r="B73" s="247"/>
      <c r="C73" s="247"/>
      <c r="D73" s="247"/>
      <c r="E73" s="247"/>
      <c r="F73" s="247"/>
      <c r="G73" s="247"/>
    </row>
    <row r="74" customFormat="false" ht="21" hidden="false" customHeight="true" outlineLevel="0" collapsed="false">
      <c r="B74" s="247"/>
      <c r="C74" s="247"/>
      <c r="D74" s="247"/>
      <c r="E74" s="247"/>
      <c r="F74" s="247"/>
      <c r="G74" s="247"/>
    </row>
    <row r="75" customFormat="false" ht="21" hidden="false" customHeight="true" outlineLevel="0" collapsed="false">
      <c r="B75" s="247"/>
      <c r="C75" s="247"/>
      <c r="D75" s="247"/>
      <c r="E75" s="247"/>
      <c r="F75" s="247"/>
      <c r="G75" s="247"/>
    </row>
    <row r="76" customFormat="false" ht="21" hidden="false" customHeight="true" outlineLevel="0" collapsed="false">
      <c r="B76" s="247"/>
      <c r="C76" s="247"/>
      <c r="D76" s="247"/>
      <c r="E76" s="247"/>
      <c r="F76" s="247"/>
      <c r="G76" s="247"/>
    </row>
    <row r="77" customFormat="false" ht="21" hidden="false" customHeight="true" outlineLevel="0" collapsed="false">
      <c r="B77" s="247"/>
      <c r="C77" s="247"/>
      <c r="D77" s="247"/>
      <c r="E77" s="247"/>
      <c r="F77" s="247"/>
      <c r="G77" s="247"/>
    </row>
    <row r="78" customFormat="false" ht="21" hidden="false" customHeight="true" outlineLevel="0" collapsed="false">
      <c r="B78" s="247"/>
      <c r="C78" s="247"/>
      <c r="D78" s="247"/>
      <c r="E78" s="247"/>
      <c r="F78" s="247"/>
      <c r="G78" s="247"/>
    </row>
    <row r="79" customFormat="false" ht="21" hidden="false" customHeight="true" outlineLevel="0" collapsed="false">
      <c r="B79" s="247"/>
      <c r="C79" s="247"/>
      <c r="D79" s="247"/>
      <c r="E79" s="247"/>
      <c r="F79" s="247"/>
      <c r="G79" s="247"/>
    </row>
    <row r="80" customFormat="false" ht="21" hidden="false" customHeight="true" outlineLevel="0" collapsed="false">
      <c r="B80" s="247"/>
      <c r="C80" s="247"/>
      <c r="D80" s="247"/>
      <c r="E80" s="247"/>
      <c r="F80" s="247"/>
      <c r="G80" s="247"/>
    </row>
    <row r="81" customFormat="false" ht="21" hidden="false" customHeight="true" outlineLevel="0" collapsed="false">
      <c r="B81" s="247"/>
      <c r="C81" s="247"/>
      <c r="D81" s="247"/>
      <c r="E81" s="247"/>
      <c r="F81" s="247"/>
      <c r="G81" s="24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6"/>
    <col collapsed="false" customWidth="true" hidden="false" outlineLevel="0" max="5" min="5" style="1" width="24"/>
    <col collapsed="false" customWidth="true" hidden="false" outlineLevel="0" max="7" min="6" style="1" width="28"/>
  </cols>
  <sheetData>
    <row r="2" customFormat="false" ht="33.75" hidden="false" customHeight="true" outlineLevel="0" collapsed="false">
      <c r="B2" s="2" t="s">
        <v>32</v>
      </c>
      <c r="C2" s="2"/>
      <c r="D2" s="2"/>
      <c r="E2" s="2"/>
      <c r="F2" s="2"/>
      <c r="G2" s="2"/>
    </row>
    <row r="3" customFormat="false" ht="33.75" hidden="false" customHeight="true" outlineLevel="0" collapsed="false">
      <c r="B3" s="252" t="s">
        <v>1178</v>
      </c>
    </row>
    <row r="4" customFormat="false" ht="15" hidden="false" customHeight="true" outlineLevel="0" collapsed="false">
      <c r="B4" s="33" t="s">
        <v>1179</v>
      </c>
      <c r="C4" s="253" t="s">
        <v>1180</v>
      </c>
    </row>
    <row r="5" customFormat="false" ht="15" hidden="false" customHeight="true" outlineLevel="0" collapsed="false">
      <c r="B5" s="33" t="s">
        <v>1181</v>
      </c>
      <c r="C5" s="253" t="s">
        <v>1182</v>
      </c>
    </row>
    <row r="6" customFormat="false" ht="15" hidden="false" customHeight="true" outlineLevel="0" collapsed="false">
      <c r="B6" s="254" t="s">
        <v>1183</v>
      </c>
      <c r="C6" s="255" t="s">
        <v>1184</v>
      </c>
    </row>
    <row r="7" customFormat="false" ht="15" hidden="false" customHeight="true" outlineLevel="0" collapsed="false">
      <c r="B7" s="254"/>
      <c r="C7" s="255"/>
    </row>
    <row r="8" customFormat="false" ht="21" hidden="false" customHeight="true" outlineLevel="0" collapsed="false">
      <c r="B8" s="256" t="s">
        <v>1185</v>
      </c>
    </row>
    <row r="9" customFormat="false" ht="21" hidden="false" customHeight="true" outlineLevel="0" collapsed="false">
      <c r="B9" s="2" t="s">
        <v>1186</v>
      </c>
      <c r="C9" s="2"/>
      <c r="D9" s="2"/>
      <c r="E9" s="2"/>
      <c r="F9" s="2"/>
      <c r="G9" s="2"/>
    </row>
    <row r="10" customFormat="false" ht="21" hidden="false" customHeight="true" outlineLevel="0" collapsed="false">
      <c r="B10" s="146" t="s">
        <v>1187</v>
      </c>
      <c r="C10" s="149"/>
      <c r="D10" s="149"/>
      <c r="E10" s="149"/>
      <c r="F10" s="149"/>
      <c r="G10" s="149"/>
    </row>
    <row r="11" customFormat="false" ht="21" hidden="false" customHeight="true" outlineLevel="0" collapsed="false">
      <c r="B11" s="257" t="s">
        <v>238</v>
      </c>
      <c r="C11" s="257" t="s">
        <v>1188</v>
      </c>
      <c r="D11" s="257" t="s">
        <v>1189</v>
      </c>
      <c r="E11" s="257" t="s">
        <v>1190</v>
      </c>
      <c r="F11" s="257" t="s">
        <v>1191</v>
      </c>
      <c r="G11" s="257" t="s">
        <v>1192</v>
      </c>
    </row>
    <row r="12" customFormat="false" ht="30" hidden="false" customHeight="true" outlineLevel="0" collapsed="false">
      <c r="B12" s="149" t="s">
        <v>244</v>
      </c>
      <c r="C12" s="149" t="s">
        <v>1193</v>
      </c>
      <c r="D12" s="149" t="s">
        <v>1194</v>
      </c>
      <c r="E12" s="149" t="s">
        <v>1195</v>
      </c>
      <c r="F12" s="149" t="s">
        <v>1194</v>
      </c>
      <c r="G12" s="149" t="s">
        <v>1194</v>
      </c>
    </row>
    <row r="13" customFormat="false" ht="30" hidden="false" customHeight="true" outlineLevel="0" collapsed="false">
      <c r="B13" s="149" t="s">
        <v>252</v>
      </c>
      <c r="C13" s="149" t="s">
        <v>1193</v>
      </c>
      <c r="D13" s="149" t="s">
        <v>1196</v>
      </c>
      <c r="E13" s="149" t="s">
        <v>1197</v>
      </c>
      <c r="F13" s="149" t="s">
        <v>1194</v>
      </c>
      <c r="G13" s="149" t="s">
        <v>1194</v>
      </c>
    </row>
    <row r="14" customFormat="false" ht="30" hidden="false" customHeight="true" outlineLevel="0" collapsed="false">
      <c r="B14" s="149" t="s">
        <v>259</v>
      </c>
      <c r="C14" s="149" t="s">
        <v>1198</v>
      </c>
      <c r="D14" s="149" t="s">
        <v>1199</v>
      </c>
      <c r="E14" s="149" t="s">
        <v>1200</v>
      </c>
      <c r="F14" s="149" t="s">
        <v>1194</v>
      </c>
      <c r="G14" s="149" t="s">
        <v>1194</v>
      </c>
    </row>
    <row r="15" customFormat="false" ht="30" hidden="false" customHeight="true" outlineLevel="0" collapsed="false">
      <c r="B15" s="149" t="s">
        <v>698</v>
      </c>
      <c r="C15" s="149" t="s">
        <v>1193</v>
      </c>
      <c r="D15" s="149" t="s">
        <v>1201</v>
      </c>
      <c r="E15" s="149" t="s">
        <v>1202</v>
      </c>
      <c r="F15" s="149" t="s">
        <v>1194</v>
      </c>
      <c r="G15" s="149" t="s">
        <v>1194</v>
      </c>
    </row>
    <row r="16" customFormat="false" ht="30" hidden="false" customHeight="true" outlineLevel="0" collapsed="false">
      <c r="B16" s="149" t="s">
        <v>267</v>
      </c>
      <c r="C16" s="149" t="s">
        <v>1203</v>
      </c>
      <c r="D16" s="149" t="s">
        <v>1204</v>
      </c>
      <c r="E16" s="149" t="s">
        <v>1205</v>
      </c>
      <c r="F16" s="149" t="s">
        <v>1194</v>
      </c>
      <c r="G16" s="149" t="s">
        <v>1194</v>
      </c>
    </row>
    <row r="17" customFormat="false" ht="30" hidden="false" customHeight="true" outlineLevel="0" collapsed="false">
      <c r="B17" s="149" t="s">
        <v>272</v>
      </c>
      <c r="C17" s="149" t="s">
        <v>1206</v>
      </c>
      <c r="D17" s="149" t="s">
        <v>1207</v>
      </c>
      <c r="E17" s="149" t="s">
        <v>1208</v>
      </c>
      <c r="F17" s="149" t="s">
        <v>1194</v>
      </c>
      <c r="G17" s="149" t="s">
        <v>1194</v>
      </c>
    </row>
    <row r="18" customFormat="false" ht="15" hidden="false" customHeight="true" outlineLevel="0" collapsed="false">
      <c r="B18" s="149"/>
      <c r="C18" s="149"/>
      <c r="D18" s="149"/>
      <c r="E18" s="149"/>
      <c r="F18" s="149"/>
      <c r="G18" s="149"/>
    </row>
    <row r="19" customFormat="false" ht="15" hidden="false" customHeight="true" outlineLevel="0" collapsed="false">
      <c r="B19" s="1" t="s">
        <v>1209</v>
      </c>
      <c r="C19" s="1" t="s">
        <v>1210</v>
      </c>
      <c r="D19" s="149"/>
      <c r="E19" s="149"/>
      <c r="F19" s="149"/>
      <c r="G19" s="149"/>
    </row>
    <row r="20" customFormat="false" ht="15" hidden="false" customHeight="true" outlineLevel="0" collapsed="false">
      <c r="B20" s="1" t="s">
        <v>1209</v>
      </c>
      <c r="C20" s="1" t="s">
        <v>1211</v>
      </c>
      <c r="D20" s="149"/>
      <c r="E20" s="149"/>
      <c r="F20" s="149"/>
      <c r="G20" s="1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64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9" min="3" style="1" width="13.83"/>
    <col collapsed="false" customWidth="true" hidden="false" outlineLevel="0" max="10" min="10" style="1" width="34.83"/>
  </cols>
  <sheetData>
    <row r="2" customFormat="false" ht="33.75" hidden="false" customHeight="true" outlineLevel="0" collapsed="false">
      <c r="B2" s="2" t="s">
        <v>1212</v>
      </c>
      <c r="C2" s="2"/>
      <c r="D2" s="2"/>
      <c r="E2" s="2"/>
      <c r="F2" s="2"/>
      <c r="G2" s="2"/>
      <c r="H2" s="2"/>
      <c r="I2" s="2"/>
      <c r="J2" s="2"/>
    </row>
    <row r="3" customFormat="false" ht="30" hidden="false" customHeight="true" outlineLevel="0" collapsed="false">
      <c r="B3" s="241" t="s">
        <v>1049</v>
      </c>
    </row>
    <row r="5" customFormat="false" ht="15" hidden="false" customHeight="true" outlineLevel="0" collapsed="false">
      <c r="A5" s="1" t="s">
        <v>1213</v>
      </c>
      <c r="B5" s="1" t="s">
        <v>1214</v>
      </c>
    </row>
    <row r="6" customFormat="false" ht="15" hidden="false" customHeight="true" outlineLevel="0" collapsed="false">
      <c r="A6" s="1" t="s">
        <v>1215</v>
      </c>
      <c r="B6" s="1" t="s">
        <v>1216</v>
      </c>
    </row>
    <row r="7" customFormat="false" ht="15" hidden="false" customHeight="true" outlineLevel="0" collapsed="false">
      <c r="B7" s="1" t="s">
        <v>1217</v>
      </c>
    </row>
    <row r="9" customFormat="false" ht="24" hidden="false" customHeight="true" outlineLevel="0" collapsed="false">
      <c r="B9" s="258" t="s">
        <v>1218</v>
      </c>
    </row>
    <row r="11" customFormat="false" ht="16.5" hidden="false" customHeight="true" outlineLevel="0" collapsed="false">
      <c r="B11" s="259" t="s">
        <v>1219</v>
      </c>
    </row>
    <row r="13" customFormat="false" ht="15" hidden="false" customHeight="true" outlineLevel="0" collapsed="false">
      <c r="B13" s="1" t="s">
        <v>1220</v>
      </c>
    </row>
    <row r="14" customFormat="false" ht="15" hidden="false" customHeight="true" outlineLevel="0" collapsed="false">
      <c r="B14" s="1" t="s">
        <v>1221</v>
      </c>
    </row>
    <row r="15" customFormat="false" ht="15" hidden="false" customHeight="true" outlineLevel="0" collapsed="false">
      <c r="B15" s="1" t="s">
        <v>1222</v>
      </c>
    </row>
    <row r="17" customFormat="false" ht="16.5" hidden="false" customHeight="true" outlineLevel="0" collapsed="false">
      <c r="B17" s="259" t="s">
        <v>1223</v>
      </c>
    </row>
    <row r="19" customFormat="false" ht="15" hidden="false" customHeight="true" outlineLevel="0" collapsed="false">
      <c r="B19" s="1" t="s">
        <v>1224</v>
      </c>
    </row>
    <row r="20" customFormat="false" ht="15" hidden="false" customHeight="true" outlineLevel="0" collapsed="false">
      <c r="B20" s="1" t="s">
        <v>1225</v>
      </c>
    </row>
    <row r="21" customFormat="false" ht="15" hidden="false" customHeight="true" outlineLevel="0" collapsed="false">
      <c r="B21" s="1" t="s">
        <v>1226</v>
      </c>
    </row>
    <row r="22" customFormat="false" ht="15" hidden="false" customHeight="true" outlineLevel="0" collapsed="false">
      <c r="B22" s="1" t="s">
        <v>1227</v>
      </c>
    </row>
    <row r="23" customFormat="false" ht="15" hidden="false" customHeight="true" outlineLevel="0" collapsed="false">
      <c r="B23" s="1" t="s">
        <v>1228</v>
      </c>
    </row>
    <row r="24" customFormat="false" ht="15" hidden="false" customHeight="true" outlineLevel="0" collapsed="false">
      <c r="B24" s="1" t="s">
        <v>1229</v>
      </c>
    </row>
    <row r="25" customFormat="false" ht="15" hidden="false" customHeight="true" outlineLevel="0" collapsed="false">
      <c r="B25" s="1" t="s">
        <v>1230</v>
      </c>
    </row>
    <row r="26" customFormat="false" ht="15" hidden="false" customHeight="true" outlineLevel="0" collapsed="false">
      <c r="B26" s="1" t="s">
        <v>1231</v>
      </c>
    </row>
    <row r="27" customFormat="false" ht="15" hidden="false" customHeight="true" outlineLevel="0" collapsed="false">
      <c r="B27" s="1" t="s">
        <v>1232</v>
      </c>
    </row>
    <row r="28" customFormat="false" ht="15" hidden="false" customHeight="true" outlineLevel="0" collapsed="false">
      <c r="B28" s="1" t="s">
        <v>1233</v>
      </c>
    </row>
    <row r="29" customFormat="false" ht="15" hidden="false" customHeight="true" outlineLevel="0" collapsed="false">
      <c r="B29" s="1" t="s">
        <v>1234</v>
      </c>
    </row>
    <row r="31" customFormat="false" ht="16.5" hidden="false" customHeight="true" outlineLevel="0" collapsed="false">
      <c r="B31" s="259" t="s">
        <v>1235</v>
      </c>
    </row>
    <row r="33" customFormat="false" ht="15" hidden="false" customHeight="true" outlineLevel="0" collapsed="false">
      <c r="B33" s="1" t="s">
        <v>1236</v>
      </c>
    </row>
    <row r="34" customFormat="false" ht="15" hidden="false" customHeight="true" outlineLevel="0" collapsed="false">
      <c r="B34" s="1" t="s">
        <v>1237</v>
      </c>
    </row>
    <row r="35" customFormat="false" ht="15" hidden="false" customHeight="true" outlineLevel="0" collapsed="false">
      <c r="B35" s="1" t="s">
        <v>1238</v>
      </c>
    </row>
    <row r="36" customFormat="false" ht="15" hidden="false" customHeight="true" outlineLevel="0" collapsed="false">
      <c r="B36" s="1" t="s">
        <v>1239</v>
      </c>
    </row>
    <row r="37" customFormat="false" ht="15" hidden="false" customHeight="true" outlineLevel="0" collapsed="false">
      <c r="B37" s="1" t="s">
        <v>1240</v>
      </c>
    </row>
    <row r="38" customFormat="false" ht="15" hidden="false" customHeight="true" outlineLevel="0" collapsed="false">
      <c r="B38" s="1" t="s">
        <v>1241</v>
      </c>
    </row>
    <row r="39" customFormat="false" ht="15" hidden="false" customHeight="true" outlineLevel="0" collapsed="false">
      <c r="B39" s="1" t="s">
        <v>1242</v>
      </c>
    </row>
    <row r="40" customFormat="false" ht="15" hidden="false" customHeight="true" outlineLevel="0" collapsed="false">
      <c r="B40" s="1" t="s">
        <v>1243</v>
      </c>
    </row>
    <row r="41" customFormat="false" ht="15" hidden="false" customHeight="true" outlineLevel="0" collapsed="false">
      <c r="B41" s="1" t="s">
        <v>1244</v>
      </c>
    </row>
    <row r="43" customFormat="false" ht="24" hidden="false" customHeight="true" outlineLevel="0" collapsed="false">
      <c r="B43" s="258" t="s">
        <v>1245</v>
      </c>
    </row>
    <row r="45" customFormat="false" ht="15" hidden="false" customHeight="true" outlineLevel="0" collapsed="false">
      <c r="B45" s="1" t="s">
        <v>1246</v>
      </c>
    </row>
    <row r="47" customFormat="false" ht="15" hidden="false" customHeight="true" outlineLevel="0" collapsed="false">
      <c r="B47" s="260" t="s">
        <v>1247</v>
      </c>
      <c r="C47" s="260" t="s">
        <v>1248</v>
      </c>
    </row>
    <row r="48" customFormat="false" ht="15" hidden="false" customHeight="true" outlineLevel="0" collapsed="false">
      <c r="B48" s="1" t="s">
        <v>1249</v>
      </c>
      <c r="C48" s="1" t="s">
        <v>1250</v>
      </c>
    </row>
    <row r="49" customFormat="false" ht="15" hidden="false" customHeight="true" outlineLevel="0" collapsed="false">
      <c r="B49" s="1" t="s">
        <v>1251</v>
      </c>
      <c r="C49" s="1" t="s">
        <v>1252</v>
      </c>
    </row>
    <row r="50" customFormat="false" ht="15" hidden="false" customHeight="true" outlineLevel="0" collapsed="false">
      <c r="B50" s="1" t="s">
        <v>1253</v>
      </c>
      <c r="C50" s="1" t="s">
        <v>1254</v>
      </c>
    </row>
    <row r="51" customFormat="false" ht="15" hidden="false" customHeight="true" outlineLevel="0" collapsed="false">
      <c r="B51" s="1" t="s">
        <v>1255</v>
      </c>
      <c r="C51" s="1" t="s">
        <v>1256</v>
      </c>
    </row>
    <row r="52" customFormat="false" ht="15" hidden="false" customHeight="true" outlineLevel="0" collapsed="false">
      <c r="B52" s="1" t="s">
        <v>1257</v>
      </c>
      <c r="C52" s="1" t="s">
        <v>1258</v>
      </c>
    </row>
    <row r="54" customFormat="false" ht="24" hidden="false" customHeight="true" outlineLevel="0" collapsed="false">
      <c r="B54" s="258" t="s">
        <v>1259</v>
      </c>
    </row>
    <row r="56" customFormat="false" ht="15" hidden="false" customHeight="true" outlineLevel="0" collapsed="false">
      <c r="B56" s="1" t="s">
        <v>1260</v>
      </c>
    </row>
    <row r="57" customFormat="false" ht="15" hidden="false" customHeight="true" outlineLevel="0" collapsed="false">
      <c r="B57" s="1" t="s">
        <v>1261</v>
      </c>
    </row>
    <row r="58" customFormat="false" ht="15" hidden="false" customHeight="true" outlineLevel="0" collapsed="false">
      <c r="B58" s="1" t="s">
        <v>1262</v>
      </c>
    </row>
    <row r="60" customFormat="false" ht="24" hidden="false" customHeight="true" outlineLevel="0" collapsed="false">
      <c r="B60" s="258" t="s">
        <v>1263</v>
      </c>
    </row>
    <row r="62" customFormat="false" ht="15" hidden="false" customHeight="true" outlineLevel="0" collapsed="false">
      <c r="B62" s="1" t="s">
        <v>1264</v>
      </c>
    </row>
    <row r="64" customFormat="false" ht="15" hidden="false" customHeight="true" outlineLevel="0" collapsed="false">
      <c r="B64" s="1" t="s">
        <v>1265</v>
      </c>
    </row>
    <row r="65" customFormat="false" ht="15" hidden="false" customHeight="true" outlineLevel="0" collapsed="false">
      <c r="B65" s="1" t="s">
        <v>1266</v>
      </c>
    </row>
    <row r="66" customFormat="false" ht="15" hidden="false" customHeight="true" outlineLevel="0" collapsed="false">
      <c r="B66" s="1" t="s">
        <v>1267</v>
      </c>
    </row>
    <row r="68" customFormat="false" ht="15" hidden="false" customHeight="true" outlineLevel="0" collapsed="false">
      <c r="B68" s="1" t="s">
        <v>1268</v>
      </c>
    </row>
    <row r="70" customFormat="false" ht="33.75" hidden="false" customHeight="true" outlineLevel="0" collapsed="false">
      <c r="B70" s="2" t="s">
        <v>1269</v>
      </c>
      <c r="C70" s="2"/>
      <c r="D70" s="2"/>
      <c r="E70" s="2"/>
      <c r="F70" s="2"/>
      <c r="G70" s="2"/>
      <c r="H70" s="2"/>
      <c r="I70" s="2"/>
      <c r="J70" s="2"/>
    </row>
    <row r="71" customFormat="false" ht="15" hidden="false" customHeight="true" outlineLevel="0" collapsed="false">
      <c r="B71" s="243" t="s">
        <v>2</v>
      </c>
      <c r="C71" s="243" t="s">
        <v>1270</v>
      </c>
      <c r="D71" s="243" t="s">
        <v>1271</v>
      </c>
      <c r="E71" s="243" t="s">
        <v>1271</v>
      </c>
      <c r="F71" s="243" t="s">
        <v>1272</v>
      </c>
      <c r="G71" s="243" t="s">
        <v>1273</v>
      </c>
      <c r="H71" s="243" t="s">
        <v>1273</v>
      </c>
      <c r="I71" s="243" t="s">
        <v>1273</v>
      </c>
      <c r="J71" s="243" t="s">
        <v>1274</v>
      </c>
    </row>
    <row r="72" customFormat="false" ht="15" hidden="false" customHeight="true" outlineLevel="0" collapsed="false">
      <c r="B72" s="243"/>
      <c r="C72" s="243"/>
      <c r="D72" s="243" t="s">
        <v>888</v>
      </c>
      <c r="E72" s="243" t="s">
        <v>889</v>
      </c>
      <c r="F72" s="243" t="s">
        <v>887</v>
      </c>
      <c r="G72" s="243" t="s">
        <v>888</v>
      </c>
      <c r="H72" s="243" t="s">
        <v>889</v>
      </c>
      <c r="I72" s="243" t="s">
        <v>887</v>
      </c>
      <c r="J72" s="243"/>
    </row>
    <row r="73" customFormat="false" ht="30" hidden="false" customHeight="true" outlineLevel="0" collapsed="false">
      <c r="B73" s="144" t="s">
        <v>1275</v>
      </c>
      <c r="C73" s="144" t="s">
        <v>1276</v>
      </c>
      <c r="D73" s="261" t="n">
        <v>500</v>
      </c>
      <c r="E73" s="261" t="n">
        <v>900</v>
      </c>
      <c r="F73" s="155" t="s">
        <v>894</v>
      </c>
      <c r="G73" s="261" t="n">
        <v>100</v>
      </c>
      <c r="H73" s="261" t="n">
        <v>200</v>
      </c>
      <c r="I73" s="262" t="s">
        <v>894</v>
      </c>
      <c r="J73" s="144" t="s">
        <v>1277</v>
      </c>
    </row>
    <row r="74" customFormat="false" ht="30" hidden="false" customHeight="true" outlineLevel="0" collapsed="false">
      <c r="B74" s="144" t="s">
        <v>1278</v>
      </c>
      <c r="C74" s="144" t="s">
        <v>1279</v>
      </c>
      <c r="D74" s="261" t="n">
        <v>900</v>
      </c>
      <c r="E74" s="261" t="n">
        <v>1500</v>
      </c>
      <c r="F74" s="155" t="s">
        <v>894</v>
      </c>
      <c r="G74" s="261" t="n">
        <v>150</v>
      </c>
      <c r="H74" s="261" t="n">
        <v>300</v>
      </c>
      <c r="I74" s="262" t="s">
        <v>894</v>
      </c>
      <c r="J74" s="144" t="s">
        <v>1280</v>
      </c>
    </row>
    <row r="75" customFormat="false" ht="30" hidden="false" customHeight="true" outlineLevel="0" collapsed="false">
      <c r="B75" s="144" t="s">
        <v>1281</v>
      </c>
      <c r="C75" s="144" t="s">
        <v>1282</v>
      </c>
      <c r="D75" s="261" t="n">
        <v>1500</v>
      </c>
      <c r="E75" s="261" t="n">
        <v>2500</v>
      </c>
      <c r="F75" s="155" t="s">
        <v>894</v>
      </c>
      <c r="G75" s="261" t="n">
        <v>300</v>
      </c>
      <c r="H75" s="261" t="n">
        <v>500</v>
      </c>
      <c r="I75" s="262" t="s">
        <v>894</v>
      </c>
      <c r="J75" s="144" t="s">
        <v>1283</v>
      </c>
    </row>
    <row r="76" customFormat="false" ht="30" hidden="false" customHeight="true" outlineLevel="0" collapsed="false">
      <c r="B76" s="244" t="s">
        <v>1284</v>
      </c>
      <c r="C76" s="244" t="s">
        <v>1285</v>
      </c>
      <c r="D76" s="263" t="n">
        <v>900</v>
      </c>
      <c r="E76" s="263" t="n">
        <v>1500</v>
      </c>
      <c r="F76" s="264" t="s">
        <v>1286</v>
      </c>
      <c r="G76" s="263" t="n">
        <v>150</v>
      </c>
      <c r="H76" s="263" t="n">
        <v>300</v>
      </c>
      <c r="I76" s="244" t="s">
        <v>1287</v>
      </c>
      <c r="J76" s="244" t="s">
        <v>1288</v>
      </c>
    </row>
    <row r="77" customFormat="false" ht="30" hidden="false" customHeight="true" outlineLevel="0" collapsed="false">
      <c r="B77" s="244" t="s">
        <v>1289</v>
      </c>
      <c r="C77" s="244" t="s">
        <v>1290</v>
      </c>
      <c r="D77" s="263" t="s">
        <v>894</v>
      </c>
      <c r="E77" s="263" t="s">
        <v>894</v>
      </c>
      <c r="F77" s="264" t="s">
        <v>894</v>
      </c>
      <c r="G77" s="264" t="s">
        <v>894</v>
      </c>
      <c r="H77" s="264" t="s">
        <v>894</v>
      </c>
      <c r="I77" s="265" t="s">
        <v>894</v>
      </c>
      <c r="J77" s="244" t="s">
        <v>1291</v>
      </c>
    </row>
    <row r="81" customFormat="false" ht="15" hidden="false" customHeight="true" outlineLevel="0" collapsed="false">
      <c r="A81" s="155" t="s">
        <v>1213</v>
      </c>
      <c r="B81" s="155" t="s">
        <v>1292</v>
      </c>
    </row>
    <row r="82" customFormat="false" ht="15" hidden="false" customHeight="true" outlineLevel="0" collapsed="false">
      <c r="A82" s="155" t="s">
        <v>1215</v>
      </c>
      <c r="B82" s="155" t="s">
        <v>1293</v>
      </c>
    </row>
    <row r="84" customFormat="false" ht="15" hidden="false" customHeight="true" outlineLevel="0" collapsed="false">
      <c r="B84" s="260" t="s">
        <v>1294</v>
      </c>
    </row>
    <row r="86" customFormat="false" ht="15" hidden="false" customHeight="true" outlineLevel="0" collapsed="false">
      <c r="B86" s="260" t="s">
        <v>1295</v>
      </c>
      <c r="C86" s="260" t="s">
        <v>251</v>
      </c>
    </row>
    <row r="87" customFormat="false" ht="15" hidden="false" customHeight="true" outlineLevel="0" collapsed="false">
      <c r="B87" s="155" t="s">
        <v>1296</v>
      </c>
      <c r="C87" s="155" t="s">
        <v>248</v>
      </c>
    </row>
    <row r="88" customFormat="false" ht="15" hidden="false" customHeight="true" outlineLevel="0" collapsed="false">
      <c r="B88" s="155" t="s">
        <v>1297</v>
      </c>
      <c r="C88" s="155" t="s">
        <v>505</v>
      </c>
    </row>
    <row r="89" customFormat="false" ht="15" hidden="false" customHeight="true" outlineLevel="0" collapsed="false">
      <c r="B89" s="155" t="s">
        <v>1298</v>
      </c>
      <c r="C89" s="155" t="s">
        <v>512</v>
      </c>
    </row>
    <row r="90" customFormat="false" ht="15" hidden="false" customHeight="true" outlineLevel="0" collapsed="false">
      <c r="B90" s="155" t="s">
        <v>1299</v>
      </c>
      <c r="C90" s="155" t="s">
        <v>519</v>
      </c>
    </row>
    <row r="91" customFormat="false" ht="15" hidden="false" customHeight="true" outlineLevel="0" collapsed="false">
      <c r="B91" s="155" t="s">
        <v>1300</v>
      </c>
      <c r="C91" s="155" t="s">
        <v>266</v>
      </c>
    </row>
    <row r="93" customFormat="false" ht="15" hidden="false" customHeight="true" outlineLevel="0" collapsed="false">
      <c r="B93" s="260" t="s">
        <v>1301</v>
      </c>
    </row>
    <row r="95" customFormat="false" ht="15" hidden="false" customHeight="true" outlineLevel="0" collapsed="false">
      <c r="B95" s="155" t="s">
        <v>1302</v>
      </c>
    </row>
    <row r="97" customFormat="false" ht="15" hidden="false" customHeight="true" outlineLevel="0" collapsed="false">
      <c r="B97" s="260" t="s">
        <v>1303</v>
      </c>
    </row>
    <row r="98" customFormat="false" ht="15" hidden="false" customHeight="true" outlineLevel="0" collapsed="false">
      <c r="B98" s="260" t="s">
        <v>1304</v>
      </c>
    </row>
    <row r="99" customFormat="false" ht="15" hidden="false" customHeight="true" outlineLevel="0" collapsed="false">
      <c r="B99" s="260" t="s">
        <v>1305</v>
      </c>
    </row>
    <row r="100" customFormat="false" ht="15" hidden="false" customHeight="true" outlineLevel="0" collapsed="false">
      <c r="B100" s="260" t="s">
        <v>1306</v>
      </c>
    </row>
    <row r="101" customFormat="false" ht="15" hidden="false" customHeight="true" outlineLevel="0" collapsed="false">
      <c r="B101" s="260" t="s">
        <v>1307</v>
      </c>
    </row>
    <row r="103" customFormat="false" ht="15" hidden="false" customHeight="true" outlineLevel="0" collapsed="false">
      <c r="B103" s="260" t="s">
        <v>1308</v>
      </c>
    </row>
    <row r="105" customFormat="false" ht="15" hidden="false" customHeight="true" outlineLevel="0" collapsed="false">
      <c r="B105" s="155" t="s">
        <v>1309</v>
      </c>
    </row>
    <row r="107" customFormat="false" ht="15" hidden="false" customHeight="true" outlineLevel="0" collapsed="false">
      <c r="B107" s="260" t="s">
        <v>1310</v>
      </c>
    </row>
    <row r="109" customFormat="false" ht="15" hidden="false" customHeight="true" outlineLevel="0" collapsed="false">
      <c r="B109" s="155" t="s">
        <v>1311</v>
      </c>
    </row>
    <row r="110" customFormat="false" ht="15" hidden="false" customHeight="true" outlineLevel="0" collapsed="false">
      <c r="B110" s="155" t="s">
        <v>1312</v>
      </c>
    </row>
    <row r="112" customFormat="false" ht="15" hidden="false" customHeight="true" outlineLevel="0" collapsed="false">
      <c r="B112" s="260" t="s">
        <v>1313</v>
      </c>
    </row>
    <row r="114" customFormat="false" ht="15" hidden="false" customHeight="true" outlineLevel="0" collapsed="false">
      <c r="B114" s="155" t="s">
        <v>1314</v>
      </c>
    </row>
    <row r="118" customFormat="false" ht="15" hidden="false" customHeight="true" outlineLevel="0" collapsed="false">
      <c r="B118" s="260" t="s">
        <v>1315</v>
      </c>
    </row>
    <row r="120" customFormat="false" ht="15" hidden="false" customHeight="true" outlineLevel="0" collapsed="false">
      <c r="B120" s="260" t="s">
        <v>231</v>
      </c>
      <c r="C120" s="260" t="s">
        <v>1316</v>
      </c>
      <c r="D120" s="260" t="s">
        <v>1317</v>
      </c>
      <c r="E120" s="260" t="s">
        <v>1318</v>
      </c>
      <c r="F120" s="260" t="s">
        <v>1319</v>
      </c>
    </row>
    <row r="121" customFormat="false" ht="15" hidden="false" customHeight="true" outlineLevel="0" collapsed="false">
      <c r="B121" s="155" t="s">
        <v>1320</v>
      </c>
      <c r="C121" s="146" t="s">
        <v>248</v>
      </c>
      <c r="D121" s="146" t="s">
        <v>505</v>
      </c>
      <c r="E121" s="146" t="s">
        <v>248</v>
      </c>
      <c r="F121" s="266" t="s">
        <v>505</v>
      </c>
      <c r="H121" s="267" t="s">
        <v>1321</v>
      </c>
    </row>
    <row r="122" customFormat="false" ht="15" hidden="false" customHeight="true" outlineLevel="0" collapsed="false">
      <c r="B122" s="155" t="s">
        <v>1322</v>
      </c>
      <c r="C122" s="268" t="n">
        <v>0</v>
      </c>
      <c r="D122" s="268" t="n">
        <v>0</v>
      </c>
      <c r="E122" s="268" t="n">
        <v>1</v>
      </c>
      <c r="F122" s="268" t="n">
        <v>0</v>
      </c>
    </row>
    <row r="123" customFormat="false" ht="15" hidden="false" customHeight="true" outlineLevel="0" collapsed="false">
      <c r="B123" s="155" t="s">
        <v>1323</v>
      </c>
      <c r="C123" s="268" t="n">
        <v>0</v>
      </c>
      <c r="D123" s="268" t="n">
        <v>1</v>
      </c>
      <c r="E123" s="268" t="n">
        <v>0</v>
      </c>
      <c r="F123" s="268" t="n">
        <v>1</v>
      </c>
    </row>
    <row r="124" customFormat="false" ht="15" hidden="false" customHeight="true" outlineLevel="0" collapsed="false">
      <c r="B124" s="155" t="s">
        <v>1324</v>
      </c>
      <c r="C124" s="268" t="n">
        <v>0</v>
      </c>
      <c r="D124" s="268" t="n">
        <v>0</v>
      </c>
      <c r="E124" s="268" t="n">
        <v>0</v>
      </c>
      <c r="F124" s="268" t="n">
        <v>1</v>
      </c>
    </row>
    <row r="125" customFormat="false" ht="15" hidden="false" customHeight="true" outlineLevel="0" collapsed="false">
      <c r="B125" s="155" t="s">
        <v>1325</v>
      </c>
      <c r="C125" s="268" t="n">
        <v>0</v>
      </c>
      <c r="D125" s="268" t="n">
        <v>1</v>
      </c>
      <c r="E125" s="268" t="n">
        <v>0</v>
      </c>
      <c r="F125" s="268" t="n">
        <v>1</v>
      </c>
    </row>
    <row r="126" customFormat="false" ht="15" hidden="false" customHeight="true" outlineLevel="0" collapsed="false">
      <c r="B126" s="155" t="s">
        <v>1326</v>
      </c>
      <c r="C126" s="268" t="n">
        <v>0</v>
      </c>
      <c r="D126" s="268" t="n">
        <v>0</v>
      </c>
      <c r="E126" s="268" t="n">
        <v>0</v>
      </c>
      <c r="F126" s="268" t="n">
        <v>0</v>
      </c>
    </row>
    <row r="127" customFormat="false" ht="15" hidden="false" customHeight="true" outlineLevel="0" collapsed="false">
      <c r="B127" s="155" t="s">
        <v>1327</v>
      </c>
      <c r="C127" s="146" t="s">
        <v>1328</v>
      </c>
      <c r="D127" s="146" t="s">
        <v>1329</v>
      </c>
      <c r="E127" s="146" t="s">
        <v>1330</v>
      </c>
      <c r="F127" s="146" t="s">
        <v>414</v>
      </c>
    </row>
    <row r="129" customFormat="false" ht="15" hidden="false" customHeight="true" outlineLevel="0" collapsed="false">
      <c r="B129" s="155" t="s">
        <v>1331</v>
      </c>
      <c r="F129" s="269"/>
    </row>
    <row r="178" customFormat="false" ht="15" hidden="false" customHeight="true" outlineLevel="0" collapsed="false">
      <c r="A178" s="155" t="s">
        <v>1213</v>
      </c>
      <c r="B178" s="155" t="s">
        <v>1332</v>
      </c>
    </row>
    <row r="179" customFormat="false" ht="15" hidden="false" customHeight="true" outlineLevel="0" collapsed="false">
      <c r="A179" s="155" t="s">
        <v>1215</v>
      </c>
      <c r="B179" s="155" t="s">
        <v>1333</v>
      </c>
    </row>
    <row r="181" customFormat="false" ht="24" hidden="false" customHeight="true" outlineLevel="0" collapsed="false">
      <c r="B181" s="258" t="s">
        <v>1334</v>
      </c>
    </row>
    <row r="183" customFormat="false" ht="15" hidden="false" customHeight="true" outlineLevel="0" collapsed="false">
      <c r="B183" s="155" t="s">
        <v>1335</v>
      </c>
    </row>
    <row r="185" customFormat="false" ht="15" hidden="false" customHeight="true" outlineLevel="0" collapsed="false">
      <c r="B185" s="260" t="s">
        <v>1336</v>
      </c>
    </row>
    <row r="186" customFormat="false" ht="15" hidden="false" customHeight="true" outlineLevel="0" collapsed="false">
      <c r="B186" s="260" t="s">
        <v>1337</v>
      </c>
    </row>
    <row r="187" customFormat="false" ht="15" hidden="false" customHeight="true" outlineLevel="0" collapsed="false">
      <c r="B187" s="260" t="s">
        <v>1338</v>
      </c>
    </row>
    <row r="188" customFormat="false" ht="15" hidden="false" customHeight="true" outlineLevel="0" collapsed="false">
      <c r="B188" s="260" t="s">
        <v>1339</v>
      </c>
    </row>
    <row r="190" customFormat="false" ht="15" hidden="false" customHeight="true" outlineLevel="0" collapsed="false">
      <c r="B190" s="155" t="s">
        <v>1340</v>
      </c>
    </row>
    <row r="192" customFormat="false" ht="24" hidden="false" customHeight="true" outlineLevel="0" collapsed="false">
      <c r="B192" s="258" t="s">
        <v>1341</v>
      </c>
    </row>
    <row r="194" customFormat="false" ht="15" hidden="false" customHeight="true" outlineLevel="0" collapsed="false">
      <c r="B194" s="155" t="s">
        <v>1342</v>
      </c>
    </row>
    <row r="195" customFormat="false" ht="15" hidden="false" customHeight="true" outlineLevel="0" collapsed="false">
      <c r="B195" s="270" t="s">
        <v>1343</v>
      </c>
    </row>
    <row r="196" customFormat="false" ht="15" hidden="false" customHeight="true" outlineLevel="0" collapsed="false">
      <c r="B196" s="155" t="s">
        <v>1344</v>
      </c>
    </row>
    <row r="197" customFormat="false" ht="15" hidden="false" customHeight="true" outlineLevel="0" collapsed="false">
      <c r="B197" s="155" t="s">
        <v>1345</v>
      </c>
    </row>
    <row r="199" customFormat="false" ht="24" hidden="false" customHeight="true" outlineLevel="0" collapsed="false">
      <c r="B199" s="258" t="s">
        <v>1346</v>
      </c>
    </row>
    <row r="201" customFormat="false" ht="15" hidden="false" customHeight="true" outlineLevel="0" collapsed="false">
      <c r="B201" s="155" t="s">
        <v>1347</v>
      </c>
    </row>
    <row r="202" customFormat="false" ht="15" hidden="false" customHeight="true" outlineLevel="0" collapsed="false">
      <c r="B202" s="260" t="s">
        <v>1348</v>
      </c>
    </row>
    <row r="203" customFormat="false" ht="15" hidden="false" customHeight="true" outlineLevel="0" collapsed="false">
      <c r="B203" s="260" t="s">
        <v>1349</v>
      </c>
    </row>
    <row r="204" customFormat="false" ht="15" hidden="false" customHeight="true" outlineLevel="0" collapsed="false">
      <c r="B204" s="260" t="s">
        <v>1350</v>
      </c>
    </row>
    <row r="206" customFormat="false" ht="24" hidden="false" customHeight="true" outlineLevel="0" collapsed="false">
      <c r="B206" s="258" t="s">
        <v>1351</v>
      </c>
    </row>
    <row r="208" customFormat="false" ht="15" hidden="false" customHeight="true" outlineLevel="0" collapsed="false">
      <c r="B208" s="155" t="s">
        <v>1352</v>
      </c>
    </row>
    <row r="209" customFormat="false" ht="15" hidden="false" customHeight="true" outlineLevel="0" collapsed="false">
      <c r="B209" s="260" t="s">
        <v>1353</v>
      </c>
    </row>
    <row r="210" customFormat="false" ht="15" hidden="false" customHeight="true" outlineLevel="0" collapsed="false">
      <c r="B210" s="260" t="s">
        <v>1354</v>
      </c>
    </row>
    <row r="211" customFormat="false" ht="15" hidden="false" customHeight="true" outlineLevel="0" collapsed="false">
      <c r="B211" s="260" t="s">
        <v>1355</v>
      </c>
    </row>
    <row r="213" customFormat="false" ht="24" hidden="false" customHeight="true" outlineLevel="0" collapsed="false">
      <c r="B213" s="258" t="s">
        <v>1356</v>
      </c>
    </row>
    <row r="215" customFormat="false" ht="15" hidden="false" customHeight="true" outlineLevel="0" collapsed="false">
      <c r="B215" s="155" t="s">
        <v>1357</v>
      </c>
    </row>
    <row r="216" customFormat="false" ht="15" hidden="false" customHeight="true" outlineLevel="0" collapsed="false">
      <c r="B216" s="270" t="s">
        <v>1358</v>
      </c>
    </row>
    <row r="218" customFormat="false" ht="24" hidden="false" customHeight="true" outlineLevel="0" collapsed="false">
      <c r="B218" s="258" t="s">
        <v>1359</v>
      </c>
    </row>
    <row r="220" customFormat="false" ht="15" hidden="false" customHeight="true" outlineLevel="0" collapsed="false">
      <c r="B220" s="260" t="s">
        <v>1360</v>
      </c>
    </row>
    <row r="221" customFormat="false" ht="15" hidden="false" customHeight="true" outlineLevel="0" collapsed="false">
      <c r="B221" s="260" t="s">
        <v>1361</v>
      </c>
    </row>
    <row r="222" customFormat="false" ht="15" hidden="false" customHeight="true" outlineLevel="0" collapsed="false">
      <c r="B222" s="260" t="s">
        <v>1362</v>
      </c>
    </row>
    <row r="224" customFormat="false" ht="24" hidden="false" customHeight="true" outlineLevel="0" collapsed="false">
      <c r="B224" s="258" t="s">
        <v>1363</v>
      </c>
    </row>
    <row r="226" customFormat="false" ht="15" hidden="false" customHeight="true" outlineLevel="0" collapsed="false">
      <c r="B226" s="155" t="s">
        <v>1364</v>
      </c>
    </row>
    <row r="227" customFormat="false" ht="15" hidden="false" customHeight="true" outlineLevel="0" collapsed="false">
      <c r="B227" s="271" t="s">
        <v>1365</v>
      </c>
    </row>
    <row r="228" customFormat="false" ht="15" hidden="false" customHeight="true" outlineLevel="0" collapsed="false">
      <c r="B228" s="155" t="s">
        <v>1366</v>
      </c>
    </row>
    <row r="231" customFormat="false" ht="15" hidden="false" customHeight="true" outlineLevel="0" collapsed="false">
      <c r="A231" s="155" t="s">
        <v>1213</v>
      </c>
      <c r="B231" s="155" t="s">
        <v>1367</v>
      </c>
    </row>
    <row r="232" customFormat="false" ht="15" hidden="false" customHeight="true" outlineLevel="0" collapsed="false">
      <c r="A232" s="155" t="s">
        <v>1215</v>
      </c>
      <c r="B232" s="155" t="s">
        <v>1368</v>
      </c>
    </row>
    <row r="234" customFormat="false" ht="15" hidden="false" customHeight="true" outlineLevel="0" collapsed="false">
      <c r="B234" s="155" t="s">
        <v>1369</v>
      </c>
    </row>
    <row r="235" customFormat="false" ht="15" hidden="false" customHeight="true" outlineLevel="0" collapsed="false">
      <c r="B235" s="260" t="s">
        <v>1370</v>
      </c>
    </row>
    <row r="236" customFormat="false" ht="15" hidden="false" customHeight="true" outlineLevel="0" collapsed="false">
      <c r="B236" s="260" t="s">
        <v>1371</v>
      </c>
    </row>
    <row r="237" customFormat="false" ht="15" hidden="false" customHeight="true" outlineLevel="0" collapsed="false">
      <c r="B237" s="155" t="s">
        <v>1372</v>
      </c>
    </row>
    <row r="239" customFormat="false" ht="15" hidden="false" customHeight="true" outlineLevel="0" collapsed="false">
      <c r="B239" s="155" t="s">
        <v>1373</v>
      </c>
    </row>
    <row r="242" customFormat="false" ht="15" hidden="false" customHeight="true" outlineLevel="0" collapsed="false">
      <c r="A242" s="155" t="s">
        <v>1213</v>
      </c>
      <c r="B242" s="155" t="s">
        <v>1374</v>
      </c>
    </row>
    <row r="243" customFormat="false" ht="15" hidden="false" customHeight="true" outlineLevel="0" collapsed="false">
      <c r="A243" s="155" t="s">
        <v>1215</v>
      </c>
      <c r="B243" s="155" t="s">
        <v>1375</v>
      </c>
    </row>
    <row r="245" customFormat="false" ht="15" hidden="false" customHeight="true" outlineLevel="0" collapsed="false">
      <c r="B245" s="260" t="s">
        <v>1376</v>
      </c>
    </row>
    <row r="246" customFormat="false" ht="15" hidden="false" customHeight="true" outlineLevel="0" collapsed="false">
      <c r="B246" s="260" t="s">
        <v>1377</v>
      </c>
    </row>
    <row r="248" customFormat="false" ht="15" hidden="false" customHeight="true" outlineLevel="0" collapsed="false">
      <c r="B248" s="155" t="s">
        <v>1378</v>
      </c>
    </row>
    <row r="249" customFormat="false" ht="15" hidden="false" customHeight="true" outlineLevel="0" collapsed="false">
      <c r="B249" s="260" t="s">
        <v>1379</v>
      </c>
    </row>
    <row r="250" customFormat="false" ht="15" hidden="false" customHeight="true" outlineLevel="0" collapsed="false">
      <c r="B250" s="260" t="s">
        <v>1380</v>
      </c>
    </row>
    <row r="252" customFormat="false" ht="15" hidden="false" customHeight="true" outlineLevel="0" collapsed="false">
      <c r="B252" s="260" t="s">
        <v>1381</v>
      </c>
    </row>
    <row r="253" customFormat="false" ht="15" hidden="false" customHeight="true" outlineLevel="0" collapsed="false">
      <c r="B253" s="260" t="s">
        <v>1382</v>
      </c>
    </row>
    <row r="254" customFormat="false" ht="15" hidden="false" customHeight="true" outlineLevel="0" collapsed="false">
      <c r="B254" s="260" t="s">
        <v>1383</v>
      </c>
    </row>
    <row r="255" customFormat="false" ht="15" hidden="false" customHeight="true" outlineLevel="0" collapsed="false">
      <c r="B255" s="260" t="s">
        <v>1384</v>
      </c>
    </row>
    <row r="258" customFormat="false" ht="15" hidden="false" customHeight="true" outlineLevel="0" collapsed="false">
      <c r="A258" s="155" t="s">
        <v>1213</v>
      </c>
      <c r="B258" s="155" t="s">
        <v>1385</v>
      </c>
    </row>
    <row r="259" customFormat="false" ht="15" hidden="false" customHeight="true" outlineLevel="0" collapsed="false">
      <c r="A259" s="155" t="s">
        <v>1215</v>
      </c>
      <c r="B259" s="155" t="s">
        <v>1386</v>
      </c>
    </row>
    <row r="263" customFormat="false" ht="24" hidden="false" customHeight="true" outlineLevel="0" collapsed="false">
      <c r="B263" s="258" t="s">
        <v>1387</v>
      </c>
    </row>
    <row r="265" customFormat="false" ht="15" hidden="false" customHeight="true" outlineLevel="0" collapsed="false">
      <c r="B265" s="155" t="s">
        <v>1388</v>
      </c>
    </row>
    <row r="266" customFormat="false" ht="15" hidden="false" customHeight="true" outlineLevel="0" collapsed="false">
      <c r="B266" s="155" t="s">
        <v>1389</v>
      </c>
    </row>
    <row r="267" customFormat="false" ht="15" hidden="false" customHeight="true" outlineLevel="0" collapsed="false">
      <c r="B267" s="155" t="s">
        <v>1390</v>
      </c>
    </row>
    <row r="269" customFormat="false" ht="24" hidden="false" customHeight="true" outlineLevel="0" collapsed="false">
      <c r="B269" s="258" t="s">
        <v>1391</v>
      </c>
    </row>
    <row r="271" customFormat="false" ht="15" hidden="false" customHeight="true" outlineLevel="0" collapsed="false">
      <c r="B271" s="260" t="s">
        <v>1392</v>
      </c>
    </row>
    <row r="272" customFormat="false" ht="15" hidden="false" customHeight="true" outlineLevel="0" collapsed="false">
      <c r="B272" s="270" t="s">
        <v>1393</v>
      </c>
    </row>
    <row r="273" customFormat="false" ht="15" hidden="false" customHeight="true" outlineLevel="0" collapsed="false">
      <c r="B273" s="155" t="s">
        <v>1394</v>
      </c>
    </row>
    <row r="275" customFormat="false" ht="15" hidden="false" customHeight="true" outlineLevel="0" collapsed="false">
      <c r="B275" s="260" t="s">
        <v>1395</v>
      </c>
    </row>
    <row r="277" customFormat="false" ht="15" hidden="false" customHeight="true" outlineLevel="0" collapsed="false">
      <c r="B277" s="155" t="s">
        <v>1396</v>
      </c>
    </row>
    <row r="279" customFormat="false" ht="15" hidden="false" customHeight="true" outlineLevel="0" collapsed="false">
      <c r="B279" s="260" t="s">
        <v>1397</v>
      </c>
      <c r="C279" s="260" t="s">
        <v>1398</v>
      </c>
      <c r="D279" s="260" t="s">
        <v>1399</v>
      </c>
    </row>
    <row r="280" customFormat="false" ht="15" hidden="false" customHeight="true" outlineLevel="0" collapsed="false">
      <c r="B280" s="155" t="s">
        <v>1400</v>
      </c>
      <c r="C280" s="155" t="s">
        <v>1401</v>
      </c>
      <c r="D280" s="155" t="s">
        <v>1402</v>
      </c>
    </row>
    <row r="281" customFormat="false" ht="15" hidden="false" customHeight="true" outlineLevel="0" collapsed="false">
      <c r="B281" s="155" t="s">
        <v>1403</v>
      </c>
      <c r="C281" s="155" t="s">
        <v>1404</v>
      </c>
      <c r="D281" s="155" t="s">
        <v>1405</v>
      </c>
    </row>
    <row r="282" customFormat="false" ht="15" hidden="false" customHeight="true" outlineLevel="0" collapsed="false">
      <c r="B282" s="155" t="s">
        <v>1406</v>
      </c>
      <c r="C282" s="155" t="s">
        <v>1407</v>
      </c>
      <c r="D282" s="155" t="s">
        <v>1408</v>
      </c>
    </row>
    <row r="283" customFormat="false" ht="15" hidden="false" customHeight="true" outlineLevel="0" collapsed="false">
      <c r="B283" s="155" t="s">
        <v>1409</v>
      </c>
      <c r="C283" s="155" t="s">
        <v>1410</v>
      </c>
      <c r="D283" s="155" t="s">
        <v>1411</v>
      </c>
    </row>
    <row r="284" customFormat="false" ht="15" hidden="false" customHeight="true" outlineLevel="0" collapsed="false">
      <c r="B284" s="155" t="s">
        <v>1412</v>
      </c>
      <c r="C284" s="155" t="s">
        <v>1413</v>
      </c>
      <c r="D284" s="155" t="s">
        <v>1414</v>
      </c>
    </row>
    <row r="287" customFormat="false" ht="24" hidden="false" customHeight="true" outlineLevel="0" collapsed="false">
      <c r="B287" s="258" t="s">
        <v>1415</v>
      </c>
    </row>
    <row r="289" customFormat="false" ht="15" hidden="false" customHeight="true" outlineLevel="0" collapsed="false">
      <c r="B289" s="155" t="s">
        <v>1416</v>
      </c>
    </row>
    <row r="291" customFormat="false" ht="15" hidden="false" customHeight="true" outlineLevel="0" collapsed="false">
      <c r="B291" s="260" t="s">
        <v>1417</v>
      </c>
    </row>
    <row r="292" customFormat="false" ht="15" hidden="false" customHeight="true" outlineLevel="0" collapsed="false">
      <c r="B292" s="272" t="s">
        <v>1418</v>
      </c>
    </row>
    <row r="293" customFormat="false" ht="15" hidden="false" customHeight="true" outlineLevel="0" collapsed="false">
      <c r="B293" s="155" t="s">
        <v>1419</v>
      </c>
    </row>
    <row r="294" customFormat="false" ht="15" hidden="false" customHeight="true" outlineLevel="0" collapsed="false">
      <c r="B294" s="155" t="s">
        <v>1420</v>
      </c>
    </row>
    <row r="295" customFormat="false" ht="15" hidden="false" customHeight="true" outlineLevel="0" collapsed="false">
      <c r="B295" s="155" t="s">
        <v>1421</v>
      </c>
    </row>
    <row r="296" customFormat="false" ht="15" hidden="false" customHeight="true" outlineLevel="0" collapsed="false">
      <c r="B296" s="270" t="s">
        <v>1422</v>
      </c>
    </row>
    <row r="297" customFormat="false" ht="15" hidden="false" customHeight="true" outlineLevel="0" collapsed="false">
      <c r="B297" s="155" t="s">
        <v>1423</v>
      </c>
    </row>
    <row r="300" customFormat="false" ht="24" hidden="false" customHeight="true" outlineLevel="0" collapsed="false">
      <c r="B300" s="258" t="s">
        <v>1424</v>
      </c>
    </row>
    <row r="302" customFormat="false" ht="15" hidden="false" customHeight="true" outlineLevel="0" collapsed="false">
      <c r="B302" s="155" t="s">
        <v>1425</v>
      </c>
    </row>
    <row r="304" customFormat="false" ht="15" hidden="false" customHeight="true" outlineLevel="0" collapsed="false">
      <c r="B304" s="260" t="s">
        <v>1426</v>
      </c>
    </row>
    <row r="305" customFormat="false" ht="15" hidden="false" customHeight="true" outlineLevel="0" collapsed="false">
      <c r="B305" s="260" t="s">
        <v>1427</v>
      </c>
    </row>
    <row r="306" customFormat="false" ht="15" hidden="false" customHeight="true" outlineLevel="0" collapsed="false">
      <c r="B306" s="260" t="s">
        <v>1428</v>
      </c>
    </row>
    <row r="307" customFormat="false" ht="15" hidden="false" customHeight="true" outlineLevel="0" collapsed="false">
      <c r="B307" s="155" t="s">
        <v>1429</v>
      </c>
    </row>
    <row r="309" customFormat="false" ht="15" hidden="false" customHeight="true" outlineLevel="0" collapsed="false">
      <c r="B309" s="155" t="s">
        <v>1430</v>
      </c>
    </row>
    <row r="313" customFormat="false" ht="15" hidden="false" customHeight="true" outlineLevel="0" collapsed="false">
      <c r="A313" s="155" t="s">
        <v>1213</v>
      </c>
      <c r="B313" s="155" t="s">
        <v>1431</v>
      </c>
    </row>
    <row r="314" customFormat="false" ht="15" hidden="false" customHeight="true" outlineLevel="0" collapsed="false">
      <c r="A314" s="155" t="s">
        <v>1215</v>
      </c>
      <c r="B314" s="155" t="s">
        <v>1432</v>
      </c>
    </row>
    <row r="317" customFormat="false" ht="24" hidden="false" customHeight="true" outlineLevel="0" collapsed="false">
      <c r="B317" s="258" t="s">
        <v>1433</v>
      </c>
    </row>
    <row r="319" customFormat="false" ht="15" hidden="false" customHeight="true" outlineLevel="0" collapsed="false">
      <c r="B319" s="155" t="s">
        <v>1434</v>
      </c>
    </row>
    <row r="320" customFormat="false" ht="15" hidden="false" customHeight="true" outlineLevel="0" collapsed="false">
      <c r="B320" s="155" t="s">
        <v>1435</v>
      </c>
    </row>
    <row r="321" customFormat="false" ht="15" hidden="false" customHeight="true" outlineLevel="0" collapsed="false">
      <c r="B321" s="155" t="s">
        <v>1436</v>
      </c>
    </row>
    <row r="322" customFormat="false" ht="15" hidden="false" customHeight="true" outlineLevel="0" collapsed="false">
      <c r="B322" s="155" t="s">
        <v>1437</v>
      </c>
    </row>
    <row r="323" customFormat="false" ht="15" hidden="false" customHeight="true" outlineLevel="0" collapsed="false">
      <c r="B323" s="155" t="s">
        <v>1438</v>
      </c>
    </row>
    <row r="325" customFormat="false" ht="15" hidden="false" customHeight="true" outlineLevel="0" collapsed="false">
      <c r="B325" s="155" t="s">
        <v>1439</v>
      </c>
    </row>
    <row r="326" customFormat="false" ht="15" hidden="false" customHeight="true" outlineLevel="0" collapsed="false">
      <c r="B326" s="270" t="s">
        <v>1440</v>
      </c>
    </row>
    <row r="329" customFormat="false" ht="15" hidden="false" customHeight="true" outlineLevel="0" collapsed="false">
      <c r="B329" s="155" t="s">
        <v>1441</v>
      </c>
    </row>
    <row r="330" customFormat="false" ht="15" hidden="false" customHeight="true" outlineLevel="0" collapsed="false">
      <c r="B330" s="260" t="s">
        <v>1442</v>
      </c>
    </row>
    <row r="331" customFormat="false" ht="15" hidden="false" customHeight="true" outlineLevel="0" collapsed="false">
      <c r="B331" s="260" t="s">
        <v>1443</v>
      </c>
    </row>
    <row r="332" customFormat="false" ht="15" hidden="false" customHeight="true" outlineLevel="0" collapsed="false">
      <c r="B332" s="260" t="s">
        <v>1444</v>
      </c>
    </row>
    <row r="333" customFormat="false" ht="15" hidden="false" customHeight="true" outlineLevel="0" collapsed="false">
      <c r="B333" s="260" t="s">
        <v>1445</v>
      </c>
    </row>
    <row r="334" customFormat="false" ht="15" hidden="false" customHeight="true" outlineLevel="0" collapsed="false">
      <c r="B334" s="260" t="s">
        <v>1446</v>
      </c>
    </row>
    <row r="336" customFormat="false" ht="15" hidden="false" customHeight="true" outlineLevel="0" collapsed="false">
      <c r="B336" s="155" t="s">
        <v>1447</v>
      </c>
    </row>
    <row r="339" customFormat="false" ht="15" hidden="false" customHeight="true" outlineLevel="0" collapsed="false">
      <c r="A339" s="155" t="s">
        <v>1213</v>
      </c>
      <c r="B339" s="146" t="s">
        <v>1448</v>
      </c>
    </row>
    <row r="340" customFormat="false" ht="15" hidden="false" customHeight="true" outlineLevel="0" collapsed="false">
      <c r="A340" s="155" t="s">
        <v>1215</v>
      </c>
      <c r="B340" s="155" t="s">
        <v>1449</v>
      </c>
    </row>
    <row r="342" customFormat="false" ht="15" hidden="false" customHeight="true" outlineLevel="0" collapsed="false">
      <c r="B342" s="155" t="s">
        <v>1450</v>
      </c>
    </row>
    <row r="345" customFormat="false" ht="18.75" hidden="false" customHeight="true" outlineLevel="0" collapsed="false">
      <c r="B345" s="273" t="s">
        <v>1451</v>
      </c>
    </row>
    <row r="347" customFormat="false" ht="15" hidden="false" customHeight="true" outlineLevel="0" collapsed="false">
      <c r="B347" s="155" t="s">
        <v>1452</v>
      </c>
    </row>
    <row r="348" customFormat="false" ht="15" hidden="false" customHeight="true" outlineLevel="0" collapsed="false">
      <c r="B348" s="155" t="s">
        <v>1453</v>
      </c>
    </row>
    <row r="349" customFormat="false" ht="15" hidden="false" customHeight="true" outlineLevel="0" collapsed="false">
      <c r="B349" s="155" t="s">
        <v>1454</v>
      </c>
    </row>
    <row r="350" customFormat="false" ht="15" hidden="false" customHeight="true" outlineLevel="0" collapsed="false">
      <c r="B350" s="155" t="s">
        <v>1455</v>
      </c>
    </row>
    <row r="351" customFormat="false" ht="15" hidden="false" customHeight="true" outlineLevel="0" collapsed="false">
      <c r="B351" s="155" t="s">
        <v>1456</v>
      </c>
    </row>
    <row r="352" customFormat="false" ht="15" hidden="false" customHeight="true" outlineLevel="0" collapsed="false">
      <c r="B352" s="155" t="s">
        <v>1457</v>
      </c>
    </row>
    <row r="354" customFormat="false" ht="15" hidden="false" customHeight="true" outlineLevel="0" collapsed="false">
      <c r="B354" s="155" t="s">
        <v>1458</v>
      </c>
    </row>
    <row r="356" customFormat="false" ht="15" hidden="false" customHeight="true" outlineLevel="0" collapsed="false">
      <c r="B356" s="260" t="s">
        <v>1459</v>
      </c>
    </row>
    <row r="357" customFormat="false" ht="15" hidden="false" customHeight="true" outlineLevel="0" collapsed="false">
      <c r="B357" s="155" t="s">
        <v>1460</v>
      </c>
    </row>
    <row r="358" customFormat="false" ht="15" hidden="false" customHeight="true" outlineLevel="0" collapsed="false">
      <c r="B358" s="155" t="s">
        <v>1461</v>
      </c>
    </row>
    <row r="359" customFormat="false" ht="15" hidden="false" customHeight="true" outlineLevel="0" collapsed="false">
      <c r="B359" s="155" t="s">
        <v>1460</v>
      </c>
    </row>
    <row r="360" customFormat="false" ht="15" hidden="false" customHeight="true" outlineLevel="0" collapsed="false">
      <c r="B360" s="155" t="s">
        <v>1462</v>
      </c>
    </row>
    <row r="361" customFormat="false" ht="15" hidden="false" customHeight="true" outlineLevel="0" collapsed="false">
      <c r="B361" s="155" t="s">
        <v>1460</v>
      </c>
    </row>
    <row r="362" customFormat="false" ht="15" hidden="false" customHeight="true" outlineLevel="0" collapsed="false">
      <c r="B362" s="155" t="s">
        <v>1463</v>
      </c>
    </row>
    <row r="363" customFormat="false" ht="15" hidden="false" customHeight="true" outlineLevel="0" collapsed="false">
      <c r="B363" s="155" t="s">
        <v>1460</v>
      </c>
    </row>
    <row r="364" customFormat="false" ht="15" hidden="false" customHeight="true" outlineLevel="0" collapsed="false">
      <c r="B364" s="155" t="s">
        <v>1464</v>
      </c>
    </row>
    <row r="365" customFormat="false" ht="15" hidden="false" customHeight="true" outlineLevel="0" collapsed="false">
      <c r="B365" s="155" t="s">
        <v>1460</v>
      </c>
    </row>
    <row r="366" customFormat="false" ht="15" hidden="false" customHeight="true" outlineLevel="0" collapsed="false">
      <c r="B366" s="155" t="s">
        <v>1465</v>
      </c>
    </row>
    <row r="369" customFormat="false" ht="18.75" hidden="false" customHeight="true" outlineLevel="0" collapsed="false">
      <c r="B369" s="273" t="s">
        <v>1466</v>
      </c>
    </row>
    <row r="371" customFormat="false" ht="15" hidden="false" customHeight="true" outlineLevel="0" collapsed="false">
      <c r="B371" s="155" t="s">
        <v>1467</v>
      </c>
    </row>
    <row r="372" customFormat="false" ht="15" hidden="false" customHeight="true" outlineLevel="0" collapsed="false">
      <c r="B372" s="155" t="s">
        <v>1458</v>
      </c>
    </row>
    <row r="373" customFormat="false" ht="15" hidden="false" customHeight="true" outlineLevel="0" collapsed="false">
      <c r="B373" s="155" t="s">
        <v>1468</v>
      </c>
    </row>
    <row r="374" customFormat="false" ht="15" hidden="false" customHeight="true" outlineLevel="0" collapsed="false">
      <c r="B374" s="155" t="s">
        <v>1460</v>
      </c>
    </row>
    <row r="375" customFormat="false" ht="15" hidden="false" customHeight="true" outlineLevel="0" collapsed="false">
      <c r="B375" s="155" t="s">
        <v>1469</v>
      </c>
    </row>
    <row r="376" customFormat="false" ht="15" hidden="false" customHeight="true" outlineLevel="0" collapsed="false">
      <c r="B376" s="155" t="s">
        <v>1470</v>
      </c>
    </row>
    <row r="377" customFormat="false" ht="15" hidden="false" customHeight="true" outlineLevel="0" collapsed="false">
      <c r="B377" s="155" t="s">
        <v>1471</v>
      </c>
    </row>
    <row r="378" customFormat="false" ht="15" hidden="false" customHeight="true" outlineLevel="0" collapsed="false">
      <c r="B378" s="155" t="s">
        <v>1472</v>
      </c>
    </row>
    <row r="379" customFormat="false" ht="15" hidden="false" customHeight="true" outlineLevel="0" collapsed="false">
      <c r="B379" s="155" t="s">
        <v>1473</v>
      </c>
    </row>
    <row r="380" customFormat="false" ht="15" hidden="false" customHeight="true" outlineLevel="0" collapsed="false">
      <c r="B380" s="155" t="s">
        <v>1474</v>
      </c>
    </row>
    <row r="382" customFormat="false" ht="15" hidden="false" customHeight="true" outlineLevel="0" collapsed="false">
      <c r="B382" s="155" t="s">
        <v>1460</v>
      </c>
    </row>
    <row r="383" customFormat="false" ht="15" hidden="false" customHeight="true" outlineLevel="0" collapsed="false">
      <c r="B383" s="155" t="s">
        <v>1475</v>
      </c>
    </row>
    <row r="384" customFormat="false" ht="15" hidden="false" customHeight="true" outlineLevel="0" collapsed="false">
      <c r="B384" s="155" t="s">
        <v>1476</v>
      </c>
    </row>
    <row r="385" customFormat="false" ht="15" hidden="false" customHeight="true" outlineLevel="0" collapsed="false">
      <c r="B385" s="155" t="s">
        <v>1477</v>
      </c>
    </row>
    <row r="386" customFormat="false" ht="15" hidden="false" customHeight="true" outlineLevel="0" collapsed="false">
      <c r="B386" s="155" t="s">
        <v>1478</v>
      </c>
    </row>
    <row r="387" customFormat="false" ht="15" hidden="false" customHeight="true" outlineLevel="0" collapsed="false">
      <c r="B387" s="155" t="s">
        <v>1479</v>
      </c>
    </row>
    <row r="388" customFormat="false" ht="15" hidden="false" customHeight="true" outlineLevel="0" collapsed="false">
      <c r="B388" s="155" t="s">
        <v>1480</v>
      </c>
    </row>
    <row r="390" customFormat="false" ht="15" hidden="false" customHeight="true" outlineLevel="0" collapsed="false">
      <c r="B390" s="155" t="s">
        <v>1481</v>
      </c>
    </row>
    <row r="393" customFormat="false" ht="18.75" hidden="false" customHeight="true" outlineLevel="0" collapsed="false">
      <c r="B393" s="273" t="s">
        <v>1482</v>
      </c>
    </row>
    <row r="395" customFormat="false" ht="15" hidden="false" customHeight="true" outlineLevel="0" collapsed="false">
      <c r="B395" s="155" t="s">
        <v>1483</v>
      </c>
    </row>
    <row r="396" customFormat="false" ht="15" hidden="false" customHeight="true" outlineLevel="0" collapsed="false">
      <c r="B396" s="155" t="s">
        <v>1484</v>
      </c>
    </row>
    <row r="397" customFormat="false" ht="15" hidden="false" customHeight="true" outlineLevel="0" collapsed="false">
      <c r="B397" s="155" t="s">
        <v>1485</v>
      </c>
    </row>
    <row r="398" customFormat="false" ht="15" hidden="false" customHeight="true" outlineLevel="0" collapsed="false">
      <c r="B398" s="155" t="s">
        <v>1486</v>
      </c>
    </row>
    <row r="399" customFormat="false" ht="15" hidden="false" customHeight="true" outlineLevel="0" collapsed="false">
      <c r="B399" s="272" t="s">
        <v>1487</v>
      </c>
    </row>
    <row r="400" customFormat="false" ht="15" hidden="false" customHeight="true" outlineLevel="0" collapsed="false">
      <c r="B400" s="272" t="s">
        <v>1488</v>
      </c>
    </row>
    <row r="401" customFormat="false" ht="15" hidden="false" customHeight="true" outlineLevel="0" collapsed="false">
      <c r="B401" s="272" t="s">
        <v>1489</v>
      </c>
    </row>
    <row r="402" customFormat="false" ht="15" hidden="false" customHeight="true" outlineLevel="0" collapsed="false">
      <c r="B402" s="272" t="s">
        <v>1490</v>
      </c>
    </row>
    <row r="403" customFormat="false" ht="15" hidden="false" customHeight="true" outlineLevel="0" collapsed="false">
      <c r="B403" s="272" t="s">
        <v>1491</v>
      </c>
    </row>
    <row r="404" customFormat="false" ht="15" hidden="false" customHeight="true" outlineLevel="0" collapsed="false">
      <c r="B404" s="272" t="s">
        <v>1492</v>
      </c>
    </row>
    <row r="405" customFormat="false" ht="15" hidden="false" customHeight="true" outlineLevel="0" collapsed="false">
      <c r="B405" s="272" t="s">
        <v>1493</v>
      </c>
    </row>
    <row r="406" customFormat="false" ht="15" hidden="false" customHeight="true" outlineLevel="0" collapsed="false">
      <c r="B406" s="155" t="s">
        <v>1494</v>
      </c>
    </row>
    <row r="409" customFormat="false" ht="15" hidden="false" customHeight="true" outlineLevel="0" collapsed="false">
      <c r="B409" s="273" t="s">
        <v>1495</v>
      </c>
    </row>
    <row r="410" customFormat="false" ht="15" hidden="false" customHeight="true" outlineLevel="0" collapsed="false">
      <c r="B410" s="273"/>
    </row>
    <row r="411" customFormat="false" ht="15" hidden="false" customHeight="true" outlineLevel="0" collapsed="false">
      <c r="B411" s="155" t="s">
        <v>1496</v>
      </c>
    </row>
    <row r="412" customFormat="false" ht="15" hidden="false" customHeight="true" outlineLevel="0" collapsed="false">
      <c r="B412" s="155" t="s">
        <v>1497</v>
      </c>
    </row>
    <row r="413" customFormat="false" ht="15" hidden="false" customHeight="true" outlineLevel="0" collapsed="false">
      <c r="B413" s="155" t="s">
        <v>1498</v>
      </c>
    </row>
    <row r="414" customFormat="false" ht="15" hidden="false" customHeight="true" outlineLevel="0" collapsed="false">
      <c r="B414" s="155" t="s">
        <v>1499</v>
      </c>
    </row>
    <row r="415" customFormat="false" ht="15" hidden="false" customHeight="true" outlineLevel="0" collapsed="false">
      <c r="B415" s="155" t="s">
        <v>1500</v>
      </c>
    </row>
    <row r="416" customFormat="false" ht="15" hidden="false" customHeight="true" outlineLevel="0" collapsed="false">
      <c r="B416" s="155" t="s">
        <v>1501</v>
      </c>
    </row>
    <row r="417" customFormat="false" ht="15" hidden="false" customHeight="true" outlineLevel="0" collapsed="false">
      <c r="B417" s="155" t="s">
        <v>1502</v>
      </c>
    </row>
    <row r="418" customFormat="false" ht="15" hidden="false" customHeight="true" outlineLevel="0" collapsed="false">
      <c r="B418" s="155" t="s">
        <v>1503</v>
      </c>
    </row>
    <row r="419" customFormat="false" ht="15" hidden="false" customHeight="true" outlineLevel="0" collapsed="false">
      <c r="B419" s="155" t="s">
        <v>1504</v>
      </c>
    </row>
    <row r="422" customFormat="false" ht="15" hidden="false" customHeight="true" outlineLevel="0" collapsed="false">
      <c r="B422" s="273" t="s">
        <v>1505</v>
      </c>
    </row>
    <row r="423" customFormat="false" ht="15" hidden="false" customHeight="true" outlineLevel="0" collapsed="false">
      <c r="B423" s="273"/>
    </row>
    <row r="424" customFormat="false" ht="15" hidden="false" customHeight="true" outlineLevel="0" collapsed="false">
      <c r="B424" s="155" t="s">
        <v>1506</v>
      </c>
    </row>
    <row r="425" customFormat="false" ht="15" hidden="false" customHeight="true" outlineLevel="0" collapsed="false">
      <c r="B425" s="260" t="s">
        <v>1507</v>
      </c>
    </row>
    <row r="426" customFormat="false" ht="15" hidden="false" customHeight="true" outlineLevel="0" collapsed="false">
      <c r="B426" s="155" t="s">
        <v>1508</v>
      </c>
    </row>
    <row r="427" customFormat="false" ht="15" hidden="false" customHeight="true" outlineLevel="0" collapsed="false">
      <c r="B427" s="155" t="s">
        <v>1509</v>
      </c>
    </row>
    <row r="428" customFormat="false" ht="15" hidden="false" customHeight="true" outlineLevel="0" collapsed="false">
      <c r="B428" s="155" t="s">
        <v>1510</v>
      </c>
    </row>
    <row r="429" customFormat="false" ht="15" hidden="false" customHeight="true" outlineLevel="0" collapsed="false">
      <c r="B429" s="155" t="s">
        <v>1511</v>
      </c>
    </row>
    <row r="430" customFormat="false" ht="15" hidden="false" customHeight="true" outlineLevel="0" collapsed="false">
      <c r="B430" s="155" t="s">
        <v>1512</v>
      </c>
    </row>
    <row r="431" customFormat="false" ht="15" hidden="false" customHeight="true" outlineLevel="0" collapsed="false">
      <c r="B431" s="260" t="s">
        <v>1513</v>
      </c>
    </row>
    <row r="432" customFormat="false" ht="15" hidden="false" customHeight="true" outlineLevel="0" collapsed="false">
      <c r="B432" s="155" t="s">
        <v>1514</v>
      </c>
    </row>
    <row r="433" customFormat="false" ht="15" hidden="false" customHeight="true" outlineLevel="0" collapsed="false">
      <c r="B433" s="155" t="s">
        <v>1515</v>
      </c>
    </row>
    <row r="434" customFormat="false" ht="15" hidden="false" customHeight="true" outlineLevel="0" collapsed="false">
      <c r="B434" s="155" t="s">
        <v>1516</v>
      </c>
    </row>
    <row r="435" customFormat="false" ht="15" hidden="false" customHeight="true" outlineLevel="0" collapsed="false">
      <c r="B435" s="155" t="s">
        <v>1517</v>
      </c>
    </row>
    <row r="436" customFormat="false" ht="15" hidden="false" customHeight="true" outlineLevel="0" collapsed="false">
      <c r="B436" s="155" t="s">
        <v>1518</v>
      </c>
    </row>
    <row r="439" customFormat="false" ht="18.75" hidden="false" customHeight="true" outlineLevel="0" collapsed="false">
      <c r="B439" s="273" t="s">
        <v>1519</v>
      </c>
    </row>
    <row r="441" customFormat="false" ht="15" hidden="false" customHeight="true" outlineLevel="0" collapsed="false">
      <c r="B441" s="155" t="s">
        <v>1520</v>
      </c>
    </row>
    <row r="442" customFormat="false" ht="15" hidden="false" customHeight="true" outlineLevel="0" collapsed="false">
      <c r="B442" s="155" t="s">
        <v>1521</v>
      </c>
    </row>
    <row r="443" customFormat="false" ht="15" hidden="false" customHeight="true" outlineLevel="0" collapsed="false">
      <c r="B443" s="155" t="s">
        <v>1522</v>
      </c>
    </row>
    <row r="444" customFormat="false" ht="15" hidden="false" customHeight="true" outlineLevel="0" collapsed="false">
      <c r="B444" s="155" t="s">
        <v>1523</v>
      </c>
    </row>
    <row r="445" customFormat="false" ht="15" hidden="false" customHeight="true" outlineLevel="0" collapsed="false">
      <c r="B445" s="155" t="s">
        <v>1524</v>
      </c>
    </row>
    <row r="446" customFormat="false" ht="15" hidden="false" customHeight="true" outlineLevel="0" collapsed="false">
      <c r="B446" s="155" t="s">
        <v>1525</v>
      </c>
    </row>
    <row r="447" customFormat="false" ht="15" hidden="false" customHeight="true" outlineLevel="0" collapsed="false">
      <c r="B447" s="155" t="s">
        <v>1526</v>
      </c>
    </row>
    <row r="448" customFormat="false" ht="15" hidden="false" customHeight="true" outlineLevel="0" collapsed="false">
      <c r="B448" s="155" t="s">
        <v>1527</v>
      </c>
    </row>
    <row r="449" customFormat="false" ht="15" hidden="false" customHeight="true" outlineLevel="0" collapsed="false">
      <c r="B449" s="155" t="s">
        <v>1528</v>
      </c>
    </row>
    <row r="452" customFormat="false" ht="18.75" hidden="false" customHeight="true" outlineLevel="0" collapsed="false">
      <c r="B452" s="273" t="s">
        <v>1529</v>
      </c>
    </row>
    <row r="454" customFormat="false" ht="15" hidden="false" customHeight="true" outlineLevel="0" collapsed="false">
      <c r="B454" s="155" t="s">
        <v>1530</v>
      </c>
    </row>
    <row r="456" customFormat="false" ht="15" hidden="false" customHeight="true" outlineLevel="0" collapsed="false">
      <c r="B456" s="272" t="s">
        <v>1531</v>
      </c>
    </row>
    <row r="457" customFormat="false" ht="15" hidden="false" customHeight="true" outlineLevel="0" collapsed="false">
      <c r="B457" s="272" t="s">
        <v>1532</v>
      </c>
    </row>
    <row r="458" customFormat="false" ht="15" hidden="false" customHeight="true" outlineLevel="0" collapsed="false">
      <c r="B458" s="272" t="s">
        <v>1533</v>
      </c>
    </row>
    <row r="459" customFormat="false" ht="15" hidden="false" customHeight="true" outlineLevel="0" collapsed="false">
      <c r="B459" s="272" t="s">
        <v>1534</v>
      </c>
    </row>
    <row r="460" customFormat="false" ht="15" hidden="false" customHeight="true" outlineLevel="0" collapsed="false">
      <c r="B460" s="272" t="s">
        <v>1535</v>
      </c>
    </row>
    <row r="461" customFormat="false" ht="15" hidden="false" customHeight="true" outlineLevel="0" collapsed="false">
      <c r="B461" s="272" t="s">
        <v>1532</v>
      </c>
    </row>
    <row r="462" customFormat="false" ht="15" hidden="false" customHeight="true" outlineLevel="0" collapsed="false">
      <c r="B462" s="272" t="s">
        <v>1533</v>
      </c>
    </row>
    <row r="463" customFormat="false" ht="15" hidden="false" customHeight="true" outlineLevel="0" collapsed="false">
      <c r="B463" s="272" t="s">
        <v>1536</v>
      </c>
    </row>
    <row r="464" customFormat="false" ht="15" hidden="false" customHeight="true" outlineLevel="0" collapsed="false">
      <c r="B464" s="272" t="s">
        <v>1532</v>
      </c>
    </row>
    <row r="465" customFormat="false" ht="15" hidden="false" customHeight="true" outlineLevel="0" collapsed="false">
      <c r="B465" s="272" t="s">
        <v>1537</v>
      </c>
    </row>
    <row r="466" customFormat="false" ht="15" hidden="false" customHeight="true" outlineLevel="0" collapsed="false">
      <c r="B466" s="272" t="s">
        <v>1538</v>
      </c>
    </row>
    <row r="467" customFormat="false" ht="15" hidden="false" customHeight="true" outlineLevel="0" collapsed="false">
      <c r="B467" s="272" t="s">
        <v>1539</v>
      </c>
    </row>
    <row r="468" customFormat="false" ht="15" hidden="false" customHeight="true" outlineLevel="0" collapsed="false">
      <c r="B468" s="272" t="s">
        <v>1540</v>
      </c>
    </row>
    <row r="469" customFormat="false" ht="15" hidden="false" customHeight="true" outlineLevel="0" collapsed="false">
      <c r="B469" s="272" t="s">
        <v>1541</v>
      </c>
    </row>
    <row r="470" customFormat="false" ht="15.75" hidden="false" customHeight="true" outlineLevel="0" collapsed="false">
      <c r="B470" s="272" t="s">
        <v>1542</v>
      </c>
    </row>
    <row r="472" customFormat="false" ht="15" hidden="false" customHeight="true" outlineLevel="0" collapsed="false">
      <c r="B472" s="155" t="s">
        <v>1543</v>
      </c>
    </row>
    <row r="475" customFormat="false" ht="18.75" hidden="false" customHeight="true" outlineLevel="0" collapsed="false">
      <c r="B475" s="273" t="s">
        <v>1544</v>
      </c>
    </row>
    <row r="477" customFormat="false" ht="15" hidden="false" customHeight="true" outlineLevel="0" collapsed="false">
      <c r="B477" s="155" t="s">
        <v>1545</v>
      </c>
    </row>
    <row r="478" customFormat="false" ht="15" hidden="false" customHeight="true" outlineLevel="0" collapsed="false">
      <c r="B478" s="155" t="s">
        <v>1546</v>
      </c>
    </row>
    <row r="479" customFormat="false" ht="15" hidden="false" customHeight="true" outlineLevel="0" collapsed="false">
      <c r="B479" s="260" t="s">
        <v>1547</v>
      </c>
    </row>
    <row r="480" customFormat="false" ht="15" hidden="false" customHeight="true" outlineLevel="0" collapsed="false">
      <c r="B480" s="260" t="s">
        <v>1548</v>
      </c>
    </row>
    <row r="481" customFormat="false" ht="15" hidden="false" customHeight="true" outlineLevel="0" collapsed="false">
      <c r="B481" s="260" t="s">
        <v>1549</v>
      </c>
    </row>
    <row r="482" customFormat="false" ht="15" hidden="false" customHeight="true" outlineLevel="0" collapsed="false">
      <c r="B482" s="260" t="s">
        <v>1550</v>
      </c>
    </row>
    <row r="483" customFormat="false" ht="15" hidden="false" customHeight="true" outlineLevel="0" collapsed="false">
      <c r="B483" s="260" t="s">
        <v>1551</v>
      </c>
    </row>
    <row r="485" customFormat="false" ht="15" hidden="false" customHeight="true" outlineLevel="0" collapsed="false">
      <c r="B485" s="155" t="s">
        <v>1552</v>
      </c>
    </row>
    <row r="486" customFormat="false" ht="21" hidden="false" customHeight="true" outlineLevel="0" collapsed="false"/>
    <row r="487" customFormat="false" ht="21" hidden="false" customHeight="true" outlineLevel="0" collapsed="false">
      <c r="A487" s="1" t="s">
        <v>1213</v>
      </c>
      <c r="B487" s="146" t="s">
        <v>1553</v>
      </c>
    </row>
    <row r="488" customFormat="false" ht="15" hidden="false" customHeight="true" outlineLevel="0" collapsed="false">
      <c r="A488" s="1" t="s">
        <v>1215</v>
      </c>
      <c r="B488" s="1" t="s">
        <v>1554</v>
      </c>
    </row>
    <row r="489" customFormat="false" ht="21" hidden="false" customHeight="true" outlineLevel="0" collapsed="false"/>
    <row r="490" customFormat="false" ht="16.5" hidden="false" customHeight="true" outlineLevel="0" collapsed="false">
      <c r="B490" s="259" t="s">
        <v>1555</v>
      </c>
    </row>
    <row r="491" customFormat="false" ht="21" hidden="false" customHeight="true" outlineLevel="0" collapsed="false"/>
    <row r="492" customFormat="false" ht="21" hidden="false" customHeight="true" outlineLevel="0" collapsed="false">
      <c r="B492" s="1" t="s">
        <v>1556</v>
      </c>
    </row>
    <row r="493" customFormat="false" ht="15" hidden="false" customHeight="true" outlineLevel="0" collapsed="false">
      <c r="B493" s="1" t="s">
        <v>1557</v>
      </c>
    </row>
    <row r="494" customFormat="false" ht="21" hidden="false" customHeight="true" outlineLevel="0" collapsed="false"/>
    <row r="495" customFormat="false" ht="15" hidden="false" customHeight="true" outlineLevel="0" collapsed="false">
      <c r="B495" s="260" t="s">
        <v>1558</v>
      </c>
    </row>
    <row r="496" customFormat="false" ht="21" hidden="false" customHeight="true" outlineLevel="0" collapsed="false"/>
    <row r="497" customFormat="false" ht="21" hidden="false" customHeight="true" outlineLevel="0" collapsed="false">
      <c r="B497" s="1" t="s">
        <v>1559</v>
      </c>
    </row>
    <row r="498" customFormat="false" ht="21" hidden="false" customHeight="true" outlineLevel="0" collapsed="false">
      <c r="B498" s="272" t="s">
        <v>1560</v>
      </c>
    </row>
    <row r="499" customFormat="false" ht="15" hidden="false" customHeight="true" outlineLevel="0" collapsed="false">
      <c r="B499" s="1" t="s">
        <v>1561</v>
      </c>
    </row>
    <row r="500" customFormat="false" ht="21" hidden="false" customHeight="true" outlineLevel="0" collapsed="false"/>
    <row r="501" customFormat="false" ht="15" hidden="false" customHeight="true" outlineLevel="0" collapsed="false">
      <c r="B501" s="1" t="s">
        <v>1562</v>
      </c>
    </row>
    <row r="502" customFormat="false" ht="21" hidden="false" customHeight="true" outlineLevel="0" collapsed="false"/>
    <row r="503" customFormat="false" ht="21" hidden="false" customHeight="true" outlineLevel="0" collapsed="false">
      <c r="B503" s="260" t="s">
        <v>1563</v>
      </c>
      <c r="C503" s="260" t="s">
        <v>1564</v>
      </c>
    </row>
    <row r="504" customFormat="false" ht="21" hidden="false" customHeight="true" outlineLevel="0" collapsed="false">
      <c r="B504" s="1" t="s">
        <v>1565</v>
      </c>
      <c r="C504" s="1" t="s">
        <v>505</v>
      </c>
    </row>
    <row r="505" customFormat="false" ht="21" hidden="false" customHeight="true" outlineLevel="0" collapsed="false">
      <c r="B505" s="1" t="s">
        <v>1566</v>
      </c>
      <c r="C505" s="1" t="s">
        <v>1567</v>
      </c>
    </row>
    <row r="506" customFormat="false" ht="21" hidden="false" customHeight="true" outlineLevel="0" collapsed="false">
      <c r="B506" s="1" t="s">
        <v>1568</v>
      </c>
      <c r="C506" s="1" t="s">
        <v>512</v>
      </c>
    </row>
    <row r="507" customFormat="false" ht="21" hidden="false" customHeight="true" outlineLevel="0" collapsed="false">
      <c r="B507" s="1" t="s">
        <v>1569</v>
      </c>
      <c r="C507" s="1" t="s">
        <v>512</v>
      </c>
    </row>
    <row r="508" customFormat="false" ht="21" hidden="false" customHeight="true" outlineLevel="0" collapsed="false">
      <c r="B508" s="1" t="s">
        <v>1570</v>
      </c>
      <c r="C508" s="1" t="s">
        <v>519</v>
      </c>
    </row>
    <row r="509" customFormat="false" ht="15" hidden="false" customHeight="true" outlineLevel="0" collapsed="false">
      <c r="B509" s="1" t="s">
        <v>1571</v>
      </c>
      <c r="C509" s="1" t="s">
        <v>266</v>
      </c>
    </row>
    <row r="510" customFormat="false" ht="21" hidden="false" customHeight="true" outlineLevel="0" collapsed="false"/>
    <row r="511" customFormat="false" ht="15" hidden="false" customHeight="true" outlineLevel="0" collapsed="false">
      <c r="B511" s="1" t="s">
        <v>1572</v>
      </c>
    </row>
    <row r="513" customFormat="false" ht="21" hidden="false" customHeight="true" outlineLevel="0" collapsed="false"/>
    <row r="514" customFormat="false" ht="16.5" hidden="false" customHeight="true" outlineLevel="0" collapsed="false">
      <c r="B514" s="259" t="s">
        <v>1573</v>
      </c>
    </row>
    <row r="515" customFormat="false" ht="21" hidden="false" customHeight="true" outlineLevel="0" collapsed="false"/>
    <row r="516" customFormat="false" ht="15" hidden="false" customHeight="true" outlineLevel="0" collapsed="false">
      <c r="B516" s="1" t="s">
        <v>1574</v>
      </c>
    </row>
    <row r="517" s="274" customFormat="true" ht="21" hidden="false" customHeight="true" outlineLevel="0" collapsed="false"/>
    <row r="518" customFormat="false" ht="16.5" hidden="false" customHeight="true" outlineLevel="0" collapsed="false">
      <c r="B518" s="275" t="s">
        <v>524</v>
      </c>
    </row>
    <row r="519" customFormat="false" ht="21" hidden="false" customHeight="true" outlineLevel="0" collapsed="false"/>
    <row r="520" customFormat="false" ht="21" hidden="false" customHeight="true" outlineLevel="0" collapsed="false">
      <c r="B520" s="1" t="s">
        <v>1575</v>
      </c>
    </row>
    <row r="521" customFormat="false" ht="21" hidden="false" customHeight="true" outlineLevel="0" collapsed="false">
      <c r="B521" s="1" t="s">
        <v>1576</v>
      </c>
    </row>
    <row r="522" customFormat="false" ht="21" hidden="false" customHeight="true" outlineLevel="0" collapsed="false">
      <c r="B522" s="1" t="s">
        <v>1577</v>
      </c>
    </row>
    <row r="523" customFormat="false" ht="21" hidden="false" customHeight="true" outlineLevel="0" collapsed="false">
      <c r="B523" s="1" t="s">
        <v>1578</v>
      </c>
    </row>
    <row r="524" customFormat="false" ht="21" hidden="false" customHeight="true" outlineLevel="0" collapsed="false">
      <c r="B524" s="1" t="s">
        <v>1579</v>
      </c>
    </row>
    <row r="525" customFormat="false" ht="21" hidden="false" customHeight="true" outlineLevel="0" collapsed="false">
      <c r="B525" s="1" t="s">
        <v>1580</v>
      </c>
    </row>
    <row r="526" customFormat="false" ht="21" hidden="false" customHeight="true" outlineLevel="0" collapsed="false">
      <c r="B526" s="1" t="s">
        <v>1581</v>
      </c>
    </row>
    <row r="527" customFormat="false" ht="21" hidden="false" customHeight="true" outlineLevel="0" collapsed="false">
      <c r="B527" s="1" t="s">
        <v>1582</v>
      </c>
    </row>
    <row r="528" customFormat="false" ht="21" hidden="false" customHeight="true" outlineLevel="0" collapsed="false">
      <c r="B528" s="1" t="s">
        <v>1583</v>
      </c>
    </row>
    <row r="529" customFormat="false" ht="15" hidden="false" customHeight="true" outlineLevel="0" collapsed="false">
      <c r="B529" s="1" t="s">
        <v>1584</v>
      </c>
    </row>
    <row r="530" customFormat="false" ht="21" hidden="false" customHeight="true" outlineLevel="0" collapsed="false"/>
    <row r="531" customFormat="false" ht="21" hidden="false" customHeight="true" outlineLevel="0" collapsed="false">
      <c r="B531" s="1" t="s">
        <v>1585</v>
      </c>
    </row>
    <row r="532" customFormat="false" ht="15" hidden="false" customHeight="true" outlineLevel="0" collapsed="false">
      <c r="B532" s="1" t="s">
        <v>1586</v>
      </c>
    </row>
    <row r="533" customFormat="false" ht="21" hidden="false" customHeight="true" outlineLevel="0" collapsed="false"/>
    <row r="534" customFormat="false" ht="15" hidden="false" customHeight="true" outlineLevel="0" collapsed="false">
      <c r="B534" s="1" t="s">
        <v>1587</v>
      </c>
    </row>
    <row r="535" s="274" customFormat="true" ht="21" hidden="false" customHeight="true" outlineLevel="0" collapsed="false"/>
    <row r="536" customFormat="false" ht="21" hidden="false" customHeight="true" outlineLevel="0" collapsed="false">
      <c r="B536" s="259" t="s">
        <v>238</v>
      </c>
      <c r="C536" s="259" t="s">
        <v>239</v>
      </c>
    </row>
    <row r="537" customFormat="false" ht="21" hidden="false" customHeight="true" outlineLevel="0" collapsed="false">
      <c r="B537" s="276" t="s">
        <v>244</v>
      </c>
      <c r="C537" s="276" t="s">
        <v>245</v>
      </c>
      <c r="F537" s="274"/>
      <c r="G537" s="274"/>
    </row>
    <row r="538" customFormat="false" ht="21" hidden="false" customHeight="true" outlineLevel="0" collapsed="false">
      <c r="B538" s="277" t="s">
        <v>252</v>
      </c>
      <c r="C538" s="277" t="s">
        <v>253</v>
      </c>
      <c r="F538" s="274"/>
      <c r="G538" s="274"/>
    </row>
    <row r="539" customFormat="false" ht="21" hidden="false" customHeight="true" outlineLevel="0" collapsed="false">
      <c r="B539" s="278" t="s">
        <v>259</v>
      </c>
      <c r="C539" s="278" t="s">
        <v>260</v>
      </c>
      <c r="F539" s="274"/>
      <c r="G539" s="274"/>
    </row>
    <row r="540" customFormat="false" ht="21" hidden="false" customHeight="true" outlineLevel="0" collapsed="false">
      <c r="B540" s="279" t="s">
        <v>263</v>
      </c>
      <c r="C540" s="279" t="s">
        <v>264</v>
      </c>
      <c r="F540" s="274"/>
      <c r="G540" s="274"/>
    </row>
    <row r="541" customFormat="false" ht="16.5" hidden="false" customHeight="true" outlineLevel="0" collapsed="false">
      <c r="B541" s="280" t="s">
        <v>272</v>
      </c>
      <c r="C541" s="280" t="s">
        <v>273</v>
      </c>
      <c r="F541" s="274"/>
      <c r="G541" s="274"/>
    </row>
    <row r="542" customFormat="false" ht="21" hidden="false" customHeight="true" outlineLevel="0" collapsed="false">
      <c r="F542" s="274"/>
      <c r="G542" s="274"/>
    </row>
    <row r="543" customFormat="false" ht="15" hidden="false" customHeight="true" outlineLevel="0" collapsed="false">
      <c r="B543" s="1" t="s">
        <v>1588</v>
      </c>
    </row>
    <row r="545" customFormat="false" ht="21" hidden="false" customHeight="true" outlineLevel="0" collapsed="false"/>
    <row r="546" customFormat="false" ht="16.5" hidden="false" customHeight="true" outlineLevel="0" collapsed="false">
      <c r="B546" s="259" t="s">
        <v>1589</v>
      </c>
    </row>
    <row r="547" customFormat="false" ht="21" hidden="false" customHeight="true" outlineLevel="0" collapsed="false"/>
    <row r="548" customFormat="false" ht="21" hidden="false" customHeight="true" outlineLevel="0" collapsed="false">
      <c r="B548" s="1" t="s">
        <v>1590</v>
      </c>
    </row>
    <row r="549" customFormat="false" ht="21" hidden="false" customHeight="true" outlineLevel="0" collapsed="false">
      <c r="B549" s="1" t="s">
        <v>1591</v>
      </c>
    </row>
    <row r="550" customFormat="false" ht="21" hidden="false" customHeight="true" outlineLevel="0" collapsed="false">
      <c r="B550" s="1" t="s">
        <v>1592</v>
      </c>
    </row>
    <row r="551" customFormat="false" ht="21" hidden="false" customHeight="true" outlineLevel="0" collapsed="false">
      <c r="B551" s="1" t="s">
        <v>1593</v>
      </c>
    </row>
    <row r="552" customFormat="false" ht="21" hidden="false" customHeight="true" outlineLevel="0" collapsed="false">
      <c r="B552" s="1" t="s">
        <v>1594</v>
      </c>
    </row>
    <row r="553" customFormat="false" ht="21" hidden="false" customHeight="true" outlineLevel="0" collapsed="false">
      <c r="B553" s="1" t="s">
        <v>1595</v>
      </c>
    </row>
    <row r="554" customFormat="false" ht="21" hidden="false" customHeight="true" outlineLevel="0" collapsed="false">
      <c r="B554" s="1" t="s">
        <v>1596</v>
      </c>
    </row>
    <row r="555" customFormat="false" ht="15" hidden="false" customHeight="true" outlineLevel="0" collapsed="false">
      <c r="B555" s="1" t="s">
        <v>1597</v>
      </c>
    </row>
    <row r="556" customFormat="false" ht="21" hidden="false" customHeight="true" outlineLevel="0" collapsed="false"/>
    <row r="557" customFormat="false" ht="21" hidden="false" customHeight="true" outlineLevel="0" collapsed="false">
      <c r="B557" s="1" t="s">
        <v>1598</v>
      </c>
    </row>
    <row r="558" customFormat="false" ht="21" hidden="false" customHeight="true" outlineLevel="0" collapsed="false">
      <c r="B558" s="272" t="s">
        <v>1599</v>
      </c>
    </row>
    <row r="559" customFormat="false" ht="21" hidden="false" customHeight="true" outlineLevel="0" collapsed="false">
      <c r="B559" s="272" t="s">
        <v>1600</v>
      </c>
    </row>
    <row r="560" customFormat="false" ht="21" hidden="false" customHeight="true" outlineLevel="0" collapsed="false">
      <c r="B560" s="272" t="s">
        <v>1601</v>
      </c>
    </row>
    <row r="561" customFormat="false" ht="15.75" hidden="false" customHeight="true" outlineLevel="0" collapsed="false">
      <c r="B561" s="272" t="s">
        <v>1602</v>
      </c>
    </row>
    <row r="562" customFormat="false" ht="21" hidden="false" customHeight="true" outlineLevel="0" collapsed="false"/>
    <row r="563" customFormat="false" ht="15" hidden="false" customHeight="true" outlineLevel="0" collapsed="false">
      <c r="B563" s="1" t="s">
        <v>1603</v>
      </c>
    </row>
    <row r="564" customFormat="false" ht="21" hidden="false" customHeight="true" outlineLevel="0" collapsed="false"/>
    <row r="565" customFormat="false" ht="21" hidden="false" customHeight="true" outlineLevel="0" collapsed="false">
      <c r="B565" s="260" t="s">
        <v>1604</v>
      </c>
      <c r="C565" s="260" t="s">
        <v>657</v>
      </c>
    </row>
    <row r="566" customFormat="false" ht="21" hidden="false" customHeight="true" outlineLevel="0" collapsed="false">
      <c r="B566" s="1" t="s">
        <v>1605</v>
      </c>
      <c r="C566" s="1" t="s">
        <v>1606</v>
      </c>
    </row>
    <row r="567" customFormat="false" ht="21" hidden="false" customHeight="true" outlineLevel="0" collapsed="false">
      <c r="B567" s="1" t="s">
        <v>1607</v>
      </c>
      <c r="C567" s="1" t="s">
        <v>1608</v>
      </c>
    </row>
    <row r="568" customFormat="false" ht="21" hidden="false" customHeight="true" outlineLevel="0" collapsed="false">
      <c r="B568" s="1" t="s">
        <v>1609</v>
      </c>
      <c r="C568" s="1" t="s">
        <v>1610</v>
      </c>
    </row>
    <row r="569" customFormat="false" ht="15" hidden="false" customHeight="true" outlineLevel="0" collapsed="false">
      <c r="B569" s="1" t="s">
        <v>1611</v>
      </c>
      <c r="C569" s="1" t="s">
        <v>1612</v>
      </c>
    </row>
    <row r="570" customFormat="false" ht="21" hidden="false" customHeight="true" outlineLevel="0" collapsed="false"/>
    <row r="571" customFormat="false" ht="21" hidden="false" customHeight="true" outlineLevel="0" collapsed="false">
      <c r="B571" s="1" t="s">
        <v>1613</v>
      </c>
    </row>
    <row r="572" customFormat="false" ht="15.75" hidden="false" customHeight="true" outlineLevel="0" collapsed="false">
      <c r="B572" s="272" t="s">
        <v>1614</v>
      </c>
    </row>
    <row r="573" customFormat="false" ht="21" hidden="false" customHeight="true" outlineLevel="0" collapsed="false"/>
    <row r="574" customFormat="false" ht="21" hidden="false" customHeight="true" outlineLevel="0" collapsed="false">
      <c r="B574" s="1" t="s">
        <v>1615</v>
      </c>
    </row>
    <row r="575" customFormat="false" ht="15" hidden="false" customHeight="true" outlineLevel="0" collapsed="false">
      <c r="B575" s="1" t="s">
        <v>1616</v>
      </c>
    </row>
    <row r="576" customFormat="false" ht="21" hidden="false" customHeight="true" outlineLevel="0" collapsed="false"/>
    <row r="577" customFormat="false" ht="15" hidden="false" customHeight="true" outlineLevel="0" collapsed="false">
      <c r="B577" s="1" t="s">
        <v>1617</v>
      </c>
    </row>
    <row r="578" customFormat="false" ht="21" hidden="false" customHeight="true" outlineLevel="0" collapsed="false"/>
    <row r="579" customFormat="false" ht="21" hidden="false" customHeight="true" outlineLevel="0" collapsed="false">
      <c r="B579" s="272" t="s">
        <v>1618</v>
      </c>
    </row>
    <row r="580" customFormat="false" ht="21" hidden="false" customHeight="true" outlineLevel="0" collapsed="false">
      <c r="B580" s="272" t="s">
        <v>1619</v>
      </c>
    </row>
    <row r="581" customFormat="false" ht="21" hidden="false" customHeight="true" outlineLevel="0" collapsed="false">
      <c r="B581" s="272" t="s">
        <v>1620</v>
      </c>
    </row>
    <row r="582" customFormat="false" ht="15.75" hidden="false" customHeight="true" outlineLevel="0" collapsed="false">
      <c r="B582" s="272" t="s">
        <v>1621</v>
      </c>
    </row>
    <row r="583" customFormat="false" ht="21" hidden="false" customHeight="true" outlineLevel="0" collapsed="false"/>
    <row r="584" customFormat="false" ht="15" hidden="false" customHeight="true" outlineLevel="0" collapsed="false">
      <c r="B584" s="1" t="s">
        <v>1622</v>
      </c>
    </row>
    <row r="585" customFormat="false" ht="21" hidden="false" customHeight="true" outlineLevel="0" collapsed="false"/>
    <row r="586" customFormat="false" ht="21" hidden="false" customHeight="true" outlineLevel="0" collapsed="false">
      <c r="B586" s="272" t="s">
        <v>1623</v>
      </c>
    </row>
    <row r="587" customFormat="false" ht="21" hidden="false" customHeight="true" outlineLevel="0" collapsed="false">
      <c r="B587" s="272" t="s">
        <v>1624</v>
      </c>
    </row>
    <row r="588" customFormat="false" ht="15.75" hidden="false" customHeight="true" outlineLevel="0" collapsed="false">
      <c r="B588" s="272" t="s">
        <v>1625</v>
      </c>
    </row>
    <row r="590" customFormat="false" ht="15" hidden="false" customHeight="true" outlineLevel="0" collapsed="false">
      <c r="A590" s="155" t="s">
        <v>1213</v>
      </c>
      <c r="B590" s="146" t="s">
        <v>1626</v>
      </c>
    </row>
    <row r="591" customFormat="false" ht="15" hidden="false" customHeight="true" outlineLevel="0" collapsed="false">
      <c r="A591" s="155" t="s">
        <v>1215</v>
      </c>
      <c r="B591" s="155" t="s">
        <v>1627</v>
      </c>
    </row>
    <row r="593" customFormat="false" ht="24" hidden="false" customHeight="true" outlineLevel="0" collapsed="false">
      <c r="B593" s="258" t="s">
        <v>1628</v>
      </c>
    </row>
    <row r="595" customFormat="false" ht="15" hidden="false" customHeight="true" outlineLevel="0" collapsed="false">
      <c r="B595" s="155" t="s">
        <v>1629</v>
      </c>
    </row>
    <row r="597" customFormat="false" ht="15" hidden="false" customHeight="true" outlineLevel="0" collapsed="false">
      <c r="B597" s="260" t="s">
        <v>1630</v>
      </c>
    </row>
    <row r="598" customFormat="false" ht="15" hidden="false" customHeight="true" outlineLevel="0" collapsed="false">
      <c r="B598" s="260" t="s">
        <v>1631</v>
      </c>
    </row>
    <row r="599" customFormat="false" ht="15" hidden="false" customHeight="true" outlineLevel="0" collapsed="false">
      <c r="B599" s="260" t="s">
        <v>1632</v>
      </c>
    </row>
    <row r="600" customFormat="false" ht="15" hidden="false" customHeight="true" outlineLevel="0" collapsed="false">
      <c r="B600" s="260" t="s">
        <v>1633</v>
      </c>
    </row>
    <row r="602" customFormat="false" ht="15" hidden="false" customHeight="true" outlineLevel="0" collapsed="false">
      <c r="B602" s="155" t="s">
        <v>1634</v>
      </c>
    </row>
    <row r="604" customFormat="false" ht="15" hidden="false" customHeight="true" outlineLevel="0" collapsed="false">
      <c r="B604" s="155" t="s">
        <v>1635</v>
      </c>
    </row>
    <row r="606" customFormat="false" ht="15" hidden="false" customHeight="true" outlineLevel="0" collapsed="false">
      <c r="B606" s="155" t="s">
        <v>1636</v>
      </c>
    </row>
    <row r="608" customFormat="false" ht="15" hidden="false" customHeight="true" outlineLevel="0" collapsed="false">
      <c r="B608" s="260" t="s">
        <v>1637</v>
      </c>
    </row>
    <row r="609" customFormat="false" ht="15" hidden="false" customHeight="true" outlineLevel="0" collapsed="false">
      <c r="B609" s="260" t="s">
        <v>1638</v>
      </c>
    </row>
    <row r="611" customFormat="false" ht="24" hidden="false" customHeight="true" outlineLevel="0" collapsed="false">
      <c r="B611" s="258" t="s">
        <v>1639</v>
      </c>
    </row>
    <row r="613" customFormat="false" ht="15" hidden="false" customHeight="true" outlineLevel="0" collapsed="false">
      <c r="B613" s="155" t="s">
        <v>1640</v>
      </c>
    </row>
    <row r="615" customFormat="false" ht="15" hidden="false" customHeight="true" outlineLevel="0" collapsed="false">
      <c r="B615" s="155" t="s">
        <v>1641</v>
      </c>
    </row>
    <row r="617" customFormat="false" ht="15" hidden="false" customHeight="true" outlineLevel="0" collapsed="false">
      <c r="B617" s="155" t="s">
        <v>1642</v>
      </c>
    </row>
    <row r="619" customFormat="false" ht="15" hidden="false" customHeight="true" outlineLevel="0" collapsed="false">
      <c r="B619" s="260" t="s">
        <v>1643</v>
      </c>
    </row>
    <row r="620" customFormat="false" ht="15" hidden="false" customHeight="true" outlineLevel="0" collapsed="false">
      <c r="B620" s="260" t="s">
        <v>1644</v>
      </c>
    </row>
    <row r="621" customFormat="false" ht="15" hidden="false" customHeight="true" outlineLevel="0" collapsed="false">
      <c r="B621" s="260" t="s">
        <v>1645</v>
      </c>
    </row>
    <row r="623" customFormat="false" ht="15" hidden="false" customHeight="true" outlineLevel="0" collapsed="false">
      <c r="B623" s="155" t="s">
        <v>1646</v>
      </c>
    </row>
    <row r="625" customFormat="false" ht="24" hidden="false" customHeight="true" outlineLevel="0" collapsed="false">
      <c r="B625" s="258" t="s">
        <v>1647</v>
      </c>
    </row>
    <row r="627" customFormat="false" ht="15" hidden="false" customHeight="true" outlineLevel="0" collapsed="false">
      <c r="B627" s="155" t="s">
        <v>1648</v>
      </c>
    </row>
    <row r="629" customFormat="false" ht="15" hidden="false" customHeight="true" outlineLevel="0" collapsed="false">
      <c r="B629" s="260" t="s">
        <v>1649</v>
      </c>
    </row>
    <row r="630" customFormat="false" ht="15" hidden="false" customHeight="true" outlineLevel="0" collapsed="false">
      <c r="B630" s="260" t="s">
        <v>1650</v>
      </c>
    </row>
    <row r="632" customFormat="false" ht="15" hidden="false" customHeight="true" outlineLevel="0" collapsed="false">
      <c r="B632" s="155" t="s">
        <v>1651</v>
      </c>
    </row>
    <row r="634" customFormat="false" ht="15" hidden="false" customHeight="true" outlineLevel="0" collapsed="false">
      <c r="B634" s="155" t="s">
        <v>1652</v>
      </c>
    </row>
    <row r="638" customFormat="false" ht="15" hidden="false" customHeight="true" outlineLevel="0" collapsed="false">
      <c r="B638" s="155" t="s">
        <v>1653</v>
      </c>
    </row>
    <row r="640" customFormat="false" ht="15" hidden="false" customHeight="true" outlineLevel="0" collapsed="false">
      <c r="B640" s="260" t="s">
        <v>1654</v>
      </c>
    </row>
    <row r="641" customFormat="false" ht="15" hidden="false" customHeight="true" outlineLevel="0" collapsed="false">
      <c r="B641" s="260" t="s">
        <v>1655</v>
      </c>
    </row>
    <row r="643" customFormat="false" ht="15" hidden="false" customHeight="true" outlineLevel="0" collapsed="false">
      <c r="B643" s="155" t="s">
        <v>1656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2026-07-04T13:49:19Z</dcterms:created>
  <dc:creator>openpyxl</dc:creator>
  <dc:description/>
  <dc:language>en-US</dc:language>
  <cp:lastModifiedBy>maciek szczech</cp:lastModifiedBy>
  <dcterms:modified xsi:type="dcterms:W3CDTF">2026-09-21T12:32:14Z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