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E1A9335D-3B9C-0A47-A727-E762031BDB4A}" xr6:coauthVersionLast="47" xr6:coauthVersionMax="47" xr10:uidLastSave="{00000000-0000-0000-0000-000000000000}"/>
  <bookViews>
    <workbookView xWindow="1600" yWindow="660" windowWidth="32960" windowHeight="20400" firstSheet="5" activeTab="11" xr2:uid="{00000000-000D-0000-FFFF-FFFF00000000}"/>
  </bookViews>
  <sheets>
    <sheet name="START HERE" sheetId="1" r:id="rId1"/>
    <sheet name="Change Notes" sheetId="2" r:id="rId2"/>
    <sheet name="Client Preparation EN" sheetId="3" r:id="rId3"/>
    <sheet name="Client Preparation DE" sheetId="4" r:id="rId4"/>
    <sheet name="Conversation Guide EN" sheetId="5" r:id="rId5"/>
    <sheet name="Conversation Guide DE" sheetId="6" r:id="rId6"/>
    <sheet name="Process Capture" sheetId="7" r:id="rId7"/>
    <sheet name="Opportunity Shortlist" sheetId="8" r:id="rId8"/>
    <sheet name="Scope &amp; Boundary" sheetId="9" r:id="rId9"/>
    <sheet name="Pricing Bridge" sheetId="10" r:id="rId10"/>
    <sheet name="Branch Prompts" sheetId="11" r:id="rId11"/>
    <sheet name="Pattern Map" sheetId="12" r:id="rId12"/>
    <sheet name="Discovery Record" sheetId="13" r:id="rId13"/>
    <sheet name="Field Guide"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0" l="1"/>
  <c r="B45" i="13" s="1"/>
  <c r="M10" i="8"/>
  <c r="L10" i="8"/>
  <c r="K10" i="8"/>
  <c r="M9" i="8"/>
  <c r="L9" i="8"/>
  <c r="K9" i="8"/>
  <c r="M8" i="8"/>
  <c r="L8" i="8"/>
  <c r="K8" i="8"/>
  <c r="M7" i="8"/>
  <c r="L7" i="8"/>
  <c r="K7" i="8"/>
  <c r="M6" i="8"/>
  <c r="L6" i="8"/>
  <c r="K6" i="8"/>
</calcChain>
</file>

<file path=xl/sharedStrings.xml><?xml version="1.0" encoding="utf-8"?>
<sst xmlns="http://schemas.openxmlformats.org/spreadsheetml/2006/main" count="839" uniqueCount="684">
  <si>
    <t>VortexDeep — Phase 1 Discovery Master v08</t>
  </si>
  <si>
    <t>Problem-led discovery across VortexDeep's full offer. Start with the client's real operating problem; consider automation and pricing only after the process is understood.</t>
  </si>
  <si>
    <t>Purpose and working rule</t>
  </si>
  <si>
    <t>Use this workbook to understand one or more client problems, select the best first process, define the human/automation boundary and transfer confirmed scope facts into Pricing Calculator v27. Do not diagnose from email volume, channel count or a preselected package.</t>
  </si>
  <si>
    <t>Recommended flow</t>
  </si>
  <si>
    <t>Step</t>
  </si>
  <si>
    <t>Sheet</t>
  </si>
  <si>
    <t>Use when</t>
  </si>
  <si>
    <t>Outcome</t>
  </si>
  <si>
    <t>Client-facing?</t>
  </si>
  <si>
    <t>Input colour</t>
  </si>
  <si>
    <t>Typical time</t>
  </si>
  <si>
    <t>Rule</t>
  </si>
  <si>
    <t>0</t>
  </si>
  <si>
    <t>Client Preparation EN / DE</t>
  </si>
  <si>
    <t>Optional, 1–3 days before the call</t>
  </si>
  <si>
    <t>Basic context and one recent problem example</t>
  </si>
  <si>
    <t>Yes</t>
  </si>
  <si>
    <t>Green</t>
  </si>
  <si>
    <t>5–10 min</t>
  </si>
  <si>
    <t>Keep it short</t>
  </si>
  <si>
    <t>1</t>
  </si>
  <si>
    <t>Conversation Guide EN / DE</t>
  </si>
  <si>
    <t>Live discovery call</t>
  </si>
  <si>
    <t>Problem, current process, impact and desired result</t>
  </si>
  <si>
    <t>35–50 min</t>
  </si>
  <si>
    <t>Ask eight core questions</t>
  </si>
  <si>
    <t>2</t>
  </si>
  <si>
    <t>Process Capture</t>
  </si>
  <si>
    <t>During or directly after the call</t>
  </si>
  <si>
    <t>One factual current-state process map</t>
  </si>
  <si>
    <t>Internal</t>
  </si>
  <si>
    <t>Green / Blue</t>
  </si>
  <si>
    <t>10–15 min</t>
  </si>
  <si>
    <t>Use the client's words</t>
  </si>
  <si>
    <t>3</t>
  </si>
  <si>
    <t>Opportunity Shortlist</t>
  </si>
  <si>
    <t>If more than one process appears</t>
  </si>
  <si>
    <t>Value/fit comparison without artificial percentages</t>
  </si>
  <si>
    <t>Yellow / Blue</t>
  </si>
  <si>
    <t>Select one first target</t>
  </si>
  <si>
    <t>4</t>
  </si>
  <si>
    <t>Scope &amp; Boundary</t>
  </si>
  <si>
    <t>After the first target is agreed</t>
  </si>
  <si>
    <t>MVP in/out, human gates, risks and acceptance</t>
  </si>
  <si>
    <t>Internal / confirm with client</t>
  </si>
  <si>
    <t>15–25 min</t>
  </si>
  <si>
    <t>Boundary before solution</t>
  </si>
  <si>
    <t>5</t>
  </si>
  <si>
    <t>Pricing Bridge</t>
  </si>
  <si>
    <t>After scope is stable</t>
  </si>
  <si>
    <t>Inputs ready for Pricing Calculator v27</t>
  </si>
  <si>
    <t>Yellow</t>
  </si>
  <si>
    <t>Price follows scope</t>
  </si>
  <si>
    <t>6</t>
  </si>
  <si>
    <t>Discovery Record</t>
  </si>
  <si>
    <t>End of Phase 1</t>
  </si>
  <si>
    <t>Compact internal conclusion and next step</t>
  </si>
  <si>
    <t>Blue</t>
  </si>
  <si>
    <t>10 min</t>
  </si>
  <si>
    <t>Record evidence and unknowns</t>
  </si>
  <si>
    <t>Discovery principles</t>
  </si>
  <si>
    <t>#</t>
  </si>
  <si>
    <t>Principle</t>
  </si>
  <si>
    <t>Why it matters</t>
  </si>
  <si>
    <t>Begin with a recent real example</t>
  </si>
  <si>
    <t>A real case reveals the actual trigger, steps, hand-offs, decisions and exceptions.</t>
  </si>
  <si>
    <t>Understand impact before proposing automation</t>
  </si>
  <si>
    <t>Time, delay, mistakes, risk, missed revenue or poor customer experience establish value.</t>
  </si>
  <si>
    <t>Use the 19-area catalogue only as an internal prompt</t>
  </si>
  <si>
    <t>Do not read a product checklist to the client or force the problem into a category too early.</t>
  </si>
  <si>
    <t>Select one first process</t>
  </si>
  <si>
    <t>The MVP should be the smallest useful and safe change, not the full future system.</t>
  </si>
  <si>
    <t>Separate three decisions</t>
  </si>
  <si>
    <t>Use case/problem area; technical complexity; commercial access/support model.</t>
  </si>
  <si>
    <t>Make uncertainty visible</t>
  </si>
  <si>
    <t>Unknown access, data, rules or exceptions become follow-up actions—not assumptions.</t>
  </si>
  <si>
    <t>Colour legend</t>
  </si>
  <si>
    <t>Colour</t>
  </si>
  <si>
    <t>Meaning</t>
  </si>
  <si>
    <t>When to edit</t>
  </si>
  <si>
    <t>Grey</t>
  </si>
  <si>
    <t>Fixed guidance / reference</t>
  </si>
  <si>
    <t>Normally do not edit</t>
  </si>
  <si>
    <t>Client answer or live factual notes</t>
  </si>
  <si>
    <t>During preparation or call</t>
  </si>
  <si>
    <t>PM interpretation / decision</t>
  </si>
  <si>
    <t>After the call</t>
  </si>
  <si>
    <t>Internal selection / pricing input</t>
  </si>
  <si>
    <t>After scope is understood</t>
  </si>
  <si>
    <t>Pink</t>
  </si>
  <si>
    <t>Commercial/internal caution</t>
  </si>
  <si>
    <t>Never present as an automatic client conclusion</t>
  </si>
  <si>
    <t>Discovery Master v08 — Change Notes</t>
  </si>
  <si>
    <t>This version is a rebuild, not a wording patch. It supersedes the email-led v06/v07 discovery logic while retaining the useful human-control and audit principles.</t>
  </si>
  <si>
    <t>What changed</t>
  </si>
  <si>
    <t>Area</t>
  </si>
  <si>
    <t>Earlier structure</t>
  </si>
  <si>
    <t>v08 structure</t>
  </si>
  <si>
    <t>Reason</t>
  </si>
  <si>
    <t>Impact</t>
  </si>
  <si>
    <t>Status</t>
  </si>
  <si>
    <t>Starting point</t>
  </si>
  <si>
    <t>Messages, channels and replies introduced early</t>
  </si>
  <si>
    <t>Client problem and recent real process example</t>
  </si>
  <si>
    <t>Avoid assuming the solution</t>
  </si>
  <si>
    <t>Works across all 19 subprocesses</t>
  </si>
  <si>
    <t>Rebuilt</t>
  </si>
  <si>
    <t>Client preparation</t>
  </si>
  <si>
    <t>15 questions</t>
  </si>
  <si>
    <t>5 neutral questions</t>
  </si>
  <si>
    <t>Reduce fatigue and leading language</t>
  </si>
  <si>
    <t>Client can answer quickly</t>
  </si>
  <si>
    <t>Live meeting</t>
  </si>
  <si>
    <t>24-step interview script</t>
  </si>
  <si>
    <t>8 core questions + optional branch prompts</t>
  </si>
  <si>
    <t>Sound more natural and listen first</t>
  </si>
  <si>
    <t>35–50 minute conversation</t>
  </si>
  <si>
    <t>Diagnostic</t>
  </si>
  <si>
    <t>Package inferred mainly from message/channel variables</t>
  </si>
  <si>
    <t>Opportunity value/fit + explicit scope facts</t>
  </si>
  <si>
    <t>Category and package are different decisions</t>
  </si>
  <si>
    <t>No hidden package assumption</t>
  </si>
  <si>
    <t>Primary type</t>
  </si>
  <si>
    <t>Q0 category did not drive the package formula</t>
  </si>
  <si>
    <t>19 subareas are reference prompts; selected process is recorded directly</t>
  </si>
  <si>
    <t>Remove formula inconsistency</t>
  </si>
  <si>
    <t>Traceable process choice</t>
  </si>
  <si>
    <t>Corrected</t>
  </si>
  <si>
    <t>Master record</t>
  </si>
  <si>
    <t>67-row checklist with many email-specific questions</t>
  </si>
  <si>
    <t>Compact process capture, boundary and final record</t>
  </si>
  <si>
    <t>Separate live conversation from internal documentation</t>
  </si>
  <si>
    <t>Less duplication</t>
  </si>
  <si>
    <t>Pricing</t>
  </si>
  <si>
    <t>Discovery package logic mixed use case and service model</t>
  </si>
  <si>
    <t>Pricing Bridge maps confirmed scope to v27 fields</t>
  </si>
  <si>
    <t>Auditable transfer</t>
  </si>
  <si>
    <t>Aligned</t>
  </si>
  <si>
    <t>Front-door services</t>
  </si>
  <si>
    <t>Not distinguished</t>
  </si>
  <si>
    <t>AISR / AIWSC routed separately from core automation discovery</t>
  </si>
  <si>
    <t>Different engagement type</t>
  </si>
  <si>
    <t>Avoid forcing them into automation packages</t>
  </si>
  <si>
    <t>Added</t>
  </si>
  <si>
    <t>Version and source alignment</t>
  </si>
  <si>
    <t>Reference</t>
  </si>
  <si>
    <t>Used for</t>
  </si>
  <si>
    <t>Notes</t>
  </si>
  <si>
    <t>AI_Automation_PM_Phase1_Discovery_MASTER_v06.xlsx</t>
  </si>
  <si>
    <t>Original workbook structure and visual language</t>
  </si>
  <si>
    <t>Attached source</t>
  </si>
  <si>
    <t>Repository Phase 1 v7</t>
  </si>
  <si>
    <t>19-area Q0 update</t>
  </si>
  <si>
    <t>v7 changed the list but not the discovery logic</t>
  </si>
  <si>
    <t>AI_Automation_PM_Helper_Pricing_Calculator_v27.xlsx</t>
  </si>
  <si>
    <t>Catalogue, packages, complexity fields, access and support models</t>
  </si>
  <si>
    <t>Commercial reference for Pricing Bridge</t>
  </si>
  <si>
    <t>https://github.com/msmaciej/VD_docu</t>
  </si>
  <si>
    <t>Repository context</t>
  </si>
  <si>
    <t>Canonical project repository</t>
  </si>
  <si>
    <t>https://github.com/msmaciej/VD_docu/blob/main/VDd_processes/CHANGELOG_framework_update.md</t>
  </si>
  <si>
    <t>Framework update evidence</t>
  </si>
  <si>
    <t>Describes v6→v7 as a Q0 list extension</t>
  </si>
  <si>
    <t>Short Preparation for the Discovery Meeting</t>
  </si>
  <si>
    <t>Short bullet points are enough. You do not need to define a solution. We want to understand the current problem and one concrete example.</t>
  </si>
  <si>
    <t>Question</t>
  </si>
  <si>
    <t>Hint</t>
  </si>
  <si>
    <t>Your answer</t>
  </si>
  <si>
    <t>What does your business do, and for whom?</t>
  </si>
  <si>
    <t>One or two sentences are enough.</t>
  </si>
  <si>
    <t>What made you want to look at this now?</t>
  </si>
  <si>
    <t>For example: growing effort, delays, mistakes, missed requests or poor visibility.</t>
  </si>
  <si>
    <t>Think of one recent real example: what work was unnecessarily slow, repetitive or error-prone? What happened?</t>
  </si>
  <si>
    <t>Describe one case from the beginning to the result.</t>
  </si>
  <si>
    <t>What would need to be visibly better within three months for the project to be worthwhile?</t>
  </si>
  <si>
    <t>For example: less handling time, fewer mistakes, faster response or better follow-up.</t>
  </si>
  <si>
    <t>Is there anything important we should know before the call?</t>
  </si>
  <si>
    <t>For example: deadline, privacy rules, existing systems, access limits or previous attempts.</t>
  </si>
  <si>
    <t>Kurze Vorbereitung auf das Discovery-Gespräch</t>
  </si>
  <si>
    <t>Kurze Stichpunkte genügen. Es geht nicht darum, bereits eine Lösung zu definieren. Wir möchten Ihr aktuelles Problem und ein konkretes Beispiel verstehen.</t>
  </si>
  <si>
    <t>Frage</t>
  </si>
  <si>
    <t>Hinweis</t>
  </si>
  <si>
    <t>Ihre Antwort</t>
  </si>
  <si>
    <t>Was macht Ihr Unternehmen, und für wen?</t>
  </si>
  <si>
    <t>Ein bis zwei Sätze genügen.</t>
  </si>
  <si>
    <t>Was hat Sie dazu veranlasst, dieses Thema gerade jetzt anzuschauen?</t>
  </si>
  <si>
    <t>Zum Beispiel: wachsender Aufwand, Verzögerungen, Fehler, verpasste Anfragen oder fehlende Übersicht.</t>
  </si>
  <si>
    <t>Denken Sie an ein konkretes aktuelles Beispiel: Welche Arbeit war unnötig langsam, wiederholend oder fehleranfällig? Was ist passiert?</t>
  </si>
  <si>
    <t>Bitte beschreiben Sie einen realen Fall – vom Beginn bis zum Ergebnis.</t>
  </si>
  <si>
    <t>Was müsste sich in den nächsten drei Monaten sichtbar verbessern, damit sich das Projekt lohnt?</t>
  </si>
  <si>
    <t>Zum Beispiel: weniger Bearbeitungszeit, weniger Fehler, schnellere Reaktion oder bessere Nachverfolgung.</t>
  </si>
  <si>
    <t>Gibt es vorab etwas Wichtiges, das wir wissen sollten?</t>
  </si>
  <si>
    <t>Zum Beispiel: Frist, Datenschutz, bestehende Systeme, Zugriffsgrenzen oder frühere Versuche.</t>
  </si>
  <si>
    <t>Discovery Conversation — Natural Guide</t>
  </si>
  <si>
    <t>This is not a script to read aloud. Ask the eight core questions naturally, listen, and use the optional prompts only when needed.</t>
  </si>
  <si>
    <t>Suggested opening</t>
  </si>
  <si>
    <t>Thanks for your time. I’d first like to understand where work gets stuck, repeated or takes unnecessary effort. Then we can see whether a small automation would help, what a sensible first step could be, and what should remain human.</t>
  </si>
  <si>
    <t>Eight core questions</t>
  </si>
  <si>
    <t>Stage</t>
  </si>
  <si>
    <t>Core question</t>
  </si>
  <si>
    <t>Optional prompts</t>
  </si>
  <si>
    <t>Quick notes (LIVE)</t>
  </si>
  <si>
    <t>Open questions</t>
  </si>
  <si>
    <t>Reason now</t>
  </si>
  <si>
    <t>What made this worth discussing now?</t>
  </si>
  <si>
    <t>What changed? Why now rather than later?</t>
  </si>
  <si>
    <t>Problem</t>
  </si>
  <si>
    <t>Which part of the work causes the most repeated effort, delay, mistakes or missed opportunities?</t>
  </si>
  <si>
    <t>Who notices the problem first? Who carries the extra work?</t>
  </si>
  <si>
    <t>Real example</t>
  </si>
  <si>
    <t>Can you walk me through the last real case—from the trigger to the final result?</t>
  </si>
  <si>
    <t>What happened first? Who did what? Which systems were used? Where were the hand-offs?</t>
  </si>
  <si>
    <t>Bottleneck</t>
  </si>
  <si>
    <t>Where did it become slow, unclear or error-prone, and who was affected?</t>
  </si>
  <si>
    <t>Waiting, searching, copying, chasing, approvals, missing information or exceptions?</t>
  </si>
  <si>
    <t>How often does this happen, and what effect does it have on time, cost, risk, revenue or customers?</t>
  </si>
  <si>
    <t>If exact numbers are unavailable: daily, weekly or monthly? Minor, noticeable or critical?</t>
  </si>
  <si>
    <t>Previous attempts</t>
  </si>
  <si>
    <t>What have you already tried, and why is it not enough?</t>
  </si>
  <si>
    <t>Templates, extra people, spreadsheets, existing software or earlier automation?</t>
  </si>
  <si>
    <t>Desired result</t>
  </si>
  <si>
    <t>What would be visibly better three months from now if we solved this well?</t>
  </si>
  <si>
    <t>What would the process owner or customer actually notice?</t>
  </si>
  <si>
    <t>First step</t>
  </si>
  <si>
    <t>Which single step would be the best place to start, and which decisions must remain human?</t>
  </si>
  <si>
    <t>What should be explicitly outside version 1? What should happen when the system is unsure?</t>
  </si>
  <si>
    <t>Close and reflect back</t>
  </si>
  <si>
    <t>Summary</t>
  </si>
  <si>
    <t>If I understood correctly, the main problem is … The current process is … The main impact is … A sensible first step may be … while … remains human.</t>
  </si>
  <si>
    <t>Confirm</t>
  </si>
  <si>
    <t>Have I understood that correctly? What is missing or different?</t>
  </si>
  <si>
    <t>Next step</t>
  </si>
  <si>
    <t>Who decides, what information is still missing, and when should we review the first scope summary?</t>
  </si>
  <si>
    <t>Discovery-Gespräch — natürlicher Leitfaden</t>
  </si>
  <si>
    <t>Dies ist kein vorzulesendes Skript. Stellen Sie die acht Kernfragen in natürlicher Reihenfolge, hören Sie zu und verwenden Sie Zusatzfragen nur wenn nötig.</t>
  </si>
  <si>
    <t>Möglicher Einstieg</t>
  </si>
  <si>
    <t>Danke für Ihre Zeit. Ich möchte zuerst verstehen, wo Arbeit stecken bleibt, sich wiederholt oder unnötig Aufwand verursacht. Danach können wir gemeinsam prüfen, ob eine kleine Automatisierung sinnvoll wäre, was ein guter erster Schritt sein könnte und was weiterhin beim Menschen bleiben soll.</t>
  </si>
  <si>
    <t>Acht Kernfragen</t>
  </si>
  <si>
    <t>Phase</t>
  </si>
  <si>
    <t>Kernfrage</t>
  </si>
  <si>
    <t>Optionale Vertiefung</t>
  </si>
  <si>
    <t>Kurze Notizen (LIVE)</t>
  </si>
  <si>
    <t>Offene Fragen</t>
  </si>
  <si>
    <t>Anlass</t>
  </si>
  <si>
    <t>Warum lohnt es sich, dieses Thema gerade jetzt anzuschauen?</t>
  </si>
  <si>
    <t>Was hat sich verändert? Warum jetzt und nicht später?</t>
  </si>
  <si>
    <t>Welcher Teil der Arbeit verursacht am meisten Wiederholung, Verzögerung, Fehler oder verpasste Chancen?</t>
  </si>
  <si>
    <t>Wer bemerkt das Problem zuerst? Wer trägt die zusätzliche Arbeit?</t>
  </si>
  <si>
    <t>Konkretes Beispiel</t>
  </si>
  <si>
    <t>Können Sie mich durch den letzten realen Fall führen – vom Auslöser bis zum Ergebnis?</t>
  </si>
  <si>
    <t>Was kam zuerst? Wer tat was? Welche Systeme wurden verwendet? Wo gab es Übergaben?</t>
  </si>
  <si>
    <t>Engpass</t>
  </si>
  <si>
    <t>Wo wurde es langsam, unklar oder fehlerhaft, und wer war davon betroffen?</t>
  </si>
  <si>
    <t>Warten, Suchen, Kopieren, Rückfragen, Freigaben, fehlende Informationen oder Ausnahmen?</t>
  </si>
  <si>
    <t>Auswirkung</t>
  </si>
  <si>
    <t>Wie häufig passiert das, und welche Auswirkung hat es auf Zeit, Kosten, Risiko, Umsatz oder Kunden?</t>
  </si>
  <si>
    <t>Wenn genaue Zahlen fehlen: eher täglich, wöchentlich oder monatlich? Klein, spürbar oder kritisch?</t>
  </si>
  <si>
    <t>Bisherige Versuche</t>
  </si>
  <si>
    <t>Was haben Sie bereits versucht, und warum reicht es nicht aus?</t>
  </si>
  <si>
    <t>Vorlagen, zusätzliche Personen, Tabellen, bestehende Software oder frühere Automatisierung?</t>
  </si>
  <si>
    <t>Ergebnis</t>
  </si>
  <si>
    <t>Was wäre in drei Monaten sichtbar besser, wenn wir dieses Problem gut lösen?</t>
  </si>
  <si>
    <t>Welche Veränderung würde der Prozessverantwortliche oder Kunde tatsächlich bemerken?</t>
  </si>
  <si>
    <t>Erster Schritt</t>
  </si>
  <si>
    <t>Welcher einzelne Schritt wäre der sinnvollste Anfang, und welche Entscheidungen müssen beim Menschen bleiben?</t>
  </si>
  <si>
    <t>Was gehört ausdrücklich nicht in Version 1? Was soll bei Unsicherheit passieren?</t>
  </si>
  <si>
    <t>Abschluss und Rückspiegelung</t>
  </si>
  <si>
    <t>Zusammenfassung</t>
  </si>
  <si>
    <t>Wenn ich Sie richtig verstanden habe, ist das Hauptproblem … Der heutige Ablauf ist … Die wichtigste Auswirkung ist … Ein sinnvoller erster Schritt könnte … sein, während … beim Menschen bleibt.</t>
  </si>
  <si>
    <t>Bestätigung</t>
  </si>
  <si>
    <t>Habe ich das richtig verstanden? Was fehlt oder ist anders?</t>
  </si>
  <si>
    <t>Nächster Schritt</t>
  </si>
  <si>
    <t>Wer entscheidet, welche Informationen fehlen noch, und wann sollen wir die erste Scope-Zusammenfassung besprechen?</t>
  </si>
  <si>
    <t>Current Process Capture — One Candidate Process</t>
  </si>
  <si>
    <t>Capture facts from one real example. Use the client's words in green; add PM interpretation only after the conversation in blue.</t>
  </si>
  <si>
    <t>Meeting and process identification</t>
  </si>
  <si>
    <t>Field</t>
  </si>
  <si>
    <t>Client / live input</t>
  </si>
  <si>
    <t>Guidance</t>
  </si>
  <si>
    <t>Client</t>
  </si>
  <si>
    <t>Business or team name</t>
  </si>
  <si>
    <t>Meeting date</t>
  </si>
  <si>
    <t>Use yyyy-mm-dd</t>
  </si>
  <si>
    <t>Process owner</t>
  </si>
  <si>
    <t>Person accountable for the current process</t>
  </si>
  <si>
    <t>Candidate process name</t>
  </si>
  <si>
    <t>Short practical name; avoid solution names</t>
  </si>
  <si>
    <t>Closest VortexDeep subarea</t>
  </si>
  <si>
    <t>Select only after hearing the problem</t>
  </si>
  <si>
    <t>Primary automation pattern(s)</t>
  </si>
  <si>
    <t>Internal lens, not a client diagnosis</t>
  </si>
  <si>
    <t>Current-state facts</t>
  </si>
  <si>
    <t>Problem in the client's words</t>
  </si>
  <si>
    <t>Do not rewrite as an automation requirement yet</t>
  </si>
  <si>
    <t>Recent real example</t>
  </si>
  <si>
    <t>What actually happened from beginning to result</t>
  </si>
  <si>
    <t>Trigger / source</t>
  </si>
  <si>
    <t>What starts the process? Event, request, schedule or threshold</t>
  </si>
  <si>
    <t>People and roles</t>
  </si>
  <si>
    <t>Who performs, approves, waits or receives the output</t>
  </si>
  <si>
    <t>Current steps and hand-offs</t>
  </si>
  <si>
    <t>Describe the sequence, including manual transfers</t>
  </si>
  <si>
    <t>Systems, files and data</t>
  </si>
  <si>
    <t>Tools used; where information enters and leaves</t>
  </si>
  <si>
    <t>Decision points and rules</t>
  </si>
  <si>
    <t>What is checked or decided? Is judgment required?</t>
  </si>
  <si>
    <t>Exceptions and variations</t>
  </si>
  <si>
    <t>What does not follow the normal path?</t>
  </si>
  <si>
    <t>Final output / destination</t>
  </si>
  <si>
    <t>What must exist at the end, and where?</t>
  </si>
  <si>
    <t>Frequency / volume</t>
  </si>
  <si>
    <t>Per day, week or month; use ranges if uncertain</t>
  </si>
  <si>
    <t>Current effort / delay</t>
  </si>
  <si>
    <t>Time per case, waiting time or number of hand-offs</t>
  </si>
  <si>
    <t>Impact if unchanged</t>
  </si>
  <si>
    <t>Time, cost, risk, revenue, quality or customer impact</t>
  </si>
  <si>
    <t>Previous attempts / workaround</t>
  </si>
  <si>
    <t>What was tried and why it is insufficient</t>
  </si>
  <si>
    <t>Evidence available</t>
  </si>
  <si>
    <t>Samples, reports, screenshots, SOPs, logs or estimates</t>
  </si>
  <si>
    <t>Candidate first target</t>
  </si>
  <si>
    <t>Desired visible result</t>
  </si>
  <si>
    <t>What should be better within roughly three months?</t>
  </si>
  <si>
    <t>Best first step</t>
  </si>
  <si>
    <t>Smallest useful and safe process improvement</t>
  </si>
  <si>
    <t>What must stay human</t>
  </si>
  <si>
    <t>Decisions, approvals, relationships or judgment</t>
  </si>
  <si>
    <t>Explicitly outside version 1</t>
  </si>
  <si>
    <t>Prevent overbuilding</t>
  </si>
  <si>
    <t>Unknowns to confirm</t>
  </si>
  <si>
    <t>Access, data, rules, owner, volume or exceptions</t>
  </si>
  <si>
    <t>Opportunity Shortlist — Compare Candidate Processes</t>
  </si>
  <si>
    <t>Use only when more than one process appears. This is a transparent value/fit view, not a scientific score or automatic sales decision.</t>
  </si>
  <si>
    <t>Candidate comparison</t>
  </si>
  <si>
    <t>ID</t>
  </si>
  <si>
    <t>Process / problem</t>
  </si>
  <si>
    <t>Business impact</t>
  </si>
  <si>
    <t>Recurrence</t>
  </si>
  <si>
    <t>Current effort</t>
  </si>
  <si>
    <t>Risk if unchanged</t>
  </si>
  <si>
    <t>Process clarity</t>
  </si>
  <si>
    <t>Access / data readiness</t>
  </si>
  <si>
    <t>Automation risk</t>
  </si>
  <si>
    <t>First-step size</t>
  </si>
  <si>
    <t>Value signal</t>
  </si>
  <si>
    <t>Delivery fit</t>
  </si>
  <si>
    <t>Priority view</t>
  </si>
  <si>
    <t>Decision</t>
  </si>
  <si>
    <t>Notes / evidence</t>
  </si>
  <si>
    <t>P1</t>
  </si>
  <si>
    <t>Medium</t>
  </si>
  <si>
    <t>Weekly</t>
  </si>
  <si>
    <t>Unknown</t>
  </si>
  <si>
    <t>Investigate</t>
  </si>
  <si>
    <t>P2</t>
  </si>
  <si>
    <t>P3</t>
  </si>
  <si>
    <t>P4</t>
  </si>
  <si>
    <t>P5</t>
  </si>
  <si>
    <t>How to interpret the view</t>
  </si>
  <si>
    <t>Output</t>
  </si>
  <si>
    <t>PM action</t>
  </si>
  <si>
    <t>Strong candidate</t>
  </si>
  <si>
    <t>Clear business value and a manageable first step</t>
  </si>
  <si>
    <t>Take to Scope &amp; Boundary</t>
  </si>
  <si>
    <t>Possible candidate</t>
  </si>
  <si>
    <t>Some value and workable fit, but not clearly strongest</t>
  </si>
  <si>
    <t>Compare evidence and client priority</t>
  </si>
  <si>
    <t>Investigate first</t>
  </si>
  <si>
    <t>Blocked access, high automation risk or an oversized first step</t>
  </si>
  <si>
    <t>Resolve unknowns or reduce scope</t>
  </si>
  <si>
    <t>Low priority</t>
  </si>
  <si>
    <t>Limited recurring value or weak process fit</t>
  </si>
  <si>
    <t>Do not force automation</t>
  </si>
  <si>
    <t>MVP Scope &amp; Automation Boundary</t>
  </si>
  <si>
    <t>Complete this after one candidate process is selected. Confirm what the first version does, what a person approves, and what remains outside scope.</t>
  </si>
  <si>
    <t>Selected problem and MVP result</t>
  </si>
  <si>
    <t>Confirmed value</t>
  </si>
  <si>
    <t>Evidence / source</t>
  </si>
  <si>
    <t>Open question</t>
  </si>
  <si>
    <t>Owner / action</t>
  </si>
  <si>
    <t>Selected process / problem</t>
  </si>
  <si>
    <t>MVP starts when…</t>
  </si>
  <si>
    <t>MVP ends when…</t>
  </si>
  <si>
    <t>Included in version 1</t>
  </si>
  <si>
    <t>Explicitly excluded</t>
  </si>
  <si>
    <t>Success measure</t>
  </si>
  <si>
    <t>MVP process shape</t>
  </si>
  <si>
    <t>Confirmed MVP behaviour</t>
  </si>
  <si>
    <t>System / source</t>
  </si>
  <si>
    <t>Human role</t>
  </si>
  <si>
    <t>Fallback / exception</t>
  </si>
  <si>
    <t>1. Trigger</t>
  </si>
  <si>
    <t>2. Capture</t>
  </si>
  <si>
    <t>3. Classify / decide / validate</t>
  </si>
  <si>
    <t>4. Draft / recommend / act</t>
  </si>
  <si>
    <t>5. Route / notify / file / log</t>
  </si>
  <si>
    <t>Automation boundary matrix</t>
  </si>
  <si>
    <t>Action type</t>
  </si>
  <si>
    <t>Boundary</t>
  </si>
  <si>
    <t>Approval / owner</t>
  </si>
  <si>
    <t>Fallback when unsure</t>
  </si>
  <si>
    <t>Capture or copy information</t>
  </si>
  <si>
    <t>Automate</t>
  </si>
  <si>
    <t>Classify or route</t>
  </si>
  <si>
    <t>Prepare for human</t>
  </si>
  <si>
    <t>Extract or validate data</t>
  </si>
  <si>
    <t>Draft or recommend</t>
  </si>
  <si>
    <t>Notify or remind</t>
  </si>
  <si>
    <t>Update a record or status</t>
  </si>
  <si>
    <t>Send / publish externally</t>
  </si>
  <si>
    <t>Human only</t>
  </si>
  <si>
    <t>Financial, legal, HR or safety decision</t>
  </si>
  <si>
    <t>Delete or irreversible action</t>
  </si>
  <si>
    <t>Risk, access and acceptance</t>
  </si>
  <si>
    <t>Required action</t>
  </si>
  <si>
    <t>Data sensitivity and location</t>
  </si>
  <si>
    <t>Worst credible error consequence</t>
  </si>
  <si>
    <t>Failure notification and recovery</t>
  </si>
  <si>
    <t>Audit / log requirement</t>
  </si>
  <si>
    <t>Retention / deletion requirement</t>
  </si>
  <si>
    <t>System access / OAuth / API feasibility</t>
  </si>
  <si>
    <t>Samples and test cases available</t>
  </si>
  <si>
    <t>Client owner and sign-off person</t>
  </si>
  <si>
    <t>Acceptance criteria</t>
  </si>
  <si>
    <t>Pricing Bridge — Confirmed Scope → Calculator v27</t>
  </si>
  <si>
    <t>Complete only after Scope &amp; Boundary. This sheet does not calculate price; it prepares auditable inputs for Pricing Calculator v27.</t>
  </si>
  <si>
    <t>Engagement and scope</t>
  </si>
  <si>
    <t>v27 field / decision</t>
  </si>
  <si>
    <t>Value</t>
  </si>
  <si>
    <t>Engagement type</t>
  </si>
  <si>
    <t>Core Automation</t>
  </si>
  <si>
    <t>Core Automation / AISR / AIWSC / Other. Front-door tools use their dedicated pricing sheet.</t>
  </si>
  <si>
    <t>Selected client problem / subarea</t>
  </si>
  <si>
    <t>Use the closest subarea after the process is understood.</t>
  </si>
  <si>
    <t>Primary pattern(s)</t>
  </si>
  <si>
    <t>Capture, classify, draft, extract, schedule, report, monitor or sync.</t>
  </si>
  <si>
    <t>MVP outcome</t>
  </si>
  <si>
    <t>Describe the useful result, not the technology.</t>
  </si>
  <si>
    <t>Selected v27 scope package</t>
  </si>
  <si>
    <t>Choose from Pricing Calculator v27. Category alone never determines package.</t>
  </si>
  <si>
    <t>Access / ownership model</t>
  </si>
  <si>
    <t>Managed service</t>
  </si>
  <si>
    <t>Managed service / Logic visibility / Limited admin / Client-owned workspace / Build-and-transfer.</t>
  </si>
  <si>
    <t>Support model</t>
  </si>
  <si>
    <t>Normal managed support</t>
  </si>
  <si>
    <t>No support / Light / Normal / High-responsibility / Premium transfer / Critical.</t>
  </si>
  <si>
    <t>Complexity inputs copied into v27 Quote Calculator</t>
  </si>
  <si>
    <t>v27 input</t>
  </si>
  <si>
    <t>Evidence / count rule</t>
  </si>
  <si>
    <t>Confirmed by</t>
  </si>
  <si>
    <t>Extra data sources / triggers count</t>
  </si>
  <si>
    <t>Additional source beyond the primary source included in the package</t>
  </si>
  <si>
    <t>AI generation steps count</t>
  </si>
  <si>
    <t>Each distinct AI generation type; classification may be rule-based or AI</t>
  </si>
  <si>
    <t>CRM / database integrations count</t>
  </si>
  <si>
    <t>Count per external system, not per module</t>
  </si>
  <si>
    <t>Approval workflows count</t>
  </si>
  <si>
    <t>Count each separate route that pauses for human review</t>
  </si>
  <si>
    <t>Reporting layer count</t>
  </si>
  <si>
    <t>0 or 1 unless multiple distinct dashboards are explicitly scoped</t>
  </si>
  <si>
    <t>Sensitive data multiplier</t>
  </si>
  <si>
    <t>1 normal; 1.3 confidential business; 1.5 GDPR-sensitive; 1.7 health/identity</t>
  </si>
  <si>
    <t>Urgency multiplier</t>
  </si>
  <si>
    <t>1 normal; 1.2–1.5 only for compressed delivery</t>
  </si>
  <si>
    <t>Manual custom setup add (CHF)</t>
  </si>
  <si>
    <t>Only costs not covered by package/adders</t>
  </si>
  <si>
    <t>Manual custom monthly add (CHF)</t>
  </si>
  <si>
    <t>Operational pass-through only if a fixed budget is required</t>
  </si>
  <si>
    <t>Assumptions and exclusions</t>
  </si>
  <si>
    <t>State anything not yet confirmed</t>
  </si>
  <si>
    <t>Transfer readiness</t>
  </si>
  <si>
    <t>Important: Managed Operations is a scope package, while support model and access/ownership are separate commercial decisions. High volume alone does not automatically mean Managed. Agentic is used only when bounded multi-step actions are genuinely required.</t>
  </si>
  <si>
    <t>Optional Branch Prompts — 19 Subprocesses</t>
  </si>
  <si>
    <t>Use only after the client has described a related problem. These prompts deepen the real process; they are not a product checklist to read aloud.</t>
  </si>
  <si>
    <t>Subarea</t>
  </si>
  <si>
    <t>Optional natural prompts</t>
  </si>
  <si>
    <t>Typical patterns</t>
  </si>
  <si>
    <t>Listen for</t>
  </si>
  <si>
    <t>Communication &amp; Customers</t>
  </si>
  <si>
    <t>Communication &amp; Intake</t>
  </si>
  <si>
    <t>Where do requests arrive?
What gets missed, delayed or sent to the wrong person?
How do you decide what is urgent or valuable?</t>
  </si>
  <si>
    <t>Capture · Classify &amp; route · Draft &amp; reply · Sync &amp; log</t>
  </si>
  <si>
    <t>Split channels, repeated checking, unclear ownership, missing history</t>
  </si>
  <si>
    <t>Customer Support</t>
  </si>
  <si>
    <t>Take me through the last difficult support case.
Which questions repeat, and which require judgment?
How do you know a case is resolved?</t>
  </si>
  <si>
    <t>Capture · Classify &amp; route · Draft &amp; reply · Monitor &amp; alert</t>
  </si>
  <si>
    <t>Backlog, repeat answers, escalation gaps, knowledge scattered</t>
  </si>
  <si>
    <t>Scheduling &amp; Booking</t>
  </si>
  <si>
    <t>How does a request become a confirmed appointment?
Where do changes or no-shows create work?
Which booking decisions need a person?</t>
  </si>
  <si>
    <t>Schedule &amp; book · Monitor &amp; alert · Sync &amp; log</t>
  </si>
  <si>
    <t>Double entry, slot coordination, reminders, exceptions</t>
  </si>
  <si>
    <t>Feedback &amp; Reviews</t>
  </si>
  <si>
    <t>Where does feedback appear?
How quickly are complaints noticed?
What themes would be useful to see regularly?</t>
  </si>
  <si>
    <t>Capture · Classify &amp; route · Draft &amp; reply · Summarise &amp; report</t>
  </si>
  <si>
    <t>Unanswered reviews, slow escalation, recurring themes unseen</t>
  </si>
  <si>
    <t>Sales &amp; Growth</t>
  </si>
  <si>
    <t>Lead &amp; Sales Pipeline</t>
  </si>
  <si>
    <t>How does a lead enter and move through the pipeline?
Where do promising leads go cold?
What information determines the next action?</t>
  </si>
  <si>
    <t>Capture · Classify &amp; route · Monitor &amp; alert · Sync &amp; log</t>
  </si>
  <si>
    <t>Missing follow-up, poor prioritisation, CRM not updated</t>
  </si>
  <si>
    <t>Content &amp; Marketing</t>
  </si>
  <si>
    <t>Show me how one idea becomes published content.
Where is most time spent?
Who reviews tone, claims and timing?</t>
  </si>
  <si>
    <t>Draft &amp; reply · Schedule &amp; book · Summarise &amp; report</t>
  </si>
  <si>
    <t>Drafting bottleneck, repurposing gap, approval delays</t>
  </si>
  <si>
    <t>E-commerce &amp; Fulfilment</t>
  </si>
  <si>
    <t>Which order exceptions consume the most attention?
How are returns and address problems handled?
Where must order information be copied?</t>
  </si>
  <si>
    <t>Classify &amp; route · Monitor &amp; alert · Sync &amp; log</t>
  </si>
  <si>
    <t>Wrong addresses, stock-outs, return categories, system mismatch</t>
  </si>
  <si>
    <t>Quotes &amp; Proposals</t>
  </si>
  <si>
    <t>Walk me through the last quote from request to acceptance.
Where are prices or terms checked?
What causes rework or slow follow-up?</t>
  </si>
  <si>
    <t>Extract &amp; validate · Draft &amp; reply · Monitor &amp; alert · Sync &amp; log</t>
  </si>
  <si>
    <t>Manual calculation, version errors, approval, missed follow-up</t>
  </si>
  <si>
    <t>Renewals &amp; Retention</t>
  </si>
  <si>
    <t>How do you know what is due to renew?
Which warning signs appear before a customer leaves?
How are reminders and follow-ups managed?</t>
  </si>
  <si>
    <t>Monitor &amp; alert · Draft &amp; reply · Schedule &amp; book · Summarise &amp; report</t>
  </si>
  <si>
    <t>Deadlines in spreadsheets, inconsistent contact, churn signals</t>
  </si>
  <si>
    <t>Documents &amp; Finance</t>
  </si>
  <si>
    <t>Document &amp; Data Processing</t>
  </si>
  <si>
    <t>What arrives, in which format, and what must be extracted?
What checks are required before use?
Where does the result go?</t>
  </si>
  <si>
    <t>Capture · Extract &amp; validate · Sync &amp; log · Monitor &amp; alert</t>
  </si>
  <si>
    <t>Manual entry, missing fields, mismatches, filing/search problems</t>
  </si>
  <si>
    <t>Finance &amp; Admin</t>
  </si>
  <si>
    <t>Which recurring finance task takes the most time?
What must be checked before posting or paying?
What audit evidence is required?</t>
  </si>
  <si>
    <t>Extract &amp; validate · Monitor &amp; alert · Sync &amp; log · Summarise &amp; report</t>
  </si>
  <si>
    <t>Reconciliation, reminders, expense checks, strict approval</t>
  </si>
  <si>
    <t>Contracts &amp; Agreements</t>
  </si>
  <si>
    <t>How is a contract drafted, reviewed, signed and stored?
Which dates or terms are easy to miss?
Who may approve changes?</t>
  </si>
  <si>
    <t>Draft &amp; reply · Extract &amp; validate · Monitor &amp; alert · Sync &amp; log</t>
  </si>
  <si>
    <t>Template variation, key terms, renewal dates, sign-off</t>
  </si>
  <si>
    <t>Procurement &amp; Suppliers</t>
  </si>
  <si>
    <t>How do order, delivery and invoice get matched?
Where do price or quantity differences appear?
Who resolves exceptions?</t>
  </si>
  <si>
    <t>Capture · Extract &amp; validate · Monitor &amp; alert · Sync &amp; log</t>
  </si>
  <si>
    <t>Three-way match, supplier discrepancies, approvals</t>
  </si>
  <si>
    <t>Compliance &amp; Filing</t>
  </si>
  <si>
    <t>Which obligations and deadlines must be tracked?
What evidence must be assembled?
What can never be submitted without review?</t>
  </si>
  <si>
    <t>Monitor &amp; alert · Extract &amp; validate · Summarise &amp; report · Sync &amp; log</t>
  </si>
  <si>
    <t>Deadlines, missing evidence, audit trail, mandatory sign-off</t>
  </si>
  <si>
    <t>Operations &amp; Insight</t>
  </si>
  <si>
    <t>Internal Operations</t>
  </si>
  <si>
    <t>Take me through the last request that crossed several people.
Where did it wait or lose ownership?
How are reminders and completion tracked?</t>
  </si>
  <si>
    <t>Handoffs, approvals, unclear status, manual chasing</t>
  </si>
  <si>
    <t>Reporting &amp; Analytics</t>
  </si>
  <si>
    <t>Which decision needs information that is hard to assemble?
Where does the data come from?
What threshold should trigger attention?</t>
  </si>
  <si>
    <t>Sync &amp; log · Summarise &amp; report · Monitor &amp; alert</t>
  </si>
  <si>
    <t>Manual consolidation, stale data, recurring reports, threshold alerts</t>
  </si>
  <si>
    <t>People &amp; Hiring</t>
  </si>
  <si>
    <t>How does a role move from request to onboarding?
Where do candidates or documents get lost?
Which decisions must remain with hiring managers?</t>
  </si>
  <si>
    <t>Capture · Classify &amp; route · Schedule &amp; book · Draft &amp; reply</t>
  </si>
  <si>
    <t>Duplicate applications, scheduling, status updates, human selection</t>
  </si>
  <si>
    <t>Quality &amp; Process Monitoring</t>
  </si>
  <si>
    <t>Which output or process must meet a standard?
How are exceptions detected and recorded?
Who decides the corrective action?</t>
  </si>
  <si>
    <t>Manual inspection, delayed breaches, missing incident history</t>
  </si>
  <si>
    <t>Knowledge &amp; SOPs</t>
  </si>
  <si>
    <t>Where do people look for the correct procedure?
Which questions repeat internally?
How are changes approved and kept current?</t>
  </si>
  <si>
    <t>Draft &amp; reply · Classify &amp; route · Summarise &amp; report · Monitor &amp; alert</t>
  </si>
  <si>
    <t>Scattered documents, outdated SOPs, repeated staff questions</t>
  </si>
  <si>
    <t>Reusable Automation Pattern Map</t>
  </si>
  <si>
    <t>These eight patterns recur across the 19 subprocesses. Use them after the problem is understood to describe scope and connect it to Pricing Calculator v27.</t>
  </si>
  <si>
    <t>Pattern</t>
  </si>
  <si>
    <t>Plain meaning</t>
  </si>
  <si>
    <t>Discovery evidence</t>
  </si>
  <si>
    <t>Likely v27 driver</t>
  </si>
  <si>
    <t>Human-control question</t>
  </si>
  <si>
    <t>Examples</t>
  </si>
  <si>
    <t>Capture</t>
  </si>
  <si>
    <t>Bring information from a defined source into a controlled workflow</t>
  </si>
  <si>
    <t>Trigger, source, frequency, format, owner</t>
  </si>
  <si>
    <t>Extra data sources / triggers</t>
  </si>
  <si>
    <t>What may be collected automatically, and from where?</t>
  </si>
  <si>
    <t>Form, inbox, upload, scheduled pull</t>
  </si>
  <si>
    <t>Classify &amp; route</t>
  </si>
  <si>
    <t>Apply rules or AI to decide where something goes</t>
  </si>
  <si>
    <t>Categories, decision rules, exceptions, urgency</t>
  </si>
  <si>
    <t>AI generation step if AI-based; approval if gated</t>
  </si>
  <si>
    <t>Which classifications need review?</t>
  </si>
  <si>
    <t>Lead priority, ticket type, language, exception route</t>
  </si>
  <si>
    <t>Draft &amp; reply</t>
  </si>
  <si>
    <t>Prepare text or content for review or sending</t>
  </si>
  <si>
    <t>Inputs, approved sources, tone, claims, recipients</t>
  </si>
  <si>
    <t>AI generation step + approval workflow</t>
  </si>
  <si>
    <t>Who approves external content?</t>
  </si>
  <si>
    <t>Reply draft, proposal, contract, post</t>
  </si>
  <si>
    <t>Extract &amp; validate</t>
  </si>
  <si>
    <t>Read fields or compare information against rules</t>
  </si>
  <si>
    <t>Document types, fields, validation rules, tolerance</t>
  </si>
  <si>
    <t>AI generation step; sensitive multiplier where applicable</t>
  </si>
  <si>
    <t>What must be confirmed before use or posting?</t>
  </si>
  <si>
    <t>Invoice fields, contract terms, policy check</t>
  </si>
  <si>
    <t>Schedule &amp; book</t>
  </si>
  <si>
    <t>Coordinate time, availability, reminders or events</t>
  </si>
  <si>
    <t>Calendars, rules, conflicts, changes, permissions</t>
  </si>
  <si>
    <t>Triggers; Agentic only for bounded dynamic actions</t>
  </si>
  <si>
    <t>May it propose, hold or confirm?</t>
  </si>
  <si>
    <t>Booking, interview, reminder, group slot</t>
  </si>
  <si>
    <t>Summarise &amp; report</t>
  </si>
  <si>
    <t>Turn activity or data into a useful recurring view</t>
  </si>
  <si>
    <t>Audience, frequency, KPIs, decisions, data sources</t>
  </si>
  <si>
    <t>AI generation step and/or reporting layer</t>
  </si>
  <si>
    <t>Who validates important conclusions?</t>
  </si>
  <si>
    <t>Weekly summary, dashboard, management report</t>
  </si>
  <si>
    <t>Monitor &amp; alert</t>
  </si>
  <si>
    <t>Watch for a condition, deadline, exception or failure</t>
  </si>
  <si>
    <t>Threshold, schedule, owner, severity, response time</t>
  </si>
  <si>
    <t>Extra trigger; reporting layer if dashboarded</t>
  </si>
  <si>
    <t>Who receives and owns the alert?</t>
  </si>
  <si>
    <t>Expiry, stock-out, quality breach, failed run</t>
  </si>
  <si>
    <t>Sync &amp; log</t>
  </si>
  <si>
    <t>Create or update a record so status and history remain visible</t>
  </si>
  <si>
    <t>System of record, fields, permissions, retention</t>
  </si>
  <si>
    <t>CRM / database integration</t>
  </si>
  <si>
    <t>Which updates require approval or audit?</t>
  </si>
  <si>
    <t>CRM entry, accounting log, document index</t>
  </si>
  <si>
    <t>Phase 1 Discovery Record — Internal Conclusion</t>
  </si>
  <si>
    <t>Complete after the conversation, process capture and boundary work. Record conclusions, evidence, unknowns and a practical next step.</t>
  </si>
  <si>
    <t>Client and meeting</t>
  </si>
  <si>
    <t>Confirmed conclusion</t>
  </si>
  <si>
    <t>Open question / required action</t>
  </si>
  <si>
    <t>Client / project</t>
  </si>
  <si>
    <t>Participants</t>
  </si>
  <si>
    <t>Decision-maker</t>
  </si>
  <si>
    <t>Problem and evidence</t>
  </si>
  <si>
    <t>Problem in client's words</t>
  </si>
  <si>
    <t>Frequency / effort</t>
  </si>
  <si>
    <t>Selected first target</t>
  </si>
  <si>
    <t>Selected subprocess</t>
  </si>
  <si>
    <t>Primary patterns</t>
  </si>
  <si>
    <t>Included</t>
  </si>
  <si>
    <t>Excluded</t>
  </si>
  <si>
    <t>Human-owned decisions</t>
  </si>
  <si>
    <t>Risk and feasibility</t>
  </si>
  <si>
    <t>Data sensitivity</t>
  </si>
  <si>
    <t>Worst credible consequence</t>
  </si>
  <si>
    <t>Fallback / recovery</t>
  </si>
  <si>
    <t>System access feasibility</t>
  </si>
  <si>
    <t>Major exceptions</t>
  </si>
  <si>
    <t>Commercial bridge and decision</t>
  </si>
  <si>
    <t>v27 package direction</t>
  </si>
  <si>
    <t>Pricing Bridge status</t>
  </si>
  <si>
    <t>Phase 1 decision</t>
  </si>
  <si>
    <t>Decision reasoning</t>
  </si>
  <si>
    <t>Owner and due date</t>
  </si>
  <si>
    <t>Field Guide — How to Use v08</t>
  </si>
  <si>
    <t>Keep the client conversation simple. The workbook holds the structure; the meeting should still sound like a real discussion.</t>
  </si>
  <si>
    <t>Do</t>
  </si>
  <si>
    <t>Avoid</t>
  </si>
  <si>
    <t>Where</t>
  </si>
  <si>
    <t>Client language</t>
  </si>
  <si>
    <t>Write the problem in the client's own words first</t>
  </si>
  <si>
    <t>Immediately translating it into AI, CRM or package language</t>
  </si>
  <si>
    <t>Conversation Guide / Process Capture</t>
  </si>
  <si>
    <t>Prevents solution bias</t>
  </si>
  <si>
    <t>Real evidence</t>
  </si>
  <si>
    <t>Ask for the last real example</t>
  </si>
  <si>
    <t>Accepting only general statements such as 'admin takes too long'</t>
  </si>
  <si>
    <t>Conversation Guide Q3</t>
  </si>
  <si>
    <t>Reveals the true process</t>
  </si>
  <si>
    <t>Catalogue</t>
  </si>
  <si>
    <t>Use Branch Prompts only after a related problem appears</t>
  </si>
  <si>
    <t>Reading all 19 areas to the client</t>
  </si>
  <si>
    <t>Branch Prompts</t>
  </si>
  <si>
    <t>Keeps discovery natural</t>
  </si>
  <si>
    <t>Capture frequency and consequence even as ranges</t>
  </si>
  <si>
    <t>Inventing savings or percentages</t>
  </si>
  <si>
    <t>Process Capture / Shortlist</t>
  </si>
  <si>
    <t>Value remains evidence-based</t>
  </si>
  <si>
    <t>Prioritisation</t>
  </si>
  <si>
    <t>Compare value and delivery fit transparently</t>
  </si>
  <si>
    <t>Treating the Priority view as an automatic answer</t>
  </si>
  <si>
    <t>PM and client judgment remain primary</t>
  </si>
  <si>
    <t>Separate automate / prepare for human / human only</t>
  </si>
  <si>
    <t>A single generic 'AI comfort' question</t>
  </si>
  <si>
    <t>Control differs by action</t>
  </si>
  <si>
    <t>Copy confirmed scope counts into v27</t>
  </si>
  <si>
    <t>Selecting package from category, volume or channel count alone</t>
  </si>
  <si>
    <t>Unknowns</t>
  </si>
  <si>
    <t>Turn unknowns into named follow-up actions</t>
  </si>
  <si>
    <t>Hiding assumptions inside the proposed solution</t>
  </si>
  <si>
    <t>All internal sheets</t>
  </si>
  <si>
    <t>Improves trust and scope control</t>
  </si>
  <si>
    <t>Front-door tools</t>
  </si>
  <si>
    <t>Use AISR / AIWSC as separate diagnostic engagements</t>
  </si>
  <si>
    <t>Forcing them through core automation discovery</t>
  </si>
  <si>
    <t>Different product and pricing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</si>
</sst>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CHF&quot;\ #,##0"/>
  </numFmts>
  <fonts count="5">
    <font>
      <sz val="11"/>
      <name val="Carlito"/>
    </font>
    <font>
      <b/>
      <sz val="16"/>
      <color rgb="FFFFFFFF"/>
      <name val="Carlito"/>
    </font>
    <font>
      <i/>
      <sz val="10"/>
      <color rgb="FFC00000"/>
      <name val="Carlito"/>
    </font>
    <font>
      <b/>
      <sz val="11"/>
      <color rgb="FFFFFFFF"/>
      <name val="Carlito"/>
    </font>
    <font>
      <b/>
      <sz val="11"/>
      <color rgb="FF1F2937"/>
      <name val="Carlito"/>
    </font>
  </fonts>
  <fills count="10">
    <fill>
      <patternFill patternType="none"/>
    </fill>
    <fill>
      <patternFill patternType="gray125"/>
    </fill>
    <fill>
      <patternFill patternType="solid">
        <fgColor rgb="FF1F4E78"/>
      </patternFill>
    </fill>
    <fill>
      <patternFill patternType="solid">
        <fgColor rgb="FFF3F5F7"/>
      </patternFill>
    </fill>
    <fill>
      <patternFill patternType="solid">
        <fgColor rgb="FF5B9BD5"/>
      </patternFill>
    </fill>
    <fill>
      <patternFill patternType="solid">
        <fgColor rgb="FFE7E6E6"/>
      </patternFill>
    </fill>
    <fill>
      <patternFill patternType="solid">
        <fgColor rgb="FFE2F0D9"/>
      </patternFill>
    </fill>
    <fill>
      <patternFill patternType="solid">
        <fgColor rgb="FFD9EAF7"/>
      </patternFill>
    </fill>
    <fill>
      <patternFill patternType="solid">
        <fgColor rgb="FFFFF2CC"/>
      </patternFill>
    </fill>
    <fill>
      <patternFill patternType="solid">
        <fgColor rgb="FFF4CCCC"/>
      </patternFill>
    </fill>
  </fills>
  <borders count="8">
    <border>
      <left/>
      <right/>
      <top/>
      <bottom/>
      <diagonal/>
    </border>
    <border>
      <left style="thin">
        <color rgb="FFC8CED8"/>
      </left>
      <right/>
      <top style="thin">
        <color rgb="FFC8CED8"/>
      </top>
      <bottom/>
      <diagonal/>
    </border>
    <border>
      <left/>
      <right/>
      <top style="thin">
        <color rgb="FFC8CED8"/>
      </top>
      <bottom/>
      <diagonal/>
    </border>
    <border>
      <left/>
      <right style="thin">
        <color rgb="FFC8CED8"/>
      </right>
      <top style="thin">
        <color rgb="FFC8CED8"/>
      </top>
      <bottom/>
      <diagonal/>
    </border>
    <border>
      <left style="thin">
        <color rgb="FFC8CED8"/>
      </left>
      <right/>
      <top/>
      <bottom style="thin">
        <color rgb="FFC8CED8"/>
      </bottom>
      <diagonal/>
    </border>
    <border>
      <left/>
      <right/>
      <top/>
      <bottom style="thin">
        <color rgb="FFC8CED8"/>
      </bottom>
      <diagonal/>
    </border>
    <border>
      <left/>
      <right style="thin">
        <color rgb="FFC8CED8"/>
      </right>
      <top/>
      <bottom style="thin">
        <color rgb="FFC8CED8"/>
      </bottom>
      <diagonal/>
    </border>
    <border>
      <left style="thin">
        <color rgb="FFC8CED8"/>
      </left>
      <right style="thin">
        <color rgb="FFC8CED8"/>
      </right>
      <top style="thin">
        <color rgb="FFC8CED8"/>
      </top>
      <bottom style="thin">
        <color rgb="FFC8CED8"/>
      </bottom>
      <diagonal/>
    </border>
  </borders>
  <cellStyleXfs count="1">
    <xf numFmtId="0" fontId="0" fillId="0" borderId="0"/>
  </cellStyleXfs>
  <cellXfs count="32">
    <xf numFmtId="0" fontId="0" fillId="0" borderId="0" xfId="0"/>
    <xf numFmtId="0" fontId="4" fillId="5" borderId="7" xfId="0" applyFont="1" applyFill="1" applyBorder="1" applyAlignment="1">
      <alignment vertical="center" wrapText="1"/>
    </xf>
    <xf numFmtId="0" fontId="0" fillId="3" borderId="7" xfId="0" applyFill="1" applyBorder="1" applyAlignment="1">
      <alignment vertical="top" wrapText="1"/>
    </xf>
    <xf numFmtId="0" fontId="0" fillId="6" borderId="7" xfId="0" applyFill="1" applyBorder="1" applyAlignment="1">
      <alignment vertical="top" wrapText="1"/>
    </xf>
    <xf numFmtId="0" fontId="0" fillId="5" borderId="7" xfId="0" applyFill="1" applyBorder="1" applyAlignment="1">
      <alignment vertical="top" wrapText="1"/>
    </xf>
    <xf numFmtId="0" fontId="0" fillId="7" borderId="7" xfId="0" applyFill="1" applyBorder="1" applyAlignment="1">
      <alignment vertical="top" wrapText="1"/>
    </xf>
    <xf numFmtId="0" fontId="0" fillId="8" borderId="7" xfId="0" applyFill="1" applyBorder="1" applyAlignment="1">
      <alignment vertical="top" wrapText="1"/>
    </xf>
    <xf numFmtId="0" fontId="0" fillId="9" borderId="7" xfId="0" applyFill="1" applyBorder="1" applyAlignment="1">
      <alignment vertical="top" wrapText="1"/>
    </xf>
    <xf numFmtId="164" fontId="0" fillId="8" borderId="7" xfId="0" applyNumberFormat="1" applyFill="1" applyBorder="1" applyAlignment="1">
      <alignment vertical="top" wrapText="1"/>
    </xf>
    <xf numFmtId="0" fontId="1" fillId="2" borderId="0" xfId="0" applyFont="1" applyFill="1" applyAlignment="1">
      <alignment vertical="center"/>
    </xf>
    <xf numFmtId="0" fontId="2" fillId="0" borderId="0" xfId="0" applyFont="1" applyAlignment="1">
      <alignment vertical="center" wrapText="1"/>
    </xf>
    <xf numFmtId="0" fontId="3" fillId="2" borderId="0" xfId="0" applyFont="1" applyFill="1" applyAlignment="1">
      <alignment vertical="center"/>
    </xf>
    <xf numFmtId="0" fontId="0" fillId="3" borderId="1" xfId="0" applyFill="1" applyBorder="1" applyAlignment="1">
      <alignment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6" xfId="0" applyFill="1" applyBorder="1" applyAlignment="1">
      <alignment vertical="center" wrapText="1"/>
    </xf>
    <xf numFmtId="0" fontId="3" fillId="4" borderId="0" xfId="0" applyFont="1" applyFill="1" applyAlignment="1">
      <alignment vertical="center"/>
    </xf>
    <xf numFmtId="0" fontId="0" fillId="6" borderId="1" xfId="0" applyFill="1" applyBorder="1" applyAlignment="1">
      <alignment vertical="center" wrapText="1"/>
    </xf>
    <xf numFmtId="0" fontId="0" fillId="6" borderId="2" xfId="0" applyFill="1" applyBorder="1" applyAlignment="1">
      <alignment vertical="center" wrapText="1"/>
    </xf>
    <xf numFmtId="0" fontId="0" fillId="6" borderId="3" xfId="0" applyFill="1" applyBorder="1" applyAlignment="1">
      <alignment vertical="center" wrapText="1"/>
    </xf>
    <xf numFmtId="0" fontId="0" fillId="6" borderId="4" xfId="0" applyFill="1" applyBorder="1" applyAlignment="1">
      <alignment vertical="center" wrapText="1"/>
    </xf>
    <xf numFmtId="0" fontId="0" fillId="6" borderId="5" xfId="0" applyFill="1" applyBorder="1" applyAlignment="1">
      <alignment vertical="center" wrapText="1"/>
    </xf>
    <xf numFmtId="0" fontId="0" fillId="6" borderId="6" xfId="0" applyFill="1" applyBorder="1" applyAlignment="1">
      <alignment vertical="center" wrapText="1"/>
    </xf>
    <xf numFmtId="0" fontId="0" fillId="7" borderId="7" xfId="0" applyFill="1" applyBorder="1" applyAlignment="1">
      <alignment vertical="top" wrapText="1"/>
    </xf>
    <xf numFmtId="0" fontId="0" fillId="9" borderId="1" xfId="0" applyFill="1" applyBorder="1" applyAlignment="1">
      <alignment vertical="center" wrapText="1"/>
    </xf>
    <xf numFmtId="0" fontId="0" fillId="9" borderId="2" xfId="0" applyFill="1" applyBorder="1" applyAlignment="1">
      <alignment vertical="center" wrapText="1"/>
    </xf>
    <xf numFmtId="0" fontId="0" fillId="9" borderId="3" xfId="0" applyFill="1" applyBorder="1" applyAlignment="1">
      <alignment vertical="center" wrapText="1"/>
    </xf>
    <xf numFmtId="0" fontId="0" fillId="9" borderId="4" xfId="0" applyFill="1" applyBorder="1" applyAlignment="1">
      <alignment vertical="center" wrapText="1"/>
    </xf>
    <xf numFmtId="0" fontId="0" fillId="9" borderId="5" xfId="0" applyFill="1" applyBorder="1" applyAlignment="1">
      <alignment vertical="center" wrapText="1"/>
    </xf>
    <xf numFmtId="0" fontId="0" fillId="9" borderId="6"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zoomScale="130" zoomScaleNormal="130" workbookViewId="0">
      <selection sqref="A1:H1"/>
    </sheetView>
  </sheetViews>
  <sheetFormatPr baseColWidth="10" defaultColWidth="8.83203125" defaultRowHeight="14"/>
  <cols>
    <col min="1" max="1" width="12" customWidth="1"/>
    <col min="2" max="2" width="30" customWidth="1"/>
    <col min="3" max="3" width="42" customWidth="1"/>
    <col min="4" max="4" width="34" customWidth="1"/>
    <col min="5" max="6" width="18" customWidth="1"/>
    <col min="7" max="7" width="16" customWidth="1"/>
    <col min="8" max="8" width="28" customWidth="1"/>
  </cols>
  <sheetData>
    <row r="1" spans="1:8" ht="30" customHeight="1">
      <c r="A1" s="9" t="s">
        <v>0</v>
      </c>
      <c r="B1" s="9"/>
      <c r="C1" s="9"/>
      <c r="D1" s="9"/>
      <c r="E1" s="9"/>
      <c r="F1" s="9"/>
      <c r="G1" s="9"/>
      <c r="H1" s="9"/>
    </row>
    <row r="2" spans="1:8" ht="34" customHeight="1">
      <c r="A2" s="10" t="s">
        <v>1</v>
      </c>
      <c r="B2" s="10"/>
      <c r="C2" s="10"/>
      <c r="D2" s="10"/>
      <c r="E2" s="10"/>
      <c r="F2" s="10"/>
      <c r="G2" s="10"/>
      <c r="H2" s="10"/>
    </row>
    <row r="4" spans="1:8" ht="23" customHeight="1">
      <c r="A4" s="11" t="s">
        <v>2</v>
      </c>
      <c r="B4" s="11"/>
      <c r="C4" s="11"/>
      <c r="D4" s="11"/>
      <c r="E4" s="11"/>
      <c r="F4" s="11"/>
      <c r="G4" s="11"/>
      <c r="H4" s="11"/>
    </row>
    <row r="5" spans="1:8">
      <c r="A5" s="12" t="s">
        <v>3</v>
      </c>
      <c r="B5" s="13"/>
      <c r="C5" s="13"/>
      <c r="D5" s="13"/>
      <c r="E5" s="13"/>
      <c r="F5" s="13"/>
      <c r="G5" s="13"/>
      <c r="H5" s="14"/>
    </row>
    <row r="6" spans="1:8">
      <c r="A6" s="15"/>
      <c r="B6" s="16"/>
      <c r="C6" s="16"/>
      <c r="D6" s="16"/>
      <c r="E6" s="16"/>
      <c r="F6" s="16"/>
      <c r="G6" s="16"/>
      <c r="H6" s="17"/>
    </row>
    <row r="8" spans="1:8" ht="23" customHeight="1">
      <c r="A8" s="18" t="s">
        <v>4</v>
      </c>
      <c r="B8" s="18"/>
      <c r="C8" s="18"/>
      <c r="D8" s="18"/>
      <c r="E8" s="18"/>
      <c r="F8" s="18"/>
      <c r="G8" s="18"/>
      <c r="H8" s="18"/>
    </row>
    <row r="9" spans="1:8" ht="36" customHeight="1">
      <c r="A9" s="1" t="s">
        <v>5</v>
      </c>
      <c r="B9" s="1" t="s">
        <v>6</v>
      </c>
      <c r="C9" s="1" t="s">
        <v>7</v>
      </c>
      <c r="D9" s="1" t="s">
        <v>8</v>
      </c>
      <c r="E9" s="1" t="s">
        <v>9</v>
      </c>
      <c r="F9" s="1" t="s">
        <v>10</v>
      </c>
      <c r="G9" s="1" t="s">
        <v>11</v>
      </c>
      <c r="H9" s="1" t="s">
        <v>12</v>
      </c>
    </row>
    <row r="10" spans="1:8" ht="36" customHeight="1">
      <c r="A10" s="2" t="s">
        <v>13</v>
      </c>
      <c r="B10" s="2" t="s">
        <v>14</v>
      </c>
      <c r="C10" s="2" t="s">
        <v>15</v>
      </c>
      <c r="D10" s="2" t="s">
        <v>16</v>
      </c>
      <c r="E10" s="2" t="s">
        <v>17</v>
      </c>
      <c r="F10" s="3" t="s">
        <v>18</v>
      </c>
      <c r="G10" s="2" t="s">
        <v>19</v>
      </c>
      <c r="H10" s="2" t="s">
        <v>20</v>
      </c>
    </row>
    <row r="11" spans="1:8" ht="36" customHeight="1">
      <c r="A11" s="2" t="s">
        <v>21</v>
      </c>
      <c r="B11" s="2" t="s">
        <v>22</v>
      </c>
      <c r="C11" s="2" t="s">
        <v>23</v>
      </c>
      <c r="D11" s="2" t="s">
        <v>24</v>
      </c>
      <c r="E11" s="2" t="s">
        <v>17</v>
      </c>
      <c r="F11" s="3" t="s">
        <v>18</v>
      </c>
      <c r="G11" s="2" t="s">
        <v>25</v>
      </c>
      <c r="H11" s="2" t="s">
        <v>26</v>
      </c>
    </row>
    <row r="12" spans="1:8" ht="36" customHeight="1">
      <c r="A12" s="2" t="s">
        <v>27</v>
      </c>
      <c r="B12" s="2" t="s">
        <v>28</v>
      </c>
      <c r="C12" s="2" t="s">
        <v>29</v>
      </c>
      <c r="D12" s="2" t="s">
        <v>30</v>
      </c>
      <c r="E12" s="2" t="s">
        <v>31</v>
      </c>
      <c r="F12" s="3" t="s">
        <v>32</v>
      </c>
      <c r="G12" s="2" t="s">
        <v>33</v>
      </c>
      <c r="H12" s="2" t="s">
        <v>34</v>
      </c>
    </row>
    <row r="13" spans="1:8" ht="36" customHeight="1">
      <c r="A13" s="2" t="s">
        <v>35</v>
      </c>
      <c r="B13" s="2" t="s">
        <v>36</v>
      </c>
      <c r="C13" s="2" t="s">
        <v>37</v>
      </c>
      <c r="D13" s="2" t="s">
        <v>38</v>
      </c>
      <c r="E13" s="2" t="s">
        <v>31</v>
      </c>
      <c r="F13" s="3" t="s">
        <v>39</v>
      </c>
      <c r="G13" s="2" t="s">
        <v>19</v>
      </c>
      <c r="H13" s="2" t="s">
        <v>40</v>
      </c>
    </row>
    <row r="14" spans="1:8" ht="36" customHeight="1">
      <c r="A14" s="2" t="s">
        <v>41</v>
      </c>
      <c r="B14" s="2" t="s">
        <v>42</v>
      </c>
      <c r="C14" s="2" t="s">
        <v>43</v>
      </c>
      <c r="D14" s="2" t="s">
        <v>44</v>
      </c>
      <c r="E14" s="2" t="s">
        <v>45</v>
      </c>
      <c r="F14" s="3" t="s">
        <v>32</v>
      </c>
      <c r="G14" s="2" t="s">
        <v>46</v>
      </c>
      <c r="H14" s="2" t="s">
        <v>47</v>
      </c>
    </row>
    <row r="15" spans="1:8" ht="36" customHeight="1">
      <c r="A15" s="2" t="s">
        <v>48</v>
      </c>
      <c r="B15" s="2" t="s">
        <v>49</v>
      </c>
      <c r="C15" s="2" t="s">
        <v>50</v>
      </c>
      <c r="D15" s="2" t="s">
        <v>51</v>
      </c>
      <c r="E15" s="2" t="s">
        <v>31</v>
      </c>
      <c r="F15" s="3" t="s">
        <v>52</v>
      </c>
      <c r="G15" s="2" t="s">
        <v>19</v>
      </c>
      <c r="H15" s="2" t="s">
        <v>53</v>
      </c>
    </row>
    <row r="16" spans="1:8" ht="36" customHeight="1">
      <c r="A16" s="2" t="s">
        <v>54</v>
      </c>
      <c r="B16" s="2" t="s">
        <v>55</v>
      </c>
      <c r="C16" s="2" t="s">
        <v>56</v>
      </c>
      <c r="D16" s="2" t="s">
        <v>57</v>
      </c>
      <c r="E16" s="2" t="s">
        <v>31</v>
      </c>
      <c r="F16" s="3" t="s">
        <v>58</v>
      </c>
      <c r="G16" s="2" t="s">
        <v>59</v>
      </c>
      <c r="H16" s="2" t="s">
        <v>60</v>
      </c>
    </row>
    <row r="18" spans="1:8" ht="23" customHeight="1">
      <c r="A18" s="11" t="s">
        <v>61</v>
      </c>
      <c r="B18" s="11"/>
      <c r="C18" s="11"/>
      <c r="D18" s="11"/>
      <c r="E18" s="11"/>
      <c r="F18" s="11"/>
      <c r="G18" s="11"/>
      <c r="H18" s="11"/>
    </row>
    <row r="19" spans="1:8" ht="16">
      <c r="A19" s="1" t="s">
        <v>62</v>
      </c>
      <c r="B19" s="1" t="s">
        <v>63</v>
      </c>
      <c r="C19" s="1" t="s">
        <v>64</v>
      </c>
    </row>
    <row r="20" spans="1:8" ht="30">
      <c r="A20" s="2" t="s">
        <v>21</v>
      </c>
      <c r="B20" s="2" t="s">
        <v>65</v>
      </c>
      <c r="C20" s="2" t="s">
        <v>66</v>
      </c>
    </row>
    <row r="21" spans="1:8" ht="30">
      <c r="A21" s="2" t="s">
        <v>27</v>
      </c>
      <c r="B21" s="2" t="s">
        <v>67</v>
      </c>
      <c r="C21" s="2" t="s">
        <v>68</v>
      </c>
    </row>
    <row r="22" spans="1:8" ht="30">
      <c r="A22" s="2" t="s">
        <v>35</v>
      </c>
      <c r="B22" s="2" t="s">
        <v>69</v>
      </c>
      <c r="C22" s="2" t="s">
        <v>70</v>
      </c>
    </row>
    <row r="23" spans="1:8" ht="30">
      <c r="A23" s="2" t="s">
        <v>41</v>
      </c>
      <c r="B23" s="2" t="s">
        <v>71</v>
      </c>
      <c r="C23" s="2" t="s">
        <v>72</v>
      </c>
    </row>
    <row r="24" spans="1:8" ht="30">
      <c r="A24" s="2" t="s">
        <v>48</v>
      </c>
      <c r="B24" s="2" t="s">
        <v>73</v>
      </c>
      <c r="C24" s="2" t="s">
        <v>74</v>
      </c>
    </row>
    <row r="25" spans="1:8" ht="30">
      <c r="A25" s="2" t="s">
        <v>54</v>
      </c>
      <c r="B25" s="2" t="s">
        <v>75</v>
      </c>
      <c r="C25" s="2" t="s">
        <v>76</v>
      </c>
    </row>
    <row r="27" spans="1:8" ht="23" customHeight="1">
      <c r="A27" s="18" t="s">
        <v>77</v>
      </c>
      <c r="B27" s="18"/>
      <c r="C27" s="18"/>
      <c r="D27" s="18"/>
      <c r="E27" s="18"/>
      <c r="F27" s="18"/>
      <c r="G27" s="18"/>
      <c r="H27" s="18"/>
    </row>
    <row r="28" spans="1:8" ht="16">
      <c r="A28" s="1" t="s">
        <v>78</v>
      </c>
      <c r="B28" s="1" t="s">
        <v>79</v>
      </c>
      <c r="C28" s="1" t="s">
        <v>80</v>
      </c>
    </row>
    <row r="29" spans="1:8" ht="15">
      <c r="A29" s="4" t="s">
        <v>81</v>
      </c>
      <c r="B29" s="4" t="s">
        <v>82</v>
      </c>
      <c r="C29" s="4" t="s">
        <v>83</v>
      </c>
    </row>
    <row r="30" spans="1:8" ht="15">
      <c r="A30" s="3" t="s">
        <v>18</v>
      </c>
      <c r="B30" s="3" t="s">
        <v>84</v>
      </c>
      <c r="C30" s="3" t="s">
        <v>85</v>
      </c>
    </row>
    <row r="31" spans="1:8" ht="15">
      <c r="A31" s="5" t="s">
        <v>58</v>
      </c>
      <c r="B31" s="5" t="s">
        <v>86</v>
      </c>
      <c r="C31" s="5" t="s">
        <v>87</v>
      </c>
    </row>
    <row r="32" spans="1:8" ht="15">
      <c r="A32" s="6" t="s">
        <v>52</v>
      </c>
      <c r="B32" s="6" t="s">
        <v>88</v>
      </c>
      <c r="C32" s="6" t="s">
        <v>89</v>
      </c>
    </row>
    <row r="33" spans="1:3" ht="15">
      <c r="A33" s="7" t="s">
        <v>90</v>
      </c>
      <c r="B33" s="7" t="s">
        <v>91</v>
      </c>
      <c r="C33" s="7" t="s">
        <v>92</v>
      </c>
    </row>
  </sheetData>
  <mergeCells count="7">
    <mergeCell ref="A18:H18"/>
    <mergeCell ref="A27:H27"/>
    <mergeCell ref="A1:H1"/>
    <mergeCell ref="A2:H2"/>
    <mergeCell ref="A4:H4"/>
    <mergeCell ref="A5:H6"/>
    <mergeCell ref="A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showGridLines="0" zoomScale="130" zoomScaleNormal="130" workbookViewId="0">
      <selection sqref="A1:F1"/>
    </sheetView>
  </sheetViews>
  <sheetFormatPr baseColWidth="10" defaultColWidth="8.83203125" defaultRowHeight="14"/>
  <cols>
    <col min="1" max="1" width="38" customWidth="1"/>
    <col min="2" max="2" width="40" customWidth="1"/>
    <col min="3" max="3" width="50" customWidth="1"/>
    <col min="4" max="4" width="42" customWidth="1"/>
    <col min="5" max="5" width="32" customWidth="1"/>
    <col min="6" max="6" width="16" customWidth="1"/>
  </cols>
  <sheetData>
    <row r="1" spans="1:6" ht="30" customHeight="1">
      <c r="A1" s="9" t="s">
        <v>93</v>
      </c>
      <c r="B1" s="9"/>
      <c r="C1" s="9"/>
      <c r="D1" s="9"/>
      <c r="E1" s="9"/>
      <c r="F1" s="9"/>
    </row>
    <row r="2" spans="1:6" ht="34" customHeight="1">
      <c r="A2" s="10" t="s">
        <v>94</v>
      </c>
      <c r="B2" s="10"/>
      <c r="C2" s="10"/>
      <c r="D2" s="10"/>
      <c r="E2" s="10"/>
      <c r="F2" s="10"/>
    </row>
    <row r="4" spans="1:6" ht="23" customHeight="1">
      <c r="A4" s="11" t="s">
        <v>95</v>
      </c>
      <c r="B4" s="11"/>
      <c r="C4" s="11"/>
      <c r="D4" s="11"/>
      <c r="E4" s="11"/>
      <c r="F4" s="11"/>
    </row>
    <row r="5" spans="1:6" ht="46" customHeight="1">
      <c r="A5" s="1" t="s">
        <v>96</v>
      </c>
      <c r="B5" s="1" t="s">
        <v>97</v>
      </c>
      <c r="C5" s="1" t="s">
        <v>98</v>
      </c>
      <c r="D5" s="1" t="s">
        <v>99</v>
      </c>
      <c r="E5" s="1" t="s">
        <v>100</v>
      </c>
      <c r="F5" s="1" t="s">
        <v>101</v>
      </c>
    </row>
    <row r="6" spans="1:6" ht="46" customHeight="1">
      <c r="A6" s="2" t="s">
        <v>102</v>
      </c>
      <c r="B6" s="2" t="s">
        <v>103</v>
      </c>
      <c r="C6" s="2" t="s">
        <v>104</v>
      </c>
      <c r="D6" s="2" t="s">
        <v>105</v>
      </c>
      <c r="E6" s="2" t="s">
        <v>106</v>
      </c>
      <c r="F6" s="5" t="s">
        <v>107</v>
      </c>
    </row>
    <row r="7" spans="1:6" ht="46" customHeight="1">
      <c r="A7" s="2" t="s">
        <v>108</v>
      </c>
      <c r="B7" s="2" t="s">
        <v>109</v>
      </c>
      <c r="C7" s="2" t="s">
        <v>110</v>
      </c>
      <c r="D7" s="2" t="s">
        <v>111</v>
      </c>
      <c r="E7" s="2" t="s">
        <v>112</v>
      </c>
      <c r="F7" s="5" t="s">
        <v>107</v>
      </c>
    </row>
    <row r="8" spans="1:6" ht="46" customHeight="1">
      <c r="A8" s="2" t="s">
        <v>113</v>
      </c>
      <c r="B8" s="2" t="s">
        <v>114</v>
      </c>
      <c r="C8" s="2" t="s">
        <v>115</v>
      </c>
      <c r="D8" s="2" t="s">
        <v>116</v>
      </c>
      <c r="E8" s="2" t="s">
        <v>117</v>
      </c>
      <c r="F8" s="5" t="s">
        <v>107</v>
      </c>
    </row>
    <row r="9" spans="1:6" ht="46" customHeight="1">
      <c r="A9" s="2" t="s">
        <v>118</v>
      </c>
      <c r="B9" s="2" t="s">
        <v>119</v>
      </c>
      <c r="C9" s="2" t="s">
        <v>120</v>
      </c>
      <c r="D9" s="2" t="s">
        <v>121</v>
      </c>
      <c r="E9" s="2" t="s">
        <v>122</v>
      </c>
      <c r="F9" s="5" t="s">
        <v>107</v>
      </c>
    </row>
    <row r="10" spans="1:6" ht="46" customHeight="1">
      <c r="A10" s="2" t="s">
        <v>123</v>
      </c>
      <c r="B10" s="2" t="s">
        <v>124</v>
      </c>
      <c r="C10" s="2" t="s">
        <v>125</v>
      </c>
      <c r="D10" s="2" t="s">
        <v>126</v>
      </c>
      <c r="E10" s="2" t="s">
        <v>127</v>
      </c>
      <c r="F10" s="5" t="s">
        <v>128</v>
      </c>
    </row>
    <row r="11" spans="1:6" ht="46" customHeight="1">
      <c r="A11" s="2" t="s">
        <v>129</v>
      </c>
      <c r="B11" s="2" t="s">
        <v>130</v>
      </c>
      <c r="C11" s="2" t="s">
        <v>131</v>
      </c>
      <c r="D11" s="2" t="s">
        <v>132</v>
      </c>
      <c r="E11" s="2" t="s">
        <v>133</v>
      </c>
      <c r="F11" s="5" t="s">
        <v>107</v>
      </c>
    </row>
    <row r="12" spans="1:6" ht="46" customHeight="1">
      <c r="A12" s="2" t="s">
        <v>134</v>
      </c>
      <c r="B12" s="2" t="s">
        <v>135</v>
      </c>
      <c r="C12" s="2" t="s">
        <v>136</v>
      </c>
      <c r="D12" s="2" t="s">
        <v>53</v>
      </c>
      <c r="E12" s="2" t="s">
        <v>137</v>
      </c>
      <c r="F12" s="5" t="s">
        <v>138</v>
      </c>
    </row>
    <row r="13" spans="1:6" ht="46" customHeight="1">
      <c r="A13" s="2" t="s">
        <v>139</v>
      </c>
      <c r="B13" s="2" t="s">
        <v>140</v>
      </c>
      <c r="C13" s="2" t="s">
        <v>141</v>
      </c>
      <c r="D13" s="2" t="s">
        <v>142</v>
      </c>
      <c r="E13" s="2" t="s">
        <v>143</v>
      </c>
      <c r="F13" s="5" t="s">
        <v>144</v>
      </c>
    </row>
    <row r="15" spans="1:6" ht="23" customHeight="1">
      <c r="A15" s="18" t="s">
        <v>145</v>
      </c>
      <c r="B15" s="18"/>
      <c r="C15" s="18"/>
      <c r="D15" s="18"/>
      <c r="E15" s="18"/>
      <c r="F15" s="18"/>
    </row>
    <row r="16" spans="1:6" ht="16">
      <c r="A16" s="1" t="s">
        <v>146</v>
      </c>
      <c r="B16" s="1" t="s">
        <v>147</v>
      </c>
      <c r="C16" s="1" t="s">
        <v>148</v>
      </c>
    </row>
    <row r="17" spans="1:3" ht="52" customHeight="1">
      <c r="A17" s="2" t="s">
        <v>149</v>
      </c>
      <c r="B17" s="2" t="s">
        <v>150</v>
      </c>
      <c r="C17" s="2" t="s">
        <v>151</v>
      </c>
    </row>
    <row r="18" spans="1:3" ht="52" customHeight="1">
      <c r="A18" s="2" t="s">
        <v>152</v>
      </c>
      <c r="B18" s="2" t="s">
        <v>153</v>
      </c>
      <c r="C18" s="2" t="s">
        <v>154</v>
      </c>
    </row>
    <row r="19" spans="1:3" ht="52" customHeight="1">
      <c r="A19" s="2" t="s">
        <v>155</v>
      </c>
      <c r="B19" s="2" t="s">
        <v>156</v>
      </c>
      <c r="C19" s="2" t="s">
        <v>157</v>
      </c>
    </row>
    <row r="20" spans="1:3" ht="52" customHeight="1">
      <c r="A20" s="2" t="s">
        <v>158</v>
      </c>
      <c r="B20" s="2" t="s">
        <v>159</v>
      </c>
      <c r="C20" s="2" t="s">
        <v>160</v>
      </c>
    </row>
    <row r="21" spans="1:3" ht="52" customHeight="1">
      <c r="A21" s="2" t="s">
        <v>161</v>
      </c>
      <c r="B21" s="2" t="s">
        <v>162</v>
      </c>
      <c r="C21" s="2" t="s">
        <v>163</v>
      </c>
    </row>
  </sheetData>
  <mergeCells count="4">
    <mergeCell ref="A1:F1"/>
    <mergeCell ref="A2:F2"/>
    <mergeCell ref="A4:F4"/>
    <mergeCell ref="A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showGridLines="0" zoomScale="130" zoomScaleNormal="130" workbookViewId="0">
      <selection sqref="A1:D1"/>
    </sheetView>
  </sheetViews>
  <sheetFormatPr baseColWidth="10" defaultColWidth="8.83203125" defaultRowHeight="14"/>
  <cols>
    <col min="1" max="1" width="6" customWidth="1"/>
    <col min="2" max="2" width="48" customWidth="1"/>
    <col min="3" max="3" width="42" customWidth="1"/>
    <col min="4" max="4" width="52" customWidth="1"/>
  </cols>
  <sheetData>
    <row r="1" spans="1:4" ht="30" customHeight="1">
      <c r="A1" s="9" t="s">
        <v>164</v>
      </c>
      <c r="B1" s="9"/>
      <c r="C1" s="9"/>
      <c r="D1" s="9"/>
    </row>
    <row r="2" spans="1:4" ht="34" customHeight="1">
      <c r="A2" s="10" t="s">
        <v>165</v>
      </c>
      <c r="B2" s="10"/>
      <c r="C2" s="10"/>
      <c r="D2" s="10"/>
    </row>
    <row r="4" spans="1:4" ht="16">
      <c r="A4" s="1" t="s">
        <v>62</v>
      </c>
      <c r="B4" s="1" t="s">
        <v>166</v>
      </c>
      <c r="C4" s="1" t="s">
        <v>167</v>
      </c>
      <c r="D4" s="1" t="s">
        <v>168</v>
      </c>
    </row>
    <row r="5" spans="1:4" ht="62" customHeight="1">
      <c r="A5" s="2">
        <v>1</v>
      </c>
      <c r="B5" s="2" t="s">
        <v>169</v>
      </c>
      <c r="C5" s="2" t="s">
        <v>170</v>
      </c>
      <c r="D5" s="3"/>
    </row>
    <row r="6" spans="1:4" ht="62" customHeight="1">
      <c r="A6" s="2">
        <v>2</v>
      </c>
      <c r="B6" s="2" t="s">
        <v>171</v>
      </c>
      <c r="C6" s="2" t="s">
        <v>172</v>
      </c>
      <c r="D6" s="3"/>
    </row>
    <row r="7" spans="1:4" ht="62" customHeight="1">
      <c r="A7" s="2">
        <v>3</v>
      </c>
      <c r="B7" s="2" t="s">
        <v>173</v>
      </c>
      <c r="C7" s="2" t="s">
        <v>174</v>
      </c>
      <c r="D7" s="3"/>
    </row>
    <row r="8" spans="1:4" ht="62" customHeight="1">
      <c r="A8" s="2">
        <v>4</v>
      </c>
      <c r="B8" s="2" t="s">
        <v>175</v>
      </c>
      <c r="C8" s="2" t="s">
        <v>176</v>
      </c>
      <c r="D8" s="3"/>
    </row>
    <row r="9" spans="1:4" ht="62" customHeight="1">
      <c r="A9" s="2">
        <v>5</v>
      </c>
      <c r="B9" s="2" t="s">
        <v>177</v>
      </c>
      <c r="C9" s="2" t="s">
        <v>178</v>
      </c>
      <c r="D9" s="3"/>
    </row>
  </sheetData>
  <mergeCells count="2">
    <mergeCell ref="A1:D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showGridLines="0" zoomScale="130" zoomScaleNormal="130" workbookViewId="0">
      <selection sqref="A1:D1"/>
    </sheetView>
  </sheetViews>
  <sheetFormatPr baseColWidth="10" defaultColWidth="8.83203125" defaultRowHeight="14"/>
  <cols>
    <col min="1" max="1" width="6" customWidth="1"/>
    <col min="2" max="2" width="48" customWidth="1"/>
    <col min="3" max="3" width="42" customWidth="1"/>
    <col min="4" max="4" width="52" customWidth="1"/>
  </cols>
  <sheetData>
    <row r="1" spans="1:4" ht="30" customHeight="1">
      <c r="A1" s="9" t="s">
        <v>179</v>
      </c>
      <c r="B1" s="9"/>
      <c r="C1" s="9"/>
      <c r="D1" s="9"/>
    </row>
    <row r="2" spans="1:4" ht="34" customHeight="1">
      <c r="A2" s="10" t="s">
        <v>180</v>
      </c>
      <c r="B2" s="10"/>
      <c r="C2" s="10"/>
      <c r="D2" s="10"/>
    </row>
    <row r="4" spans="1:4" ht="16">
      <c r="A4" s="1" t="s">
        <v>62</v>
      </c>
      <c r="B4" s="1" t="s">
        <v>181</v>
      </c>
      <c r="C4" s="1" t="s">
        <v>182</v>
      </c>
      <c r="D4" s="1" t="s">
        <v>183</v>
      </c>
    </row>
    <row r="5" spans="1:4" ht="62" customHeight="1">
      <c r="A5" s="2">
        <v>1</v>
      </c>
      <c r="B5" s="2" t="s">
        <v>184</v>
      </c>
      <c r="C5" s="2" t="s">
        <v>185</v>
      </c>
      <c r="D5" s="3"/>
    </row>
    <row r="6" spans="1:4" ht="62" customHeight="1">
      <c r="A6" s="2">
        <v>2</v>
      </c>
      <c r="B6" s="2" t="s">
        <v>186</v>
      </c>
      <c r="C6" s="2" t="s">
        <v>187</v>
      </c>
      <c r="D6" s="3"/>
    </row>
    <row r="7" spans="1:4" ht="62" customHeight="1">
      <c r="A7" s="2">
        <v>3</v>
      </c>
      <c r="B7" s="2" t="s">
        <v>188</v>
      </c>
      <c r="C7" s="2" t="s">
        <v>189</v>
      </c>
      <c r="D7" s="3"/>
    </row>
    <row r="8" spans="1:4" ht="62" customHeight="1">
      <c r="A8" s="2">
        <v>4</v>
      </c>
      <c r="B8" s="2" t="s">
        <v>190</v>
      </c>
      <c r="C8" s="2" t="s">
        <v>191</v>
      </c>
      <c r="D8" s="3"/>
    </row>
    <row r="9" spans="1:4" ht="62" customHeight="1">
      <c r="A9" s="2">
        <v>5</v>
      </c>
      <c r="B9" s="2" t="s">
        <v>192</v>
      </c>
      <c r="C9" s="2" t="s">
        <v>193</v>
      </c>
      <c r="D9" s="3"/>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showGridLines="0" zoomScale="130" zoomScaleNormal="130" workbookViewId="0">
      <selection sqref="A1:F1"/>
    </sheetView>
  </sheetViews>
  <sheetFormatPr baseColWidth="10" defaultColWidth="8.83203125" defaultRowHeight="14"/>
  <cols>
    <col min="1" max="1" width="7" customWidth="1"/>
    <col min="2" max="2" width="19" customWidth="1"/>
    <col min="3" max="3" width="49" customWidth="1"/>
    <col min="4" max="4" width="45" customWidth="1"/>
    <col min="5" max="5" width="42" customWidth="1"/>
    <col min="6" max="6" width="36" customWidth="1"/>
  </cols>
  <sheetData>
    <row r="1" spans="1:6" ht="30" customHeight="1">
      <c r="A1" s="9" t="s">
        <v>194</v>
      </c>
      <c r="B1" s="9"/>
      <c r="C1" s="9"/>
      <c r="D1" s="9"/>
      <c r="E1" s="9"/>
      <c r="F1" s="9"/>
    </row>
    <row r="2" spans="1:6" ht="34" customHeight="1">
      <c r="A2" s="10" t="s">
        <v>195</v>
      </c>
      <c r="B2" s="10"/>
      <c r="C2" s="10"/>
      <c r="D2" s="10"/>
      <c r="E2" s="10"/>
      <c r="F2" s="10"/>
    </row>
    <row r="4" spans="1:6" ht="23" customHeight="1">
      <c r="A4" s="18" t="s">
        <v>196</v>
      </c>
      <c r="B4" s="18"/>
      <c r="C4" s="18"/>
      <c r="D4" s="18"/>
      <c r="E4" s="18"/>
      <c r="F4" s="18"/>
    </row>
    <row r="5" spans="1:6">
      <c r="A5" s="19" t="s">
        <v>197</v>
      </c>
      <c r="B5" s="20"/>
      <c r="C5" s="20"/>
      <c r="D5" s="20"/>
      <c r="E5" s="20"/>
      <c r="F5" s="21"/>
    </row>
    <row r="6" spans="1:6">
      <c r="A6" s="22"/>
      <c r="B6" s="23"/>
      <c r="C6" s="23"/>
      <c r="D6" s="23"/>
      <c r="E6" s="23"/>
      <c r="F6" s="24"/>
    </row>
    <row r="8" spans="1:6" ht="23" customHeight="1">
      <c r="A8" s="11" t="s">
        <v>198</v>
      </c>
      <c r="B8" s="11"/>
      <c r="C8" s="11"/>
      <c r="D8" s="11"/>
      <c r="E8" s="11"/>
      <c r="F8" s="11"/>
    </row>
    <row r="9" spans="1:6" ht="16">
      <c r="A9" s="1" t="s">
        <v>62</v>
      </c>
      <c r="B9" s="1" t="s">
        <v>199</v>
      </c>
      <c r="C9" s="1" t="s">
        <v>200</v>
      </c>
      <c r="D9" s="1" t="s">
        <v>201</v>
      </c>
      <c r="E9" s="1" t="s">
        <v>202</v>
      </c>
      <c r="F9" s="1" t="s">
        <v>203</v>
      </c>
    </row>
    <row r="10" spans="1:6" ht="68" customHeight="1">
      <c r="A10" s="2">
        <v>1</v>
      </c>
      <c r="B10" s="2" t="s">
        <v>204</v>
      </c>
      <c r="C10" s="2" t="s">
        <v>205</v>
      </c>
      <c r="D10" s="2" t="s">
        <v>206</v>
      </c>
      <c r="E10" s="3"/>
      <c r="F10" s="3"/>
    </row>
    <row r="11" spans="1:6" ht="68" customHeight="1">
      <c r="A11" s="2">
        <v>2</v>
      </c>
      <c r="B11" s="2" t="s">
        <v>207</v>
      </c>
      <c r="C11" s="2" t="s">
        <v>208</v>
      </c>
      <c r="D11" s="2" t="s">
        <v>209</v>
      </c>
      <c r="E11" s="3"/>
      <c r="F11" s="3"/>
    </row>
    <row r="12" spans="1:6" ht="68" customHeight="1">
      <c r="A12" s="2">
        <v>3</v>
      </c>
      <c r="B12" s="2" t="s">
        <v>210</v>
      </c>
      <c r="C12" s="2" t="s">
        <v>211</v>
      </c>
      <c r="D12" s="2" t="s">
        <v>212</v>
      </c>
      <c r="E12" s="3"/>
      <c r="F12" s="3"/>
    </row>
    <row r="13" spans="1:6" ht="68" customHeight="1">
      <c r="A13" s="2">
        <v>4</v>
      </c>
      <c r="B13" s="2" t="s">
        <v>213</v>
      </c>
      <c r="C13" s="2" t="s">
        <v>214</v>
      </c>
      <c r="D13" s="2" t="s">
        <v>215</v>
      </c>
      <c r="E13" s="3"/>
      <c r="F13" s="3"/>
    </row>
    <row r="14" spans="1:6" ht="68" customHeight="1">
      <c r="A14" s="2">
        <v>5</v>
      </c>
      <c r="B14" s="2" t="s">
        <v>100</v>
      </c>
      <c r="C14" s="2" t="s">
        <v>216</v>
      </c>
      <c r="D14" s="2" t="s">
        <v>217</v>
      </c>
      <c r="E14" s="3"/>
      <c r="F14" s="3"/>
    </row>
    <row r="15" spans="1:6" ht="68" customHeight="1">
      <c r="A15" s="2">
        <v>6</v>
      </c>
      <c r="B15" s="2" t="s">
        <v>218</v>
      </c>
      <c r="C15" s="2" t="s">
        <v>219</v>
      </c>
      <c r="D15" s="2" t="s">
        <v>220</v>
      </c>
      <c r="E15" s="3"/>
      <c r="F15" s="3"/>
    </row>
    <row r="16" spans="1:6" ht="68" customHeight="1">
      <c r="A16" s="2">
        <v>7</v>
      </c>
      <c r="B16" s="2" t="s">
        <v>221</v>
      </c>
      <c r="C16" s="2" t="s">
        <v>222</v>
      </c>
      <c r="D16" s="2" t="s">
        <v>223</v>
      </c>
      <c r="E16" s="3"/>
      <c r="F16" s="3"/>
    </row>
    <row r="17" spans="1:6" ht="68" customHeight="1">
      <c r="A17" s="2">
        <v>8</v>
      </c>
      <c r="B17" s="2" t="s">
        <v>224</v>
      </c>
      <c r="C17" s="2" t="s">
        <v>225</v>
      </c>
      <c r="D17" s="2" t="s">
        <v>226</v>
      </c>
      <c r="E17" s="3"/>
      <c r="F17" s="3"/>
    </row>
    <row r="19" spans="1:6" ht="23" customHeight="1">
      <c r="A19" s="18" t="s">
        <v>227</v>
      </c>
      <c r="B19" s="18"/>
      <c r="C19" s="18"/>
      <c r="D19" s="18"/>
      <c r="E19" s="18"/>
      <c r="F19" s="18"/>
    </row>
    <row r="20" spans="1:6" ht="42" customHeight="1">
      <c r="A20" s="5" t="s">
        <v>228</v>
      </c>
      <c r="B20" s="25" t="s">
        <v>229</v>
      </c>
      <c r="C20" s="25"/>
      <c r="D20" s="25"/>
      <c r="E20" s="25"/>
      <c r="F20" s="25"/>
    </row>
    <row r="21" spans="1:6" ht="42" customHeight="1">
      <c r="A21" s="5" t="s">
        <v>230</v>
      </c>
      <c r="B21" s="25" t="s">
        <v>231</v>
      </c>
      <c r="C21" s="25"/>
      <c r="D21" s="25"/>
      <c r="E21" s="25"/>
      <c r="F21" s="25"/>
    </row>
    <row r="22" spans="1:6" ht="42" customHeight="1">
      <c r="A22" s="5" t="s">
        <v>232</v>
      </c>
      <c r="B22" s="25" t="s">
        <v>233</v>
      </c>
      <c r="C22" s="25"/>
      <c r="D22" s="25"/>
      <c r="E22" s="25"/>
      <c r="F22" s="25"/>
    </row>
  </sheetData>
  <mergeCells count="9">
    <mergeCell ref="A19:F19"/>
    <mergeCell ref="B20:F20"/>
    <mergeCell ref="B21:F21"/>
    <mergeCell ref="B22:F22"/>
    <mergeCell ref="A1:F1"/>
    <mergeCell ref="A2:F2"/>
    <mergeCell ref="A4:F4"/>
    <mergeCell ref="A5:F6"/>
    <mergeCell ref="A8:F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showGridLines="0" zoomScale="130" zoomScaleNormal="130" workbookViewId="0">
      <selection sqref="A1:F1"/>
    </sheetView>
  </sheetViews>
  <sheetFormatPr baseColWidth="10" defaultColWidth="8.83203125" defaultRowHeight="14"/>
  <cols>
    <col min="1" max="1" width="7" customWidth="1"/>
    <col min="2" max="2" width="19" customWidth="1"/>
    <col min="3" max="3" width="49" customWidth="1"/>
    <col min="4" max="4" width="45" customWidth="1"/>
    <col min="5" max="5" width="42" customWidth="1"/>
    <col min="6" max="6" width="36" customWidth="1"/>
  </cols>
  <sheetData>
    <row r="1" spans="1:6" ht="30" customHeight="1">
      <c r="A1" s="9" t="s">
        <v>234</v>
      </c>
      <c r="B1" s="9"/>
      <c r="C1" s="9"/>
      <c r="D1" s="9"/>
      <c r="E1" s="9"/>
      <c r="F1" s="9"/>
    </row>
    <row r="2" spans="1:6" ht="34" customHeight="1">
      <c r="A2" s="10" t="s">
        <v>235</v>
      </c>
      <c r="B2" s="10"/>
      <c r="C2" s="10"/>
      <c r="D2" s="10"/>
      <c r="E2" s="10"/>
      <c r="F2" s="10"/>
    </row>
    <row r="4" spans="1:6" ht="23" customHeight="1">
      <c r="A4" s="18" t="s">
        <v>236</v>
      </c>
      <c r="B4" s="18"/>
      <c r="C4" s="18"/>
      <c r="D4" s="18"/>
      <c r="E4" s="18"/>
      <c r="F4" s="18"/>
    </row>
    <row r="5" spans="1:6">
      <c r="A5" s="19" t="s">
        <v>237</v>
      </c>
      <c r="B5" s="20"/>
      <c r="C5" s="20"/>
      <c r="D5" s="20"/>
      <c r="E5" s="20"/>
      <c r="F5" s="21"/>
    </row>
    <row r="6" spans="1:6">
      <c r="A6" s="22"/>
      <c r="B6" s="23"/>
      <c r="C6" s="23"/>
      <c r="D6" s="23"/>
      <c r="E6" s="23"/>
      <c r="F6" s="24"/>
    </row>
    <row r="8" spans="1:6" ht="23" customHeight="1">
      <c r="A8" s="11" t="s">
        <v>238</v>
      </c>
      <c r="B8" s="11"/>
      <c r="C8" s="11"/>
      <c r="D8" s="11"/>
      <c r="E8" s="11"/>
      <c r="F8" s="11"/>
    </row>
    <row r="9" spans="1:6" ht="16">
      <c r="A9" s="1" t="s">
        <v>62</v>
      </c>
      <c r="B9" s="1" t="s">
        <v>239</v>
      </c>
      <c r="C9" s="1" t="s">
        <v>240</v>
      </c>
      <c r="D9" s="1" t="s">
        <v>241</v>
      </c>
      <c r="E9" s="1" t="s">
        <v>242</v>
      </c>
      <c r="F9" s="1" t="s">
        <v>243</v>
      </c>
    </row>
    <row r="10" spans="1:6" ht="68" customHeight="1">
      <c r="A10" s="2">
        <v>1</v>
      </c>
      <c r="B10" s="2" t="s">
        <v>244</v>
      </c>
      <c r="C10" s="2" t="s">
        <v>245</v>
      </c>
      <c r="D10" s="2" t="s">
        <v>246</v>
      </c>
      <c r="E10" s="3"/>
      <c r="F10" s="3"/>
    </row>
    <row r="11" spans="1:6" ht="68" customHeight="1">
      <c r="A11" s="2">
        <v>2</v>
      </c>
      <c r="B11" s="2" t="s">
        <v>207</v>
      </c>
      <c r="C11" s="2" t="s">
        <v>247</v>
      </c>
      <c r="D11" s="2" t="s">
        <v>248</v>
      </c>
      <c r="E11" s="3"/>
      <c r="F11" s="3"/>
    </row>
    <row r="12" spans="1:6" ht="68" customHeight="1">
      <c r="A12" s="2">
        <v>3</v>
      </c>
      <c r="B12" s="2" t="s">
        <v>249</v>
      </c>
      <c r="C12" s="2" t="s">
        <v>250</v>
      </c>
      <c r="D12" s="2" t="s">
        <v>251</v>
      </c>
      <c r="E12" s="3"/>
      <c r="F12" s="3"/>
    </row>
    <row r="13" spans="1:6" ht="68" customHeight="1">
      <c r="A13" s="2">
        <v>4</v>
      </c>
      <c r="B13" s="2" t="s">
        <v>252</v>
      </c>
      <c r="C13" s="2" t="s">
        <v>253</v>
      </c>
      <c r="D13" s="2" t="s">
        <v>254</v>
      </c>
      <c r="E13" s="3"/>
      <c r="F13" s="3"/>
    </row>
    <row r="14" spans="1:6" ht="68" customHeight="1">
      <c r="A14" s="2">
        <v>5</v>
      </c>
      <c r="B14" s="2" t="s">
        <v>255</v>
      </c>
      <c r="C14" s="2" t="s">
        <v>256</v>
      </c>
      <c r="D14" s="2" t="s">
        <v>257</v>
      </c>
      <c r="E14" s="3"/>
      <c r="F14" s="3"/>
    </row>
    <row r="15" spans="1:6" ht="68" customHeight="1">
      <c r="A15" s="2">
        <v>6</v>
      </c>
      <c r="B15" s="2" t="s">
        <v>258</v>
      </c>
      <c r="C15" s="2" t="s">
        <v>259</v>
      </c>
      <c r="D15" s="2" t="s">
        <v>260</v>
      </c>
      <c r="E15" s="3"/>
      <c r="F15" s="3"/>
    </row>
    <row r="16" spans="1:6" ht="68" customHeight="1">
      <c r="A16" s="2">
        <v>7</v>
      </c>
      <c r="B16" s="2" t="s">
        <v>261</v>
      </c>
      <c r="C16" s="2" t="s">
        <v>262</v>
      </c>
      <c r="D16" s="2" t="s">
        <v>263</v>
      </c>
      <c r="E16" s="3"/>
      <c r="F16" s="3"/>
    </row>
    <row r="17" spans="1:6" ht="68" customHeight="1">
      <c r="A17" s="2">
        <v>8</v>
      </c>
      <c r="B17" s="2" t="s">
        <v>264</v>
      </c>
      <c r="C17" s="2" t="s">
        <v>265</v>
      </c>
      <c r="D17" s="2" t="s">
        <v>266</v>
      </c>
      <c r="E17" s="3"/>
      <c r="F17" s="3"/>
    </row>
    <row r="19" spans="1:6" ht="23" customHeight="1">
      <c r="A19" s="18" t="s">
        <v>267</v>
      </c>
      <c r="B19" s="18"/>
      <c r="C19" s="18"/>
      <c r="D19" s="18"/>
      <c r="E19" s="18"/>
      <c r="F19" s="18"/>
    </row>
    <row r="20" spans="1:6" ht="42" customHeight="1">
      <c r="A20" s="5" t="s">
        <v>268</v>
      </c>
      <c r="B20" s="25" t="s">
        <v>269</v>
      </c>
      <c r="C20" s="25"/>
      <c r="D20" s="25"/>
      <c r="E20" s="25"/>
      <c r="F20" s="25"/>
    </row>
    <row r="21" spans="1:6" ht="42" customHeight="1">
      <c r="A21" s="5" t="s">
        <v>270</v>
      </c>
      <c r="B21" s="25" t="s">
        <v>271</v>
      </c>
      <c r="C21" s="25"/>
      <c r="D21" s="25"/>
      <c r="E21" s="25"/>
      <c r="F21" s="25"/>
    </row>
    <row r="22" spans="1:6" ht="42" customHeight="1">
      <c r="A22" s="5" t="s">
        <v>272</v>
      </c>
      <c r="B22" s="25" t="s">
        <v>273</v>
      </c>
      <c r="C22" s="25"/>
      <c r="D22" s="25"/>
      <c r="E22" s="25"/>
      <c r="F22" s="25"/>
    </row>
  </sheetData>
  <mergeCells count="9">
    <mergeCell ref="A19:F19"/>
    <mergeCell ref="B20:F20"/>
    <mergeCell ref="B21:F21"/>
    <mergeCell ref="B22:F22"/>
    <mergeCell ref="A1:F1"/>
    <mergeCell ref="A2:F2"/>
    <mergeCell ref="A4:F4"/>
    <mergeCell ref="A5:F6"/>
    <mergeCell ref="A8:F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6"/>
  <sheetViews>
    <sheetView showGridLines="0" zoomScale="130" zoomScaleNormal="130" workbookViewId="0">
      <selection sqref="A1:D1"/>
    </sheetView>
  </sheetViews>
  <sheetFormatPr baseColWidth="10" defaultColWidth="8.83203125" defaultRowHeight="14"/>
  <cols>
    <col min="1" max="1" width="30" customWidth="1"/>
    <col min="2" max="2" width="52" customWidth="1"/>
    <col min="3" max="3" width="48" customWidth="1"/>
    <col min="4" max="4" width="46" customWidth="1"/>
  </cols>
  <sheetData>
    <row r="1" spans="1:4" ht="30" customHeight="1">
      <c r="A1" s="9" t="s">
        <v>274</v>
      </c>
      <c r="B1" s="9"/>
      <c r="C1" s="9"/>
      <c r="D1" s="9"/>
    </row>
    <row r="2" spans="1:4" ht="34" customHeight="1">
      <c r="A2" s="10" t="s">
        <v>275</v>
      </c>
      <c r="B2" s="10"/>
      <c r="C2" s="10"/>
      <c r="D2" s="10"/>
    </row>
    <row r="4" spans="1:4" ht="23" customHeight="1">
      <c r="A4" s="18" t="s">
        <v>276</v>
      </c>
      <c r="B4" s="18"/>
      <c r="C4" s="18"/>
      <c r="D4" s="18"/>
    </row>
    <row r="5" spans="1:4" ht="16">
      <c r="A5" s="1" t="s">
        <v>277</v>
      </c>
      <c r="B5" s="1" t="s">
        <v>278</v>
      </c>
      <c r="C5" s="1" t="s">
        <v>86</v>
      </c>
      <c r="D5" s="1" t="s">
        <v>279</v>
      </c>
    </row>
    <row r="6" spans="1:4" ht="15">
      <c r="A6" s="4" t="s">
        <v>280</v>
      </c>
      <c r="B6" s="3"/>
      <c r="C6" s="5"/>
      <c r="D6" s="2" t="s">
        <v>281</v>
      </c>
    </row>
    <row r="7" spans="1:4" ht="15">
      <c r="A7" s="4" t="s">
        <v>282</v>
      </c>
      <c r="B7" s="3"/>
      <c r="C7" s="5"/>
      <c r="D7" s="2" t="s">
        <v>283</v>
      </c>
    </row>
    <row r="8" spans="1:4" ht="15">
      <c r="A8" s="4" t="s">
        <v>284</v>
      </c>
      <c r="B8" s="3"/>
      <c r="C8" s="5"/>
      <c r="D8" s="2" t="s">
        <v>285</v>
      </c>
    </row>
    <row r="9" spans="1:4" ht="15">
      <c r="A9" s="4" t="s">
        <v>286</v>
      </c>
      <c r="B9" s="3"/>
      <c r="C9" s="5"/>
      <c r="D9" s="2" t="s">
        <v>287</v>
      </c>
    </row>
    <row r="10" spans="1:4" ht="15">
      <c r="A10" s="4" t="s">
        <v>288</v>
      </c>
      <c r="B10" s="3"/>
      <c r="C10" s="5"/>
      <c r="D10" s="2" t="s">
        <v>289</v>
      </c>
    </row>
    <row r="11" spans="1:4" ht="15">
      <c r="A11" s="4" t="s">
        <v>290</v>
      </c>
      <c r="B11" s="3"/>
      <c r="C11" s="5"/>
      <c r="D11" s="2" t="s">
        <v>291</v>
      </c>
    </row>
    <row r="13" spans="1:4" ht="23" customHeight="1">
      <c r="A13" s="11" t="s">
        <v>292</v>
      </c>
      <c r="B13" s="11"/>
      <c r="C13" s="11"/>
      <c r="D13" s="11"/>
    </row>
    <row r="14" spans="1:4" ht="16">
      <c r="A14" s="1" t="s">
        <v>277</v>
      </c>
      <c r="B14" s="1" t="s">
        <v>278</v>
      </c>
      <c r="C14" s="1" t="s">
        <v>86</v>
      </c>
      <c r="D14" s="1" t="s">
        <v>279</v>
      </c>
    </row>
    <row r="15" spans="1:4" ht="47" customHeight="1">
      <c r="A15" s="4" t="s">
        <v>293</v>
      </c>
      <c r="B15" s="3"/>
      <c r="C15" s="5"/>
      <c r="D15" s="2" t="s">
        <v>294</v>
      </c>
    </row>
    <row r="16" spans="1:4" ht="47" customHeight="1">
      <c r="A16" s="4" t="s">
        <v>295</v>
      </c>
      <c r="B16" s="3"/>
      <c r="C16" s="5"/>
      <c r="D16" s="2" t="s">
        <v>296</v>
      </c>
    </row>
    <row r="17" spans="1:4" ht="47" customHeight="1">
      <c r="A17" s="4" t="s">
        <v>297</v>
      </c>
      <c r="B17" s="3"/>
      <c r="C17" s="5"/>
      <c r="D17" s="2" t="s">
        <v>298</v>
      </c>
    </row>
    <row r="18" spans="1:4" ht="47" customHeight="1">
      <c r="A18" s="4" t="s">
        <v>299</v>
      </c>
      <c r="B18" s="3"/>
      <c r="C18" s="5"/>
      <c r="D18" s="2" t="s">
        <v>300</v>
      </c>
    </row>
    <row r="19" spans="1:4" ht="47" customHeight="1">
      <c r="A19" s="4" t="s">
        <v>301</v>
      </c>
      <c r="B19" s="3"/>
      <c r="C19" s="5"/>
      <c r="D19" s="2" t="s">
        <v>302</v>
      </c>
    </row>
    <row r="20" spans="1:4" ht="47" customHeight="1">
      <c r="A20" s="4" t="s">
        <v>303</v>
      </c>
      <c r="B20" s="3"/>
      <c r="C20" s="5"/>
      <c r="D20" s="2" t="s">
        <v>304</v>
      </c>
    </row>
    <row r="21" spans="1:4" ht="47" customHeight="1">
      <c r="A21" s="4" t="s">
        <v>305</v>
      </c>
      <c r="B21" s="3"/>
      <c r="C21" s="5"/>
      <c r="D21" s="2" t="s">
        <v>306</v>
      </c>
    </row>
    <row r="22" spans="1:4" ht="47" customHeight="1">
      <c r="A22" s="4" t="s">
        <v>307</v>
      </c>
      <c r="B22" s="3"/>
      <c r="C22" s="5"/>
      <c r="D22" s="2" t="s">
        <v>308</v>
      </c>
    </row>
    <row r="23" spans="1:4" ht="47" customHeight="1">
      <c r="A23" s="4" t="s">
        <v>309</v>
      </c>
      <c r="B23" s="3"/>
      <c r="C23" s="5"/>
      <c r="D23" s="2" t="s">
        <v>310</v>
      </c>
    </row>
    <row r="24" spans="1:4" ht="47" customHeight="1">
      <c r="A24" s="4" t="s">
        <v>311</v>
      </c>
      <c r="B24" s="3"/>
      <c r="C24" s="5"/>
      <c r="D24" s="2" t="s">
        <v>312</v>
      </c>
    </row>
    <row r="25" spans="1:4" ht="47" customHeight="1">
      <c r="A25" s="4" t="s">
        <v>313</v>
      </c>
      <c r="B25" s="3"/>
      <c r="C25" s="5"/>
      <c r="D25" s="2" t="s">
        <v>314</v>
      </c>
    </row>
    <row r="26" spans="1:4" ht="47" customHeight="1">
      <c r="A26" s="4" t="s">
        <v>315</v>
      </c>
      <c r="B26" s="3"/>
      <c r="C26" s="5"/>
      <c r="D26" s="2" t="s">
        <v>316</v>
      </c>
    </row>
    <row r="27" spans="1:4" ht="47" customHeight="1">
      <c r="A27" s="4" t="s">
        <v>317</v>
      </c>
      <c r="B27" s="3"/>
      <c r="C27" s="5"/>
      <c r="D27" s="2" t="s">
        <v>318</v>
      </c>
    </row>
    <row r="28" spans="1:4" ht="47" customHeight="1">
      <c r="A28" s="4" t="s">
        <v>319</v>
      </c>
      <c r="B28" s="3"/>
      <c r="C28" s="5"/>
      <c r="D28" s="2" t="s">
        <v>320</v>
      </c>
    </row>
    <row r="30" spans="1:4" ht="23" customHeight="1">
      <c r="A30" s="18" t="s">
        <v>321</v>
      </c>
      <c r="B30" s="18"/>
      <c r="C30" s="18"/>
      <c r="D30" s="18"/>
    </row>
    <row r="31" spans="1:4" ht="16">
      <c r="A31" s="1" t="s">
        <v>277</v>
      </c>
      <c r="B31" s="1" t="s">
        <v>278</v>
      </c>
      <c r="C31" s="1" t="s">
        <v>86</v>
      </c>
      <c r="D31" s="1" t="s">
        <v>279</v>
      </c>
    </row>
    <row r="32" spans="1:4" ht="47" customHeight="1">
      <c r="A32" s="4" t="s">
        <v>322</v>
      </c>
      <c r="B32" s="3"/>
      <c r="C32" s="5"/>
      <c r="D32" s="2" t="s">
        <v>323</v>
      </c>
    </row>
    <row r="33" spans="1:4" ht="47" customHeight="1">
      <c r="A33" s="4" t="s">
        <v>324</v>
      </c>
      <c r="B33" s="3"/>
      <c r="C33" s="5"/>
      <c r="D33" s="2" t="s">
        <v>325</v>
      </c>
    </row>
    <row r="34" spans="1:4" ht="47" customHeight="1">
      <c r="A34" s="4" t="s">
        <v>326</v>
      </c>
      <c r="B34" s="3"/>
      <c r="C34" s="5"/>
      <c r="D34" s="2" t="s">
        <v>327</v>
      </c>
    </row>
    <row r="35" spans="1:4" ht="47" customHeight="1">
      <c r="A35" s="4" t="s">
        <v>328</v>
      </c>
      <c r="B35" s="3"/>
      <c r="C35" s="5"/>
      <c r="D35" s="2" t="s">
        <v>329</v>
      </c>
    </row>
    <row r="36" spans="1:4" ht="47" customHeight="1">
      <c r="A36" s="4" t="s">
        <v>330</v>
      </c>
      <c r="B36" s="3"/>
      <c r="C36" s="5"/>
      <c r="D36" s="2" t="s">
        <v>331</v>
      </c>
    </row>
  </sheetData>
  <mergeCells count="5">
    <mergeCell ref="A1:D1"/>
    <mergeCell ref="A2:D2"/>
    <mergeCell ref="A4:D4"/>
    <mergeCell ref="A13:D13"/>
    <mergeCell ref="A30:D3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600-000000000000}">
          <x14:formula1>
            <xm:f>'Branch Prompts'!$B$5:$B$23</xm:f>
          </x14:formula1>
          <xm:sqref>B10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7"/>
  <sheetViews>
    <sheetView showGridLines="0" zoomScale="130" zoomScaleNormal="130" workbookViewId="0">
      <selection sqref="A1:O1"/>
    </sheetView>
  </sheetViews>
  <sheetFormatPr baseColWidth="10" defaultColWidth="8.83203125" defaultRowHeight="14"/>
  <cols>
    <col min="1" max="1" width="8" customWidth="1"/>
    <col min="2" max="2" width="34" customWidth="1"/>
    <col min="3" max="3" width="17" customWidth="1"/>
    <col min="4" max="4" width="15" customWidth="1"/>
    <col min="5" max="5" width="16" customWidth="1"/>
    <col min="6" max="6" width="18" customWidth="1"/>
    <col min="7" max="7" width="17" customWidth="1"/>
    <col min="8" max="8" width="22" customWidth="1"/>
    <col min="9" max="9" width="17" customWidth="1"/>
    <col min="10" max="10" width="16" customWidth="1"/>
    <col min="11" max="11" width="15" customWidth="1"/>
    <col min="12" max="12" width="16" customWidth="1"/>
    <col min="13" max="13" width="21" customWidth="1"/>
    <col min="14" max="14" width="15" customWidth="1"/>
    <col min="15" max="15" width="34" customWidth="1"/>
  </cols>
  <sheetData>
    <row r="1" spans="1:15" ht="30" customHeight="1">
      <c r="A1" s="9" t="s">
        <v>332</v>
      </c>
      <c r="B1" s="9"/>
      <c r="C1" s="9"/>
      <c r="D1" s="9"/>
      <c r="E1" s="9"/>
      <c r="F1" s="9"/>
      <c r="G1" s="9"/>
      <c r="H1" s="9"/>
      <c r="I1" s="9"/>
      <c r="J1" s="9"/>
      <c r="K1" s="9"/>
      <c r="L1" s="9"/>
      <c r="M1" s="9"/>
      <c r="N1" s="9"/>
      <c r="O1" s="9"/>
    </row>
    <row r="2" spans="1:15" ht="34" customHeight="1">
      <c r="A2" s="10" t="s">
        <v>333</v>
      </c>
      <c r="B2" s="10"/>
      <c r="C2" s="10"/>
      <c r="D2" s="10"/>
      <c r="E2" s="10"/>
      <c r="F2" s="10"/>
      <c r="G2" s="10"/>
      <c r="H2" s="10"/>
      <c r="I2" s="10"/>
      <c r="J2" s="10"/>
      <c r="K2" s="10"/>
      <c r="L2" s="10"/>
      <c r="M2" s="10"/>
      <c r="N2" s="10"/>
      <c r="O2" s="10"/>
    </row>
    <row r="4" spans="1:15" ht="23" customHeight="1">
      <c r="A4" s="18" t="s">
        <v>334</v>
      </c>
      <c r="B4" s="18"/>
      <c r="C4" s="18"/>
      <c r="D4" s="18"/>
      <c r="E4" s="18"/>
      <c r="F4" s="18"/>
      <c r="G4" s="18"/>
      <c r="H4" s="18"/>
      <c r="I4" s="18"/>
      <c r="J4" s="18"/>
      <c r="K4" s="18"/>
      <c r="L4" s="18"/>
      <c r="M4" s="18"/>
      <c r="N4" s="18"/>
      <c r="O4" s="18"/>
    </row>
    <row r="5" spans="1:15" ht="32">
      <c r="A5" s="1" t="s">
        <v>335</v>
      </c>
      <c r="B5" s="1" t="s">
        <v>336</v>
      </c>
      <c r="C5" s="1" t="s">
        <v>337</v>
      </c>
      <c r="D5" s="1" t="s">
        <v>338</v>
      </c>
      <c r="E5" s="1" t="s">
        <v>339</v>
      </c>
      <c r="F5" s="1" t="s">
        <v>340</v>
      </c>
      <c r="G5" s="1" t="s">
        <v>341</v>
      </c>
      <c r="H5" s="1" t="s">
        <v>342</v>
      </c>
      <c r="I5" s="1" t="s">
        <v>343</v>
      </c>
      <c r="J5" s="1" t="s">
        <v>344</v>
      </c>
      <c r="K5" s="1" t="s">
        <v>345</v>
      </c>
      <c r="L5" s="1" t="s">
        <v>346</v>
      </c>
      <c r="M5" s="1" t="s">
        <v>347</v>
      </c>
      <c r="N5" s="1" t="s">
        <v>348</v>
      </c>
      <c r="O5" s="1" t="s">
        <v>349</v>
      </c>
    </row>
    <row r="6" spans="1:15" ht="48" customHeight="1">
      <c r="A6" s="6" t="s">
        <v>350</v>
      </c>
      <c r="B6" s="6"/>
      <c r="C6" s="6" t="s">
        <v>351</v>
      </c>
      <c r="D6" s="6" t="s">
        <v>352</v>
      </c>
      <c r="E6" s="6" t="s">
        <v>351</v>
      </c>
      <c r="F6" s="6" t="s">
        <v>351</v>
      </c>
      <c r="G6" s="6" t="s">
        <v>351</v>
      </c>
      <c r="H6" s="6" t="s">
        <v>353</v>
      </c>
      <c r="I6" s="6" t="s">
        <v>351</v>
      </c>
      <c r="J6" s="6" t="s">
        <v>351</v>
      </c>
      <c r="K6" s="5" t="str">
        <f>IF(B6="","",IF(OR(AND(C6="High",OR(D6="Daily",D6="Weekly")),F6="High",AND(E6="High",D6&lt;&gt;"Occasional")),"High",IF(OR(C6="Medium",E6="Medium",F6="Medium"),"Medium","Low")))</f>
        <v/>
      </c>
      <c r="L6" s="5" t="str">
        <f>IF(B6="","",IF(OR(H6="Blocked",I6="High",J6="Large"),"Investigate",IF(AND(OR(G6="High",G6="Medium"),OR(H6="Ready",H6="Partial"),OR(J6="Small",J6="Medium")),"Good","Partial")))</f>
        <v/>
      </c>
      <c r="M6" s="5" t="str">
        <f>IF(B6="","",IF(AND(K6="High",L6="Good"),"Strong candidate",IF(AND(K6&lt;&gt;"Low",L6&lt;&gt;"Investigate"),"Possible candidate",IF(L6="Investigate","Investigate first","Low priority"))))</f>
        <v/>
      </c>
      <c r="N6" s="6" t="s">
        <v>354</v>
      </c>
      <c r="O6" s="6"/>
    </row>
    <row r="7" spans="1:15" ht="48" customHeight="1">
      <c r="A7" s="6" t="s">
        <v>355</v>
      </c>
      <c r="B7" s="6"/>
      <c r="C7" s="6" t="s">
        <v>351</v>
      </c>
      <c r="D7" s="6" t="s">
        <v>352</v>
      </c>
      <c r="E7" s="6" t="s">
        <v>351</v>
      </c>
      <c r="F7" s="6" t="s">
        <v>351</v>
      </c>
      <c r="G7" s="6" t="s">
        <v>351</v>
      </c>
      <c r="H7" s="6" t="s">
        <v>353</v>
      </c>
      <c r="I7" s="6" t="s">
        <v>351</v>
      </c>
      <c r="J7" s="6" t="s">
        <v>351</v>
      </c>
      <c r="K7" s="5" t="str">
        <f>IF(B7="","",IF(OR(AND(C7="High",OR(D7="Daily",D7="Weekly")),F7="High",AND(E7="High",D7&lt;&gt;"Occasional")),"High",IF(OR(C7="Medium",E7="Medium",F7="Medium"),"Medium","Low")))</f>
        <v/>
      </c>
      <c r="L7" s="5" t="str">
        <f>IF(B7="","",IF(OR(H7="Blocked",I7="High",J7="Large"),"Investigate",IF(AND(OR(G7="High",G7="Medium"),OR(H7="Ready",H7="Partial"),OR(J7="Small",J7="Medium")),"Good","Partial")))</f>
        <v/>
      </c>
      <c r="M7" s="5" t="str">
        <f>IF(B7="","",IF(AND(K7="High",L7="Good"),"Strong candidate",IF(AND(K7&lt;&gt;"Low",L7&lt;&gt;"Investigate"),"Possible candidate",IF(L7="Investigate","Investigate first","Low priority"))))</f>
        <v/>
      </c>
      <c r="N7" s="6" t="s">
        <v>354</v>
      </c>
      <c r="O7" s="6"/>
    </row>
    <row r="8" spans="1:15" ht="48" customHeight="1">
      <c r="A8" s="6" t="s">
        <v>356</v>
      </c>
      <c r="B8" s="6"/>
      <c r="C8" s="6" t="s">
        <v>351</v>
      </c>
      <c r="D8" s="6" t="s">
        <v>352</v>
      </c>
      <c r="E8" s="6" t="s">
        <v>351</v>
      </c>
      <c r="F8" s="6" t="s">
        <v>351</v>
      </c>
      <c r="G8" s="6" t="s">
        <v>351</v>
      </c>
      <c r="H8" s="6" t="s">
        <v>353</v>
      </c>
      <c r="I8" s="6" t="s">
        <v>351</v>
      </c>
      <c r="J8" s="6" t="s">
        <v>351</v>
      </c>
      <c r="K8" s="5" t="str">
        <f>IF(B8="","",IF(OR(AND(C8="High",OR(D8="Daily",D8="Weekly")),F8="High",AND(E8="High",D8&lt;&gt;"Occasional")),"High",IF(OR(C8="Medium",E8="Medium",F8="Medium"),"Medium","Low")))</f>
        <v/>
      </c>
      <c r="L8" s="5" t="str">
        <f>IF(B8="","",IF(OR(H8="Blocked",I8="High",J8="Large"),"Investigate",IF(AND(OR(G8="High",G8="Medium"),OR(H8="Ready",H8="Partial"),OR(J8="Small",J8="Medium")),"Good","Partial")))</f>
        <v/>
      </c>
      <c r="M8" s="5" t="str">
        <f>IF(B8="","",IF(AND(K8="High",L8="Good"),"Strong candidate",IF(AND(K8&lt;&gt;"Low",L8&lt;&gt;"Investigate"),"Possible candidate",IF(L8="Investigate","Investigate first","Low priority"))))</f>
        <v/>
      </c>
      <c r="N8" s="6" t="s">
        <v>354</v>
      </c>
      <c r="O8" s="6"/>
    </row>
    <row r="9" spans="1:15" ht="48" customHeight="1">
      <c r="A9" s="6" t="s">
        <v>357</v>
      </c>
      <c r="B9" s="6"/>
      <c r="C9" s="6" t="s">
        <v>351</v>
      </c>
      <c r="D9" s="6" t="s">
        <v>352</v>
      </c>
      <c r="E9" s="6" t="s">
        <v>351</v>
      </c>
      <c r="F9" s="6" t="s">
        <v>351</v>
      </c>
      <c r="G9" s="6" t="s">
        <v>351</v>
      </c>
      <c r="H9" s="6" t="s">
        <v>353</v>
      </c>
      <c r="I9" s="6" t="s">
        <v>351</v>
      </c>
      <c r="J9" s="6" t="s">
        <v>351</v>
      </c>
      <c r="K9" s="5" t="str">
        <f>IF(B9="","",IF(OR(AND(C9="High",OR(D9="Daily",D9="Weekly")),F9="High",AND(E9="High",D9&lt;&gt;"Occasional")),"High",IF(OR(C9="Medium",E9="Medium",F9="Medium"),"Medium","Low")))</f>
        <v/>
      </c>
      <c r="L9" s="5" t="str">
        <f>IF(B9="","",IF(OR(H9="Blocked",I9="High",J9="Large"),"Investigate",IF(AND(OR(G9="High",G9="Medium"),OR(H9="Ready",H9="Partial"),OR(J9="Small",J9="Medium")),"Good","Partial")))</f>
        <v/>
      </c>
      <c r="M9" s="5" t="str">
        <f>IF(B9="","",IF(AND(K9="High",L9="Good"),"Strong candidate",IF(AND(K9&lt;&gt;"Low",L9&lt;&gt;"Investigate"),"Possible candidate",IF(L9="Investigate","Investigate first","Low priority"))))</f>
        <v/>
      </c>
      <c r="N9" s="6" t="s">
        <v>354</v>
      </c>
      <c r="O9" s="6"/>
    </row>
    <row r="10" spans="1:15" ht="48" customHeight="1">
      <c r="A10" s="6" t="s">
        <v>358</v>
      </c>
      <c r="B10" s="6"/>
      <c r="C10" s="6" t="s">
        <v>351</v>
      </c>
      <c r="D10" s="6" t="s">
        <v>352</v>
      </c>
      <c r="E10" s="6" t="s">
        <v>351</v>
      </c>
      <c r="F10" s="6" t="s">
        <v>351</v>
      </c>
      <c r="G10" s="6" t="s">
        <v>351</v>
      </c>
      <c r="H10" s="6" t="s">
        <v>353</v>
      </c>
      <c r="I10" s="6" t="s">
        <v>351</v>
      </c>
      <c r="J10" s="6" t="s">
        <v>351</v>
      </c>
      <c r="K10" s="5" t="str">
        <f>IF(B10="","",IF(OR(AND(C10="High",OR(D10="Daily",D10="Weekly")),F10="High",AND(E10="High",D10&lt;&gt;"Occasional")),"High",IF(OR(C10="Medium",E10="Medium",F10="Medium"),"Medium","Low")))</f>
        <v/>
      </c>
      <c r="L10" s="5" t="str">
        <f>IF(B10="","",IF(OR(H10="Blocked",I10="High",J10="Large"),"Investigate",IF(AND(OR(G10="High",G10="Medium"),OR(H10="Ready",H10="Partial"),OR(J10="Small",J10="Medium")),"Good","Partial")))</f>
        <v/>
      </c>
      <c r="M10" s="5" t="str">
        <f>IF(B10="","",IF(AND(K10="High",L10="Good"),"Strong candidate",IF(AND(K10&lt;&gt;"Low",L10&lt;&gt;"Investigate"),"Possible candidate",IF(L10="Investigate","Investigate first","Low priority"))))</f>
        <v/>
      </c>
      <c r="N10" s="6" t="s">
        <v>354</v>
      </c>
      <c r="O10" s="6"/>
    </row>
    <row r="12" spans="1:15" ht="23" customHeight="1">
      <c r="A12" s="11" t="s">
        <v>359</v>
      </c>
      <c r="B12" s="11"/>
      <c r="C12" s="11"/>
      <c r="D12" s="11"/>
      <c r="E12" s="11"/>
      <c r="F12" s="11"/>
      <c r="G12" s="11"/>
      <c r="H12" s="11"/>
      <c r="I12" s="11"/>
      <c r="J12" s="11"/>
      <c r="K12" s="11"/>
      <c r="L12" s="11"/>
      <c r="M12" s="11"/>
      <c r="N12" s="11"/>
      <c r="O12" s="11"/>
    </row>
    <row r="13" spans="1:15" ht="16">
      <c r="A13" s="1" t="s">
        <v>360</v>
      </c>
      <c r="B13" s="1" t="s">
        <v>79</v>
      </c>
      <c r="C13" s="1" t="s">
        <v>361</v>
      </c>
    </row>
    <row r="14" spans="1:15" ht="45">
      <c r="A14" s="2" t="s">
        <v>362</v>
      </c>
      <c r="B14" s="2" t="s">
        <v>363</v>
      </c>
      <c r="C14" s="2" t="s">
        <v>364</v>
      </c>
    </row>
    <row r="15" spans="1:15" ht="45">
      <c r="A15" s="2" t="s">
        <v>365</v>
      </c>
      <c r="B15" s="2" t="s">
        <v>366</v>
      </c>
      <c r="C15" s="2" t="s">
        <v>367</v>
      </c>
    </row>
    <row r="16" spans="1:15" ht="30">
      <c r="A16" s="2" t="s">
        <v>368</v>
      </c>
      <c r="B16" s="2" t="s">
        <v>369</v>
      </c>
      <c r="C16" s="2" t="s">
        <v>370</v>
      </c>
    </row>
    <row r="17" spans="1:3" ht="30">
      <c r="A17" s="2" t="s">
        <v>371</v>
      </c>
      <c r="B17" s="2" t="s">
        <v>372</v>
      </c>
      <c r="C17" s="2" t="s">
        <v>373</v>
      </c>
    </row>
  </sheetData>
  <mergeCells count="4">
    <mergeCell ref="A1:O1"/>
    <mergeCell ref="A2:O2"/>
    <mergeCell ref="A4:O4"/>
    <mergeCell ref="A12:O12"/>
  </mergeCells>
  <dataValidations count="5">
    <dataValidation type="list" sqref="C6:C10 I6:I10 E6:G10" xr:uid="{00000000-0002-0000-0700-000000000000}">
      <formula1>"High,Medium,Low"</formula1>
    </dataValidation>
    <dataValidation type="list" sqref="D6:D10" xr:uid="{00000000-0002-0000-0700-000001000000}">
      <formula1>"Daily,Weekly,Monthly,Occasional"</formula1>
    </dataValidation>
    <dataValidation type="list" sqref="H6:H10" xr:uid="{00000000-0002-0000-0700-000003000000}">
      <formula1>"Ready,Partial,Unknown,Blocked"</formula1>
    </dataValidation>
    <dataValidation type="list" sqref="J6:J10" xr:uid="{00000000-0002-0000-0700-000005000000}">
      <formula1>"Small,Medium,Large"</formula1>
    </dataValidation>
    <dataValidation type="list" sqref="N6:N10" xr:uid="{00000000-0002-0000-0700-000006000000}">
      <formula1>"MVP,Later,Investigate,No"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4"/>
  <sheetViews>
    <sheetView showGridLines="0" zoomScale="130" zoomScaleNormal="130" workbookViewId="0">
      <selection sqref="A1:E1"/>
    </sheetView>
  </sheetViews>
  <sheetFormatPr baseColWidth="10" defaultColWidth="8.83203125" defaultRowHeight="14"/>
  <cols>
    <col min="1" max="1" width="33" customWidth="1"/>
    <col min="2" max="2" width="48" customWidth="1"/>
    <col min="3" max="3" width="36" customWidth="1"/>
    <col min="4" max="4" width="38" customWidth="1"/>
    <col min="5" max="5" width="36" customWidth="1"/>
  </cols>
  <sheetData>
    <row r="1" spans="1:5" ht="30" customHeight="1">
      <c r="A1" s="9" t="s">
        <v>374</v>
      </c>
      <c r="B1" s="9"/>
      <c r="C1" s="9"/>
      <c r="D1" s="9"/>
      <c r="E1" s="9"/>
    </row>
    <row r="2" spans="1:5" ht="34" customHeight="1">
      <c r="A2" s="10" t="s">
        <v>375</v>
      </c>
      <c r="B2" s="10"/>
      <c r="C2" s="10"/>
      <c r="D2" s="10"/>
      <c r="E2" s="10"/>
    </row>
    <row r="4" spans="1:5" ht="23" customHeight="1">
      <c r="A4" s="18" t="s">
        <v>376</v>
      </c>
      <c r="B4" s="18"/>
      <c r="C4" s="18"/>
      <c r="D4" s="18"/>
      <c r="E4" s="18"/>
    </row>
    <row r="5" spans="1:5" ht="16">
      <c r="A5" s="1" t="s">
        <v>277</v>
      </c>
      <c r="B5" s="1" t="s">
        <v>377</v>
      </c>
      <c r="C5" s="1" t="s">
        <v>378</v>
      </c>
      <c r="D5" s="1" t="s">
        <v>379</v>
      </c>
      <c r="E5" s="1" t="s">
        <v>380</v>
      </c>
    </row>
    <row r="6" spans="1:5" ht="45" customHeight="1">
      <c r="A6" s="4" t="s">
        <v>381</v>
      </c>
      <c r="B6" s="3"/>
      <c r="C6" s="3"/>
      <c r="D6" s="5"/>
      <c r="E6" s="5"/>
    </row>
    <row r="7" spans="1:5" ht="45" customHeight="1">
      <c r="A7" s="4" t="s">
        <v>322</v>
      </c>
      <c r="B7" s="3"/>
      <c r="C7" s="3"/>
      <c r="D7" s="5"/>
      <c r="E7" s="5"/>
    </row>
    <row r="8" spans="1:5" ht="45" customHeight="1">
      <c r="A8" s="4" t="s">
        <v>382</v>
      </c>
      <c r="B8" s="3"/>
      <c r="C8" s="3"/>
      <c r="D8" s="5"/>
      <c r="E8" s="5"/>
    </row>
    <row r="9" spans="1:5" ht="45" customHeight="1">
      <c r="A9" s="4" t="s">
        <v>383</v>
      </c>
      <c r="B9" s="3"/>
      <c r="C9" s="3"/>
      <c r="D9" s="5"/>
      <c r="E9" s="5"/>
    </row>
    <row r="10" spans="1:5" ht="45" customHeight="1">
      <c r="A10" s="4" t="s">
        <v>384</v>
      </c>
      <c r="B10" s="3"/>
      <c r="C10" s="3"/>
      <c r="D10" s="5"/>
      <c r="E10" s="5"/>
    </row>
    <row r="11" spans="1:5" ht="45" customHeight="1">
      <c r="A11" s="4" t="s">
        <v>385</v>
      </c>
      <c r="B11" s="3"/>
      <c r="C11" s="3"/>
      <c r="D11" s="5"/>
      <c r="E11" s="5"/>
    </row>
    <row r="12" spans="1:5" ht="45" customHeight="1">
      <c r="A12" s="4" t="s">
        <v>386</v>
      </c>
      <c r="B12" s="3"/>
      <c r="C12" s="3"/>
      <c r="D12" s="5"/>
      <c r="E12" s="5"/>
    </row>
    <row r="14" spans="1:5" ht="23" customHeight="1">
      <c r="A14" s="11" t="s">
        <v>387</v>
      </c>
      <c r="B14" s="11"/>
      <c r="C14" s="11"/>
      <c r="D14" s="11"/>
      <c r="E14" s="11"/>
    </row>
    <row r="15" spans="1:5" ht="16">
      <c r="A15" s="1" t="s">
        <v>5</v>
      </c>
      <c r="B15" s="1" t="s">
        <v>388</v>
      </c>
      <c r="C15" s="1" t="s">
        <v>389</v>
      </c>
      <c r="D15" s="1" t="s">
        <v>390</v>
      </c>
      <c r="E15" s="1" t="s">
        <v>391</v>
      </c>
    </row>
    <row r="16" spans="1:5" ht="50" customHeight="1">
      <c r="A16" s="4" t="s">
        <v>392</v>
      </c>
      <c r="B16" s="3"/>
      <c r="C16" s="3"/>
      <c r="D16" s="5"/>
      <c r="E16" s="5"/>
    </row>
    <row r="17" spans="1:5" ht="50" customHeight="1">
      <c r="A17" s="4" t="s">
        <v>393</v>
      </c>
      <c r="B17" s="3"/>
      <c r="C17" s="3"/>
      <c r="D17" s="5"/>
      <c r="E17" s="5"/>
    </row>
    <row r="18" spans="1:5" ht="50" customHeight="1">
      <c r="A18" s="4" t="s">
        <v>394</v>
      </c>
      <c r="B18" s="3"/>
      <c r="C18" s="3"/>
      <c r="D18" s="5"/>
      <c r="E18" s="5"/>
    </row>
    <row r="19" spans="1:5" ht="50" customHeight="1">
      <c r="A19" s="4" t="s">
        <v>395</v>
      </c>
      <c r="B19" s="3"/>
      <c r="C19" s="3"/>
      <c r="D19" s="5"/>
      <c r="E19" s="5"/>
    </row>
    <row r="20" spans="1:5" ht="50" customHeight="1">
      <c r="A20" s="4" t="s">
        <v>396</v>
      </c>
      <c r="B20" s="3"/>
      <c r="C20" s="3"/>
      <c r="D20" s="5"/>
      <c r="E20" s="5"/>
    </row>
    <row r="22" spans="1:5" ht="23" customHeight="1">
      <c r="A22" s="11" t="s">
        <v>397</v>
      </c>
      <c r="B22" s="11"/>
      <c r="C22" s="11"/>
      <c r="D22" s="11"/>
      <c r="E22" s="11"/>
    </row>
    <row r="23" spans="1:5" ht="16">
      <c r="A23" s="1" t="s">
        <v>398</v>
      </c>
      <c r="B23" s="1" t="s">
        <v>399</v>
      </c>
      <c r="C23" s="1" t="s">
        <v>400</v>
      </c>
      <c r="D23" s="1" t="s">
        <v>401</v>
      </c>
      <c r="E23" s="1" t="s">
        <v>148</v>
      </c>
    </row>
    <row r="24" spans="1:5" ht="40" customHeight="1">
      <c r="A24" s="4" t="s">
        <v>402</v>
      </c>
      <c r="B24" s="6" t="s">
        <v>403</v>
      </c>
      <c r="C24" s="5"/>
      <c r="D24" s="5"/>
      <c r="E24" s="5"/>
    </row>
    <row r="25" spans="1:5" ht="40" customHeight="1">
      <c r="A25" s="4" t="s">
        <v>404</v>
      </c>
      <c r="B25" s="6" t="s">
        <v>405</v>
      </c>
      <c r="C25" s="5"/>
      <c r="D25" s="5"/>
      <c r="E25" s="5"/>
    </row>
    <row r="26" spans="1:5" ht="40" customHeight="1">
      <c r="A26" s="4" t="s">
        <v>406</v>
      </c>
      <c r="B26" s="6" t="s">
        <v>405</v>
      </c>
      <c r="C26" s="5"/>
      <c r="D26" s="5"/>
      <c r="E26" s="5"/>
    </row>
    <row r="27" spans="1:5" ht="40" customHeight="1">
      <c r="A27" s="4" t="s">
        <v>407</v>
      </c>
      <c r="B27" s="6" t="s">
        <v>405</v>
      </c>
      <c r="C27" s="5"/>
      <c r="D27" s="5"/>
      <c r="E27" s="5"/>
    </row>
    <row r="28" spans="1:5" ht="40" customHeight="1">
      <c r="A28" s="4" t="s">
        <v>408</v>
      </c>
      <c r="B28" s="6" t="s">
        <v>403</v>
      </c>
      <c r="C28" s="5"/>
      <c r="D28" s="5"/>
      <c r="E28" s="5"/>
    </row>
    <row r="29" spans="1:5" ht="40" customHeight="1">
      <c r="A29" s="4" t="s">
        <v>409</v>
      </c>
      <c r="B29" s="6" t="s">
        <v>405</v>
      </c>
      <c r="C29" s="5"/>
      <c r="D29" s="5"/>
      <c r="E29" s="5"/>
    </row>
    <row r="30" spans="1:5" ht="40" customHeight="1">
      <c r="A30" s="4" t="s">
        <v>410</v>
      </c>
      <c r="B30" s="6" t="s">
        <v>411</v>
      </c>
      <c r="C30" s="5"/>
      <c r="D30" s="5"/>
      <c r="E30" s="5"/>
    </row>
    <row r="31" spans="1:5" ht="40" customHeight="1">
      <c r="A31" s="4" t="s">
        <v>412</v>
      </c>
      <c r="B31" s="6" t="s">
        <v>411</v>
      </c>
      <c r="C31" s="5"/>
      <c r="D31" s="5"/>
      <c r="E31" s="5"/>
    </row>
    <row r="32" spans="1:5" ht="40" customHeight="1">
      <c r="A32" s="4" t="s">
        <v>413</v>
      </c>
      <c r="B32" s="6" t="s">
        <v>411</v>
      </c>
      <c r="C32" s="5"/>
      <c r="D32" s="5"/>
      <c r="E32" s="5"/>
    </row>
    <row r="34" spans="1:5" ht="23" customHeight="1">
      <c r="A34" s="18" t="s">
        <v>414</v>
      </c>
      <c r="B34" s="18"/>
      <c r="C34" s="18"/>
      <c r="D34" s="18"/>
      <c r="E34" s="18"/>
    </row>
    <row r="35" spans="1:5" ht="16">
      <c r="A35" s="1" t="s">
        <v>277</v>
      </c>
      <c r="B35" s="1" t="s">
        <v>377</v>
      </c>
      <c r="C35" s="1" t="s">
        <v>378</v>
      </c>
      <c r="D35" s="1" t="s">
        <v>379</v>
      </c>
      <c r="E35" s="1" t="s">
        <v>415</v>
      </c>
    </row>
    <row r="36" spans="1:5" ht="42" customHeight="1">
      <c r="A36" s="4" t="s">
        <v>416</v>
      </c>
      <c r="B36" s="3"/>
      <c r="C36" s="3"/>
      <c r="D36" s="5"/>
      <c r="E36" s="5"/>
    </row>
    <row r="37" spans="1:5" ht="42" customHeight="1">
      <c r="A37" s="4" t="s">
        <v>417</v>
      </c>
      <c r="B37" s="3"/>
      <c r="C37" s="3"/>
      <c r="D37" s="5"/>
      <c r="E37" s="5"/>
    </row>
    <row r="38" spans="1:5" ht="42" customHeight="1">
      <c r="A38" s="4" t="s">
        <v>418</v>
      </c>
      <c r="B38" s="3"/>
      <c r="C38" s="3"/>
      <c r="D38" s="5"/>
      <c r="E38" s="5"/>
    </row>
    <row r="39" spans="1:5" ht="42" customHeight="1">
      <c r="A39" s="4" t="s">
        <v>419</v>
      </c>
      <c r="B39" s="3"/>
      <c r="C39" s="3"/>
      <c r="D39" s="5"/>
      <c r="E39" s="5"/>
    </row>
    <row r="40" spans="1:5" ht="42" customHeight="1">
      <c r="A40" s="4" t="s">
        <v>420</v>
      </c>
      <c r="B40" s="3"/>
      <c r="C40" s="3"/>
      <c r="D40" s="5"/>
      <c r="E40" s="5"/>
    </row>
    <row r="41" spans="1:5" ht="42" customHeight="1">
      <c r="A41" s="4" t="s">
        <v>421</v>
      </c>
      <c r="B41" s="3"/>
      <c r="C41" s="3"/>
      <c r="D41" s="5"/>
      <c r="E41" s="5"/>
    </row>
    <row r="42" spans="1:5" ht="42" customHeight="1">
      <c r="A42" s="4" t="s">
        <v>422</v>
      </c>
      <c r="B42" s="3"/>
      <c r="C42" s="3"/>
      <c r="D42" s="5"/>
      <c r="E42" s="5"/>
    </row>
    <row r="43" spans="1:5" ht="42" customHeight="1">
      <c r="A43" s="4" t="s">
        <v>423</v>
      </c>
      <c r="B43" s="3"/>
      <c r="C43" s="3"/>
      <c r="D43" s="5"/>
      <c r="E43" s="5"/>
    </row>
    <row r="44" spans="1:5" ht="42" customHeight="1">
      <c r="A44" s="4" t="s">
        <v>424</v>
      </c>
      <c r="B44" s="3"/>
      <c r="C44" s="3"/>
      <c r="D44" s="5"/>
      <c r="E44" s="5"/>
    </row>
  </sheetData>
  <mergeCells count="6">
    <mergeCell ref="A34:E34"/>
    <mergeCell ref="A1:E1"/>
    <mergeCell ref="A2:E2"/>
    <mergeCell ref="A4:E4"/>
    <mergeCell ref="A14:E14"/>
    <mergeCell ref="A22:E22"/>
  </mergeCells>
  <dataValidations count="1">
    <dataValidation type="list" sqref="B24:B32" xr:uid="{00000000-0002-0000-0800-000000000000}">
      <formula1>"Automate,Prepare for human,Human only,Not relevant"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1"/>
  <sheetViews>
    <sheetView showGridLines="0" zoomScale="130" zoomScaleNormal="130" workbookViewId="0">
      <selection sqref="A1:D1"/>
    </sheetView>
  </sheetViews>
  <sheetFormatPr baseColWidth="10" defaultColWidth="8.83203125" defaultRowHeight="14"/>
  <cols>
    <col min="1" max="1" width="30" customWidth="1"/>
    <col min="2" max="2" width="34" customWidth="1"/>
    <col min="3" max="3" width="40" customWidth="1"/>
    <col min="4" max="4" width="56" customWidth="1"/>
  </cols>
  <sheetData>
    <row r="1" spans="1:4" ht="30" customHeight="1">
      <c r="A1" s="9" t="s">
        <v>425</v>
      </c>
      <c r="B1" s="9"/>
      <c r="C1" s="9"/>
      <c r="D1" s="9"/>
    </row>
    <row r="2" spans="1:4" ht="34" customHeight="1">
      <c r="A2" s="10" t="s">
        <v>426</v>
      </c>
      <c r="B2" s="10"/>
      <c r="C2" s="10"/>
      <c r="D2" s="10"/>
    </row>
    <row r="4" spans="1:4" ht="23" customHeight="1">
      <c r="A4" s="18" t="s">
        <v>427</v>
      </c>
      <c r="B4" s="18"/>
      <c r="C4" s="18"/>
      <c r="D4" s="18"/>
    </row>
    <row r="5" spans="1:4" ht="16">
      <c r="A5" s="1" t="s">
        <v>62</v>
      </c>
      <c r="B5" s="1" t="s">
        <v>428</v>
      </c>
      <c r="C5" s="1" t="s">
        <v>429</v>
      </c>
      <c r="D5" s="1" t="s">
        <v>279</v>
      </c>
    </row>
    <row r="6" spans="1:4" ht="42" customHeight="1">
      <c r="A6" s="4">
        <v>1</v>
      </c>
      <c r="B6" s="4" t="s">
        <v>430</v>
      </c>
      <c r="C6" s="6" t="s">
        <v>431</v>
      </c>
      <c r="D6" s="2" t="s">
        <v>432</v>
      </c>
    </row>
    <row r="7" spans="1:4" ht="42" customHeight="1">
      <c r="A7" s="4">
        <v>2</v>
      </c>
      <c r="B7" s="4" t="s">
        <v>433</v>
      </c>
      <c r="C7" s="6"/>
      <c r="D7" s="2" t="s">
        <v>434</v>
      </c>
    </row>
    <row r="8" spans="1:4" ht="42" customHeight="1">
      <c r="A8" s="4">
        <v>3</v>
      </c>
      <c r="B8" s="4" t="s">
        <v>435</v>
      </c>
      <c r="C8" s="6"/>
      <c r="D8" s="2" t="s">
        <v>436</v>
      </c>
    </row>
    <row r="9" spans="1:4" ht="42" customHeight="1">
      <c r="A9" s="4">
        <v>4</v>
      </c>
      <c r="B9" s="4" t="s">
        <v>437</v>
      </c>
      <c r="C9" s="6"/>
      <c r="D9" s="2" t="s">
        <v>438</v>
      </c>
    </row>
    <row r="10" spans="1:4" ht="42" customHeight="1">
      <c r="A10" s="4">
        <v>5</v>
      </c>
      <c r="B10" s="4" t="s">
        <v>439</v>
      </c>
      <c r="C10" s="6"/>
      <c r="D10" s="2" t="s">
        <v>440</v>
      </c>
    </row>
    <row r="11" spans="1:4" ht="42" customHeight="1">
      <c r="A11" s="4">
        <v>6</v>
      </c>
      <c r="B11" s="4" t="s">
        <v>441</v>
      </c>
      <c r="C11" s="6" t="s">
        <v>442</v>
      </c>
      <c r="D11" s="2" t="s">
        <v>443</v>
      </c>
    </row>
    <row r="12" spans="1:4" ht="42" customHeight="1">
      <c r="A12" s="4">
        <v>7</v>
      </c>
      <c r="B12" s="4" t="s">
        <v>444</v>
      </c>
      <c r="C12" s="6" t="s">
        <v>445</v>
      </c>
      <c r="D12" s="2" t="s">
        <v>446</v>
      </c>
    </row>
    <row r="13" spans="1:4" ht="42" customHeight="1"/>
    <row r="14" spans="1:4" ht="42" customHeight="1">
      <c r="A14" s="11" t="s">
        <v>447</v>
      </c>
      <c r="B14" s="11"/>
      <c r="C14" s="11"/>
      <c r="D14" s="11"/>
    </row>
    <row r="15" spans="1:4" ht="42" customHeight="1">
      <c r="A15" s="1" t="s">
        <v>448</v>
      </c>
      <c r="B15" s="1" t="s">
        <v>429</v>
      </c>
      <c r="C15" s="1" t="s">
        <v>449</v>
      </c>
      <c r="D15" s="1" t="s">
        <v>450</v>
      </c>
    </row>
    <row r="16" spans="1:4" ht="42" customHeight="1">
      <c r="A16" s="4" t="s">
        <v>451</v>
      </c>
      <c r="B16" s="6">
        <v>0</v>
      </c>
      <c r="C16" s="2" t="s">
        <v>452</v>
      </c>
      <c r="D16" s="5"/>
    </row>
    <row r="17" spans="1:4" ht="42" customHeight="1">
      <c r="A17" s="4" t="s">
        <v>453</v>
      </c>
      <c r="B17" s="6">
        <v>0</v>
      </c>
      <c r="C17" s="2" t="s">
        <v>454</v>
      </c>
      <c r="D17" s="5"/>
    </row>
    <row r="18" spans="1:4" ht="42" customHeight="1">
      <c r="A18" s="4" t="s">
        <v>455</v>
      </c>
      <c r="B18" s="6">
        <v>0</v>
      </c>
      <c r="C18" s="2" t="s">
        <v>456</v>
      </c>
      <c r="D18" s="5"/>
    </row>
    <row r="19" spans="1:4" ht="42" customHeight="1">
      <c r="A19" s="4" t="s">
        <v>457</v>
      </c>
      <c r="B19" s="6">
        <v>0</v>
      </c>
      <c r="C19" s="2" t="s">
        <v>458</v>
      </c>
      <c r="D19" s="5"/>
    </row>
    <row r="20" spans="1:4" ht="42" customHeight="1">
      <c r="A20" s="4" t="s">
        <v>459</v>
      </c>
      <c r="B20" s="6">
        <v>0</v>
      </c>
      <c r="C20" s="2" t="s">
        <v>460</v>
      </c>
      <c r="D20" s="5"/>
    </row>
    <row r="21" spans="1:4" ht="42" customHeight="1">
      <c r="A21" s="4" t="s">
        <v>461</v>
      </c>
      <c r="B21" s="6">
        <v>1</v>
      </c>
      <c r="C21" s="2" t="s">
        <v>462</v>
      </c>
      <c r="D21" s="5"/>
    </row>
    <row r="22" spans="1:4" ht="42" customHeight="1">
      <c r="A22" s="4" t="s">
        <v>463</v>
      </c>
      <c r="B22" s="6">
        <v>1</v>
      </c>
      <c r="C22" s="2" t="s">
        <v>464</v>
      </c>
      <c r="D22" s="5"/>
    </row>
    <row r="23" spans="1:4" ht="42" customHeight="1">
      <c r="A23" s="4" t="s">
        <v>465</v>
      </c>
      <c r="B23" s="8">
        <v>0</v>
      </c>
      <c r="C23" s="2" t="s">
        <v>466</v>
      </c>
      <c r="D23" s="5"/>
    </row>
    <row r="24" spans="1:4" ht="42" customHeight="1">
      <c r="A24" s="4" t="s">
        <v>467</v>
      </c>
      <c r="B24" s="8">
        <v>0</v>
      </c>
      <c r="C24" s="2" t="s">
        <v>468</v>
      </c>
      <c r="D24" s="5"/>
    </row>
    <row r="25" spans="1:4" ht="42" customHeight="1">
      <c r="A25" s="4" t="s">
        <v>469</v>
      </c>
      <c r="B25" s="6"/>
      <c r="C25" s="2" t="s">
        <v>470</v>
      </c>
      <c r="D25" s="5"/>
    </row>
    <row r="27" spans="1:4" ht="23" customHeight="1">
      <c r="A27" s="18" t="s">
        <v>471</v>
      </c>
      <c r="B27" s="18"/>
      <c r="C27" s="18"/>
      <c r="D27" s="18"/>
    </row>
    <row r="28" spans="1:4" ht="15">
      <c r="A28" s="4" t="s">
        <v>101</v>
      </c>
      <c r="B28" s="5" t="str">
        <f>IF(C6="","Select engagement type",IF(C6&lt;&gt;"Core Automation","Use the relevant front-door pricing sheet",IF(C10="","Select v27 scope package",IF(C11="","Select access model",IF(C12="","Select support model","Ready to transfer to v27 Quote Calculator")))))</f>
        <v>Select v27 scope package</v>
      </c>
    </row>
    <row r="30" spans="1:4">
      <c r="A30" s="26" t="s">
        <v>472</v>
      </c>
      <c r="B30" s="27"/>
      <c r="C30" s="27"/>
      <c r="D30" s="28"/>
    </row>
    <row r="31" spans="1:4">
      <c r="A31" s="29"/>
      <c r="B31" s="30"/>
      <c r="C31" s="30"/>
      <c r="D31" s="31"/>
    </row>
  </sheetData>
  <mergeCells count="6">
    <mergeCell ref="A30:D31"/>
    <mergeCell ref="A1:D1"/>
    <mergeCell ref="A2:D2"/>
    <mergeCell ref="A4:D4"/>
    <mergeCell ref="A14:D14"/>
    <mergeCell ref="A27:D27"/>
  </mergeCells>
  <dataValidations count="8">
    <dataValidation type="list" sqref="C6" xr:uid="{00000000-0002-0000-0900-000000000000}">
      <formula1>"Core Automation,AISR,AIWSC,Other"</formula1>
    </dataValidation>
    <dataValidation type="list" sqref="C10" xr:uid="{00000000-0002-0000-0900-000002000000}">
      <formula1>"Basic Intake,Basic+ AI Triage,Pro Multi-Channel,Managed Operations,Agentic Automation"</formula1>
    </dataValidation>
    <dataValidation type="list" sqref="C11" xr:uid="{00000000-0002-0000-0900-000003000000}">
      <formula1>"Managed service,Logic visibility,Limited admin,Client-owned workspace,Build-and-transfer"</formula1>
    </dataValidation>
    <dataValidation type="list" sqref="C12" xr:uid="{00000000-0002-0000-0900-000004000000}">
      <formula1>"No support,Light support,Normal managed support,High-responsibility maintenance,Premium transfer support,Critical support"</formula1>
    </dataValidation>
    <dataValidation type="whole" sqref="B16:B20" xr:uid="{00000000-0002-0000-0900-000005000000}">
      <formula1>0</formula1>
      <formula2>20</formula2>
    </dataValidation>
    <dataValidation type="list" sqref="B20" xr:uid="{00000000-0002-0000-0900-000006000000}">
      <formula1>"0,1"</formula1>
    </dataValidation>
    <dataValidation type="list" sqref="B21" xr:uid="{00000000-0002-0000-0900-000007000000}">
      <formula1>"1,1.3,1.5,1.7"</formula1>
    </dataValidation>
    <dataValidation type="list" sqref="B22" xr:uid="{00000000-0002-0000-0900-000008000000}">
      <formula1>"1,1.2,1.3,1.5"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900-000001000000}">
          <x14:formula1>
            <xm:f>'Branch Prompts'!$B$5:$B$23</xm:f>
          </x14:formula1>
          <xm:sqref>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3"/>
  <sheetViews>
    <sheetView showGridLines="0" zoomScale="130" zoomScaleNormal="130" workbookViewId="0">
      <selection sqref="A1:E1"/>
    </sheetView>
  </sheetViews>
  <sheetFormatPr baseColWidth="10" defaultColWidth="8.83203125" defaultRowHeight="14"/>
  <cols>
    <col min="1" max="1" width="27" customWidth="1"/>
    <col min="2" max="2" width="31" customWidth="1"/>
    <col min="3" max="3" width="68" customWidth="1"/>
    <col min="4" max="4" width="42" customWidth="1"/>
    <col min="5" max="5" width="48" customWidth="1"/>
  </cols>
  <sheetData>
    <row r="1" spans="1:5" ht="30" customHeight="1">
      <c r="A1" s="9" t="s">
        <v>473</v>
      </c>
      <c r="B1" s="9"/>
      <c r="C1" s="9"/>
      <c r="D1" s="9"/>
      <c r="E1" s="9"/>
    </row>
    <row r="2" spans="1:5" ht="34" customHeight="1">
      <c r="A2" s="10" t="s">
        <v>474</v>
      </c>
      <c r="B2" s="10"/>
      <c r="C2" s="10"/>
      <c r="D2" s="10"/>
      <c r="E2" s="10"/>
    </row>
    <row r="4" spans="1:5" ht="16">
      <c r="A4" s="1" t="s">
        <v>96</v>
      </c>
      <c r="B4" s="1" t="s">
        <v>475</v>
      </c>
      <c r="C4" s="1" t="s">
        <v>476</v>
      </c>
      <c r="D4" s="1" t="s">
        <v>477</v>
      </c>
      <c r="E4" s="1" t="s">
        <v>478</v>
      </c>
    </row>
    <row r="5" spans="1:5" ht="82" customHeight="1">
      <c r="A5" s="2" t="s">
        <v>479</v>
      </c>
      <c r="B5" s="2" t="s">
        <v>480</v>
      </c>
      <c r="C5" s="2" t="s">
        <v>481</v>
      </c>
      <c r="D5" s="2" t="s">
        <v>482</v>
      </c>
      <c r="E5" s="2" t="s">
        <v>483</v>
      </c>
    </row>
    <row r="6" spans="1:5" ht="82" customHeight="1">
      <c r="A6" s="2" t="s">
        <v>479</v>
      </c>
      <c r="B6" s="2" t="s">
        <v>484</v>
      </c>
      <c r="C6" s="2" t="s">
        <v>485</v>
      </c>
      <c r="D6" s="2" t="s">
        <v>486</v>
      </c>
      <c r="E6" s="2" t="s">
        <v>487</v>
      </c>
    </row>
    <row r="7" spans="1:5" ht="82" customHeight="1">
      <c r="A7" s="2" t="s">
        <v>479</v>
      </c>
      <c r="B7" s="2" t="s">
        <v>488</v>
      </c>
      <c r="C7" s="2" t="s">
        <v>489</v>
      </c>
      <c r="D7" s="2" t="s">
        <v>490</v>
      </c>
      <c r="E7" s="2" t="s">
        <v>491</v>
      </c>
    </row>
    <row r="8" spans="1:5" ht="82" customHeight="1">
      <c r="A8" s="2" t="s">
        <v>479</v>
      </c>
      <c r="B8" s="2" t="s">
        <v>492</v>
      </c>
      <c r="C8" s="2" t="s">
        <v>493</v>
      </c>
      <c r="D8" s="2" t="s">
        <v>494</v>
      </c>
      <c r="E8" s="2" t="s">
        <v>495</v>
      </c>
    </row>
    <row r="9" spans="1:5" ht="82" customHeight="1">
      <c r="A9" s="2" t="s">
        <v>496</v>
      </c>
      <c r="B9" s="2" t="s">
        <v>497</v>
      </c>
      <c r="C9" s="2" t="s">
        <v>498</v>
      </c>
      <c r="D9" s="2" t="s">
        <v>499</v>
      </c>
      <c r="E9" s="2" t="s">
        <v>500</v>
      </c>
    </row>
    <row r="10" spans="1:5" ht="82" customHeight="1">
      <c r="A10" s="2" t="s">
        <v>496</v>
      </c>
      <c r="B10" s="2" t="s">
        <v>501</v>
      </c>
      <c r="C10" s="2" t="s">
        <v>502</v>
      </c>
      <c r="D10" s="2" t="s">
        <v>503</v>
      </c>
      <c r="E10" s="2" t="s">
        <v>504</v>
      </c>
    </row>
    <row r="11" spans="1:5" ht="82" customHeight="1">
      <c r="A11" s="2" t="s">
        <v>496</v>
      </c>
      <c r="B11" s="2" t="s">
        <v>505</v>
      </c>
      <c r="C11" s="2" t="s">
        <v>506</v>
      </c>
      <c r="D11" s="2" t="s">
        <v>507</v>
      </c>
      <c r="E11" s="2" t="s">
        <v>508</v>
      </c>
    </row>
    <row r="12" spans="1:5" ht="82" customHeight="1">
      <c r="A12" s="2" t="s">
        <v>496</v>
      </c>
      <c r="B12" s="2" t="s">
        <v>509</v>
      </c>
      <c r="C12" s="2" t="s">
        <v>510</v>
      </c>
      <c r="D12" s="2" t="s">
        <v>511</v>
      </c>
      <c r="E12" s="2" t="s">
        <v>512</v>
      </c>
    </row>
    <row r="13" spans="1:5" ht="82" customHeight="1">
      <c r="A13" s="2" t="s">
        <v>496</v>
      </c>
      <c r="B13" s="2" t="s">
        <v>513</v>
      </c>
      <c r="C13" s="2" t="s">
        <v>514</v>
      </c>
      <c r="D13" s="2" t="s">
        <v>515</v>
      </c>
      <c r="E13" s="2" t="s">
        <v>516</v>
      </c>
    </row>
    <row r="14" spans="1:5" ht="82" customHeight="1">
      <c r="A14" s="2" t="s">
        <v>517</v>
      </c>
      <c r="B14" s="2" t="s">
        <v>518</v>
      </c>
      <c r="C14" s="2" t="s">
        <v>519</v>
      </c>
      <c r="D14" s="2" t="s">
        <v>520</v>
      </c>
      <c r="E14" s="2" t="s">
        <v>521</v>
      </c>
    </row>
    <row r="15" spans="1:5" ht="82" customHeight="1">
      <c r="A15" s="2" t="s">
        <v>517</v>
      </c>
      <c r="B15" s="2" t="s">
        <v>522</v>
      </c>
      <c r="C15" s="2" t="s">
        <v>523</v>
      </c>
      <c r="D15" s="2" t="s">
        <v>524</v>
      </c>
      <c r="E15" s="2" t="s">
        <v>525</v>
      </c>
    </row>
    <row r="16" spans="1:5" ht="82" customHeight="1">
      <c r="A16" s="2" t="s">
        <v>517</v>
      </c>
      <c r="B16" s="2" t="s">
        <v>526</v>
      </c>
      <c r="C16" s="2" t="s">
        <v>527</v>
      </c>
      <c r="D16" s="2" t="s">
        <v>528</v>
      </c>
      <c r="E16" s="2" t="s">
        <v>529</v>
      </c>
    </row>
    <row r="17" spans="1:5" ht="82" customHeight="1">
      <c r="A17" s="2" t="s">
        <v>517</v>
      </c>
      <c r="B17" s="2" t="s">
        <v>530</v>
      </c>
      <c r="C17" s="2" t="s">
        <v>531</v>
      </c>
      <c r="D17" s="2" t="s">
        <v>532</v>
      </c>
      <c r="E17" s="2" t="s">
        <v>533</v>
      </c>
    </row>
    <row r="18" spans="1:5" ht="82" customHeight="1">
      <c r="A18" s="2" t="s">
        <v>517</v>
      </c>
      <c r="B18" s="2" t="s">
        <v>534</v>
      </c>
      <c r="C18" s="2" t="s">
        <v>535</v>
      </c>
      <c r="D18" s="2" t="s">
        <v>536</v>
      </c>
      <c r="E18" s="2" t="s">
        <v>537</v>
      </c>
    </row>
    <row r="19" spans="1:5" ht="82" customHeight="1">
      <c r="A19" s="2" t="s">
        <v>538</v>
      </c>
      <c r="B19" s="2" t="s">
        <v>539</v>
      </c>
      <c r="C19" s="2" t="s">
        <v>540</v>
      </c>
      <c r="D19" s="2" t="s">
        <v>507</v>
      </c>
      <c r="E19" s="2" t="s">
        <v>541</v>
      </c>
    </row>
    <row r="20" spans="1:5" ht="82" customHeight="1">
      <c r="A20" s="2" t="s">
        <v>538</v>
      </c>
      <c r="B20" s="2" t="s">
        <v>542</v>
      </c>
      <c r="C20" s="2" t="s">
        <v>543</v>
      </c>
      <c r="D20" s="2" t="s">
        <v>544</v>
      </c>
      <c r="E20" s="2" t="s">
        <v>545</v>
      </c>
    </row>
    <row r="21" spans="1:5" ht="82" customHeight="1">
      <c r="A21" s="2" t="s">
        <v>538</v>
      </c>
      <c r="B21" s="2" t="s">
        <v>546</v>
      </c>
      <c r="C21" s="2" t="s">
        <v>547</v>
      </c>
      <c r="D21" s="2" t="s">
        <v>548</v>
      </c>
      <c r="E21" s="2" t="s">
        <v>549</v>
      </c>
    </row>
    <row r="22" spans="1:5" ht="82" customHeight="1">
      <c r="A22" s="2" t="s">
        <v>538</v>
      </c>
      <c r="B22" s="2" t="s">
        <v>550</v>
      </c>
      <c r="C22" s="2" t="s">
        <v>551</v>
      </c>
      <c r="D22" s="2" t="s">
        <v>524</v>
      </c>
      <c r="E22" s="2" t="s">
        <v>552</v>
      </c>
    </row>
    <row r="23" spans="1:5" ht="82" customHeight="1">
      <c r="A23" s="2" t="s">
        <v>538</v>
      </c>
      <c r="B23" s="2" t="s">
        <v>553</v>
      </c>
      <c r="C23" s="2" t="s">
        <v>554</v>
      </c>
      <c r="D23" s="2" t="s">
        <v>555</v>
      </c>
      <c r="E23" s="2" t="s">
        <v>556</v>
      </c>
    </row>
  </sheetData>
  <mergeCells count="2">
    <mergeCell ref="A1:E1"/>
    <mergeCell ref="A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
  <sheetViews>
    <sheetView showGridLines="0" tabSelected="1" zoomScale="130" zoomScaleNormal="130" workbookViewId="0">
      <selection sqref="A1:F1"/>
    </sheetView>
  </sheetViews>
  <sheetFormatPr baseColWidth="10" defaultColWidth="8.83203125" defaultRowHeight="14"/>
  <cols>
    <col min="1" max="1" width="24" customWidth="1"/>
    <col min="2" max="2" width="43" customWidth="1"/>
    <col min="3" max="3" width="45" customWidth="1"/>
    <col min="4" max="4" width="35" customWidth="1"/>
    <col min="5" max="5" width="40" customWidth="1"/>
    <col min="6" max="6" width="38" customWidth="1"/>
  </cols>
  <sheetData>
    <row r="1" spans="1:6" ht="30" customHeight="1">
      <c r="A1" s="9" t="s">
        <v>557</v>
      </c>
      <c r="B1" s="9"/>
      <c r="C1" s="9"/>
      <c r="D1" s="9"/>
      <c r="E1" s="9"/>
      <c r="F1" s="9"/>
    </row>
    <row r="2" spans="1:6" ht="34" customHeight="1">
      <c r="A2" s="10" t="s">
        <v>558</v>
      </c>
      <c r="B2" s="10"/>
      <c r="C2" s="10"/>
      <c r="D2" s="10"/>
      <c r="E2" s="10"/>
      <c r="F2" s="10"/>
    </row>
    <row r="4" spans="1:6" ht="16">
      <c r="A4" s="1" t="s">
        <v>559</v>
      </c>
      <c r="B4" s="1" t="s">
        <v>560</v>
      </c>
      <c r="C4" s="1" t="s">
        <v>561</v>
      </c>
      <c r="D4" s="1" t="s">
        <v>562</v>
      </c>
      <c r="E4" s="1" t="s">
        <v>563</v>
      </c>
      <c r="F4" s="1" t="s">
        <v>564</v>
      </c>
    </row>
    <row r="5" spans="1:6" ht="68" customHeight="1">
      <c r="A5" s="2" t="s">
        <v>565</v>
      </c>
      <c r="B5" s="2" t="s">
        <v>566</v>
      </c>
      <c r="C5" s="2" t="s">
        <v>567</v>
      </c>
      <c r="D5" s="2" t="s">
        <v>568</v>
      </c>
      <c r="E5" s="2" t="s">
        <v>569</v>
      </c>
      <c r="F5" s="2" t="s">
        <v>570</v>
      </c>
    </row>
    <row r="6" spans="1:6" ht="68" customHeight="1">
      <c r="A6" s="2" t="s">
        <v>571</v>
      </c>
      <c r="B6" s="2" t="s">
        <v>572</v>
      </c>
      <c r="C6" s="2" t="s">
        <v>573</v>
      </c>
      <c r="D6" s="2" t="s">
        <v>574</v>
      </c>
      <c r="E6" s="2" t="s">
        <v>575</v>
      </c>
      <c r="F6" s="2" t="s">
        <v>576</v>
      </c>
    </row>
    <row r="7" spans="1:6" ht="68" customHeight="1">
      <c r="A7" s="2" t="s">
        <v>577</v>
      </c>
      <c r="B7" s="2" t="s">
        <v>578</v>
      </c>
      <c r="C7" s="2" t="s">
        <v>579</v>
      </c>
      <c r="D7" s="2" t="s">
        <v>580</v>
      </c>
      <c r="E7" s="2" t="s">
        <v>581</v>
      </c>
      <c r="F7" s="2" t="s">
        <v>582</v>
      </c>
    </row>
    <row r="8" spans="1:6" ht="68" customHeight="1">
      <c r="A8" s="2" t="s">
        <v>583</v>
      </c>
      <c r="B8" s="2" t="s">
        <v>584</v>
      </c>
      <c r="C8" s="2" t="s">
        <v>585</v>
      </c>
      <c r="D8" s="2" t="s">
        <v>586</v>
      </c>
      <c r="E8" s="2" t="s">
        <v>587</v>
      </c>
      <c r="F8" s="2" t="s">
        <v>588</v>
      </c>
    </row>
    <row r="9" spans="1:6" ht="68" customHeight="1">
      <c r="A9" s="2" t="s">
        <v>589</v>
      </c>
      <c r="B9" s="2" t="s">
        <v>590</v>
      </c>
      <c r="C9" s="2" t="s">
        <v>591</v>
      </c>
      <c r="D9" s="2" t="s">
        <v>592</v>
      </c>
      <c r="E9" s="2" t="s">
        <v>593</v>
      </c>
      <c r="F9" s="2" t="s">
        <v>594</v>
      </c>
    </row>
    <row r="10" spans="1:6" ht="68" customHeight="1">
      <c r="A10" s="2" t="s">
        <v>595</v>
      </c>
      <c r="B10" s="2" t="s">
        <v>596</v>
      </c>
      <c r="C10" s="2" t="s">
        <v>597</v>
      </c>
      <c r="D10" s="2" t="s">
        <v>598</v>
      </c>
      <c r="E10" s="2" t="s">
        <v>599</v>
      </c>
      <c r="F10" s="2" t="s">
        <v>600</v>
      </c>
    </row>
    <row r="11" spans="1:6" ht="68" customHeight="1">
      <c r="A11" s="2" t="s">
        <v>601</v>
      </c>
      <c r="B11" s="2" t="s">
        <v>602</v>
      </c>
      <c r="C11" s="2" t="s">
        <v>603</v>
      </c>
      <c r="D11" s="2" t="s">
        <v>604</v>
      </c>
      <c r="E11" s="2" t="s">
        <v>605</v>
      </c>
      <c r="F11" s="2" t="s">
        <v>606</v>
      </c>
    </row>
    <row r="12" spans="1:6" ht="68" customHeight="1">
      <c r="A12" s="2" t="s">
        <v>607</v>
      </c>
      <c r="B12" s="2" t="s">
        <v>608</v>
      </c>
      <c r="C12" s="2" t="s">
        <v>609</v>
      </c>
      <c r="D12" s="2" t="s">
        <v>610</v>
      </c>
      <c r="E12" s="2" t="s">
        <v>611</v>
      </c>
      <c r="F12" s="2" t="s">
        <v>612</v>
      </c>
    </row>
  </sheetData>
  <mergeCells count="2">
    <mergeCell ref="A1:F1"/>
    <mergeCell ref="A2: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9"/>
  <sheetViews>
    <sheetView showGridLines="0" zoomScale="130" zoomScaleNormal="130" workbookViewId="0">
      <selection sqref="A1:D1"/>
    </sheetView>
  </sheetViews>
  <sheetFormatPr baseColWidth="10" defaultColWidth="8.83203125" defaultRowHeight="14"/>
  <cols>
    <col min="1" max="1" width="31" customWidth="1"/>
    <col min="2" max="2" width="55" customWidth="1"/>
    <col min="3" max="3" width="42" customWidth="1"/>
    <col min="4" max="4" width="48" customWidth="1"/>
  </cols>
  <sheetData>
    <row r="1" spans="1:4" ht="30" customHeight="1">
      <c r="A1" s="9" t="s">
        <v>613</v>
      </c>
      <c r="B1" s="9"/>
      <c r="C1" s="9"/>
      <c r="D1" s="9"/>
    </row>
    <row r="2" spans="1:4" ht="34" customHeight="1">
      <c r="A2" s="10" t="s">
        <v>614</v>
      </c>
      <c r="B2" s="10"/>
      <c r="C2" s="10"/>
      <c r="D2" s="10"/>
    </row>
    <row r="4" spans="1:4" ht="23" customHeight="1">
      <c r="A4" s="18" t="s">
        <v>615</v>
      </c>
      <c r="B4" s="18"/>
      <c r="C4" s="18"/>
      <c r="D4" s="18"/>
    </row>
    <row r="5" spans="1:4" ht="16">
      <c r="A5" s="1" t="s">
        <v>277</v>
      </c>
      <c r="B5" s="1" t="s">
        <v>616</v>
      </c>
      <c r="C5" s="1" t="s">
        <v>378</v>
      </c>
      <c r="D5" s="1" t="s">
        <v>617</v>
      </c>
    </row>
    <row r="6" spans="1:4" ht="42" customHeight="1">
      <c r="A6" s="4" t="s">
        <v>618</v>
      </c>
      <c r="B6" s="5"/>
      <c r="C6" s="5"/>
      <c r="D6" s="6"/>
    </row>
    <row r="7" spans="1:4" ht="42" customHeight="1">
      <c r="A7" s="4" t="s">
        <v>282</v>
      </c>
      <c r="B7" s="5"/>
      <c r="C7" s="5"/>
      <c r="D7" s="6"/>
    </row>
    <row r="8" spans="1:4" ht="42" customHeight="1">
      <c r="A8" s="4" t="s">
        <v>619</v>
      </c>
      <c r="B8" s="5"/>
      <c r="C8" s="5"/>
      <c r="D8" s="6"/>
    </row>
    <row r="9" spans="1:4" ht="42" customHeight="1">
      <c r="A9" s="4" t="s">
        <v>620</v>
      </c>
      <c r="B9" s="5"/>
      <c r="C9" s="5"/>
      <c r="D9" s="6"/>
    </row>
    <row r="10" spans="1:4" ht="42" customHeight="1">
      <c r="A10" s="4" t="s">
        <v>284</v>
      </c>
      <c r="B10" s="5"/>
      <c r="C10" s="5"/>
      <c r="D10" s="6"/>
    </row>
    <row r="12" spans="1:4" ht="23" customHeight="1">
      <c r="A12" s="18" t="s">
        <v>621</v>
      </c>
      <c r="B12" s="18"/>
      <c r="C12" s="18"/>
      <c r="D12" s="18"/>
    </row>
    <row r="13" spans="1:4" ht="16">
      <c r="A13" s="1" t="s">
        <v>277</v>
      </c>
      <c r="B13" s="1" t="s">
        <v>616</v>
      </c>
      <c r="C13" s="1" t="s">
        <v>378</v>
      </c>
      <c r="D13" s="1" t="s">
        <v>617</v>
      </c>
    </row>
    <row r="14" spans="1:4" ht="42" customHeight="1">
      <c r="A14" s="4" t="s">
        <v>622</v>
      </c>
      <c r="B14" s="5"/>
      <c r="C14" s="5"/>
      <c r="D14" s="6"/>
    </row>
    <row r="15" spans="1:4" ht="42" customHeight="1">
      <c r="A15" s="4" t="s">
        <v>295</v>
      </c>
      <c r="B15" s="5"/>
      <c r="C15" s="5"/>
      <c r="D15" s="6"/>
    </row>
    <row r="16" spans="1:4" ht="42" customHeight="1">
      <c r="A16" s="4" t="s">
        <v>337</v>
      </c>
      <c r="B16" s="5"/>
      <c r="C16" s="5"/>
      <c r="D16" s="6"/>
    </row>
    <row r="17" spans="1:4" ht="42" customHeight="1">
      <c r="A17" s="4" t="s">
        <v>623</v>
      </c>
      <c r="B17" s="5"/>
      <c r="C17" s="5"/>
      <c r="D17" s="6"/>
    </row>
    <row r="18" spans="1:4" ht="42" customHeight="1">
      <c r="A18" s="4" t="s">
        <v>319</v>
      </c>
      <c r="B18" s="5"/>
      <c r="C18" s="5"/>
      <c r="D18" s="6"/>
    </row>
    <row r="19" spans="1:4" ht="42" customHeight="1">
      <c r="A19" s="4" t="s">
        <v>218</v>
      </c>
      <c r="B19" s="5"/>
      <c r="C19" s="5"/>
      <c r="D19" s="6"/>
    </row>
    <row r="21" spans="1:4" ht="23" customHeight="1">
      <c r="A21" s="18" t="s">
        <v>624</v>
      </c>
      <c r="B21" s="18"/>
      <c r="C21" s="18"/>
      <c r="D21" s="18"/>
    </row>
    <row r="22" spans="1:4" ht="16">
      <c r="A22" s="1" t="s">
        <v>277</v>
      </c>
      <c r="B22" s="1" t="s">
        <v>616</v>
      </c>
      <c r="C22" s="1" t="s">
        <v>378</v>
      </c>
      <c r="D22" s="1" t="s">
        <v>617</v>
      </c>
    </row>
    <row r="23" spans="1:4" ht="42" customHeight="1">
      <c r="A23" s="4" t="s">
        <v>625</v>
      </c>
      <c r="B23" s="5"/>
      <c r="C23" s="5"/>
      <c r="D23" s="6"/>
    </row>
    <row r="24" spans="1:4" ht="42" customHeight="1">
      <c r="A24" s="4" t="s">
        <v>626</v>
      </c>
      <c r="B24" s="5"/>
      <c r="C24" s="5"/>
      <c r="D24" s="6"/>
    </row>
    <row r="25" spans="1:4" ht="42" customHeight="1">
      <c r="A25" s="4" t="s">
        <v>437</v>
      </c>
      <c r="B25" s="5"/>
      <c r="C25" s="5"/>
      <c r="D25" s="6"/>
    </row>
    <row r="26" spans="1:4" ht="42" customHeight="1">
      <c r="A26" s="4" t="s">
        <v>627</v>
      </c>
      <c r="B26" s="5"/>
      <c r="C26" s="5"/>
      <c r="D26" s="6"/>
    </row>
    <row r="27" spans="1:4" ht="42" customHeight="1">
      <c r="A27" s="4" t="s">
        <v>628</v>
      </c>
      <c r="B27" s="5"/>
      <c r="C27" s="5"/>
      <c r="D27" s="6"/>
    </row>
    <row r="28" spans="1:4" ht="42" customHeight="1">
      <c r="A28" s="4" t="s">
        <v>629</v>
      </c>
      <c r="B28" s="5"/>
      <c r="C28" s="5"/>
      <c r="D28" s="6"/>
    </row>
    <row r="29" spans="1:4" ht="42" customHeight="1">
      <c r="A29" s="4" t="s">
        <v>386</v>
      </c>
      <c r="B29" s="5"/>
      <c r="C29" s="5"/>
      <c r="D29" s="6"/>
    </row>
    <row r="31" spans="1:4" ht="23" customHeight="1">
      <c r="A31" s="18" t="s">
        <v>630</v>
      </c>
      <c r="B31" s="18"/>
      <c r="C31" s="18"/>
      <c r="D31" s="18"/>
    </row>
    <row r="32" spans="1:4" ht="16">
      <c r="A32" s="1" t="s">
        <v>277</v>
      </c>
      <c r="B32" s="1" t="s">
        <v>616</v>
      </c>
      <c r="C32" s="1" t="s">
        <v>378</v>
      </c>
      <c r="D32" s="1" t="s">
        <v>617</v>
      </c>
    </row>
    <row r="33" spans="1:4" ht="42" customHeight="1">
      <c r="A33" s="4" t="s">
        <v>631</v>
      </c>
      <c r="B33" s="5"/>
      <c r="C33" s="5"/>
      <c r="D33" s="6"/>
    </row>
    <row r="34" spans="1:4" ht="42" customHeight="1">
      <c r="A34" s="4" t="s">
        <v>632</v>
      </c>
      <c r="B34" s="5"/>
      <c r="C34" s="5"/>
      <c r="D34" s="6"/>
    </row>
    <row r="35" spans="1:4" ht="42" customHeight="1">
      <c r="A35" s="4" t="s">
        <v>633</v>
      </c>
      <c r="B35" s="5"/>
      <c r="C35" s="5"/>
      <c r="D35" s="6"/>
    </row>
    <row r="36" spans="1:4" ht="42" customHeight="1">
      <c r="A36" s="4" t="s">
        <v>634</v>
      </c>
      <c r="B36" s="5"/>
      <c r="C36" s="5"/>
      <c r="D36" s="6"/>
    </row>
    <row r="37" spans="1:4" ht="42" customHeight="1">
      <c r="A37" s="4" t="s">
        <v>635</v>
      </c>
      <c r="B37" s="5"/>
      <c r="C37" s="5"/>
      <c r="D37" s="6"/>
    </row>
    <row r="38" spans="1:4" ht="42" customHeight="1">
      <c r="A38" s="4" t="s">
        <v>330</v>
      </c>
      <c r="B38" s="5"/>
      <c r="C38" s="5"/>
      <c r="D38" s="6"/>
    </row>
    <row r="40" spans="1:4" ht="23" customHeight="1">
      <c r="A40" s="11" t="s">
        <v>636</v>
      </c>
      <c r="B40" s="11"/>
      <c r="C40" s="11"/>
      <c r="D40" s="11"/>
    </row>
    <row r="41" spans="1:4" ht="16">
      <c r="A41" s="1" t="s">
        <v>277</v>
      </c>
      <c r="B41" s="1" t="s">
        <v>616</v>
      </c>
      <c r="C41" s="1" t="s">
        <v>378</v>
      </c>
      <c r="D41" s="1" t="s">
        <v>617</v>
      </c>
    </row>
    <row r="42" spans="1:4" ht="42" customHeight="1">
      <c r="A42" s="4" t="s">
        <v>637</v>
      </c>
      <c r="B42" s="5"/>
      <c r="C42" s="5"/>
      <c r="D42" s="6"/>
    </row>
    <row r="43" spans="1:4" ht="42" customHeight="1">
      <c r="A43" s="4" t="s">
        <v>441</v>
      </c>
      <c r="B43" s="5"/>
      <c r="C43" s="5"/>
      <c r="D43" s="6"/>
    </row>
    <row r="44" spans="1:4" ht="42" customHeight="1">
      <c r="A44" s="4" t="s">
        <v>444</v>
      </c>
      <c r="B44" s="5"/>
      <c r="C44" s="5"/>
      <c r="D44" s="6"/>
    </row>
    <row r="45" spans="1:4" ht="42" customHeight="1">
      <c r="A45" s="4" t="s">
        <v>638</v>
      </c>
      <c r="B45" s="5" t="str">
        <f>'Pricing Bridge'!B28</f>
        <v>Select v27 scope package</v>
      </c>
      <c r="C45" s="5"/>
      <c r="D45" s="6"/>
    </row>
    <row r="46" spans="1:4" ht="42" customHeight="1">
      <c r="A46" s="4" t="s">
        <v>639</v>
      </c>
      <c r="B46" s="5"/>
      <c r="C46" s="5"/>
      <c r="D46" s="6"/>
    </row>
    <row r="47" spans="1:4" ht="42" customHeight="1">
      <c r="A47" s="4" t="s">
        <v>640</v>
      </c>
      <c r="B47" s="5"/>
      <c r="C47" s="5"/>
      <c r="D47" s="6"/>
    </row>
    <row r="48" spans="1:4" ht="42" customHeight="1">
      <c r="A48" s="4" t="s">
        <v>232</v>
      </c>
      <c r="B48" s="5"/>
      <c r="C48" s="5"/>
      <c r="D48" s="6"/>
    </row>
    <row r="49" spans="1:4" ht="42" customHeight="1">
      <c r="A49" s="4" t="s">
        <v>641</v>
      </c>
      <c r="B49" s="5"/>
      <c r="C49" s="5"/>
      <c r="D49" s="6"/>
    </row>
  </sheetData>
  <mergeCells count="7">
    <mergeCell ref="A31:D31"/>
    <mergeCell ref="A40:D40"/>
    <mergeCell ref="A1:D1"/>
    <mergeCell ref="A2:D2"/>
    <mergeCell ref="A4:D4"/>
    <mergeCell ref="A12:D12"/>
    <mergeCell ref="A21:D21"/>
  </mergeCells>
  <dataValidations count="1">
    <dataValidation type="list" sqref="B46" xr:uid="{00000000-0002-0000-0C00-000000000000}">
      <formula1>"Go to Phase 2,Investigate first,Hold,No fit"</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showGridLines="0" zoomScale="130" zoomScaleNormal="130" workbookViewId="0">
      <selection sqref="A1:E1"/>
    </sheetView>
  </sheetViews>
  <sheetFormatPr baseColWidth="10" defaultColWidth="8.83203125" defaultRowHeight="14"/>
  <cols>
    <col min="1" max="1" width="24" customWidth="1"/>
    <col min="2" max="3" width="48" customWidth="1"/>
    <col min="4" max="4" width="35" customWidth="1"/>
    <col min="5" max="5" width="39" customWidth="1"/>
  </cols>
  <sheetData>
    <row r="1" spans="1:5" ht="30" customHeight="1">
      <c r="A1" s="9" t="s">
        <v>642</v>
      </c>
      <c r="B1" s="9"/>
      <c r="C1" s="9"/>
      <c r="D1" s="9"/>
      <c r="E1" s="9"/>
    </row>
    <row r="2" spans="1:5" ht="34" customHeight="1">
      <c r="A2" s="10" t="s">
        <v>643</v>
      </c>
      <c r="B2" s="10"/>
      <c r="C2" s="10"/>
      <c r="D2" s="10"/>
      <c r="E2" s="10"/>
    </row>
    <row r="4" spans="1:5" ht="16">
      <c r="A4" s="1" t="s">
        <v>63</v>
      </c>
      <c r="B4" s="1" t="s">
        <v>644</v>
      </c>
      <c r="C4" s="1" t="s">
        <v>645</v>
      </c>
      <c r="D4" s="1" t="s">
        <v>646</v>
      </c>
      <c r="E4" s="1" t="s">
        <v>99</v>
      </c>
    </row>
    <row r="5" spans="1:5" ht="55" customHeight="1">
      <c r="A5" s="2" t="s">
        <v>647</v>
      </c>
      <c r="B5" s="2" t="s">
        <v>648</v>
      </c>
      <c r="C5" s="2" t="s">
        <v>649</v>
      </c>
      <c r="D5" s="2" t="s">
        <v>650</v>
      </c>
      <c r="E5" s="2" t="s">
        <v>651</v>
      </c>
    </row>
    <row r="6" spans="1:5" ht="55" customHeight="1">
      <c r="A6" s="2" t="s">
        <v>652</v>
      </c>
      <c r="B6" s="2" t="s">
        <v>653</v>
      </c>
      <c r="C6" s="2" t="s">
        <v>654</v>
      </c>
      <c r="D6" s="2" t="s">
        <v>655</v>
      </c>
      <c r="E6" s="2" t="s">
        <v>656</v>
      </c>
    </row>
    <row r="7" spans="1:5" ht="55" customHeight="1">
      <c r="A7" s="2" t="s">
        <v>657</v>
      </c>
      <c r="B7" s="2" t="s">
        <v>658</v>
      </c>
      <c r="C7" s="2" t="s">
        <v>659</v>
      </c>
      <c r="D7" s="2" t="s">
        <v>660</v>
      </c>
      <c r="E7" s="2" t="s">
        <v>661</v>
      </c>
    </row>
    <row r="8" spans="1:5" ht="55" customHeight="1">
      <c r="A8" s="2" t="s">
        <v>100</v>
      </c>
      <c r="B8" s="2" t="s">
        <v>662</v>
      </c>
      <c r="C8" s="2" t="s">
        <v>663</v>
      </c>
      <c r="D8" s="2" t="s">
        <v>664</v>
      </c>
      <c r="E8" s="2" t="s">
        <v>665</v>
      </c>
    </row>
    <row r="9" spans="1:5" ht="55" customHeight="1">
      <c r="A9" s="2" t="s">
        <v>666</v>
      </c>
      <c r="B9" s="2" t="s">
        <v>667</v>
      </c>
      <c r="C9" s="2" t="s">
        <v>668</v>
      </c>
      <c r="D9" s="2" t="s">
        <v>36</v>
      </c>
      <c r="E9" s="2" t="s">
        <v>669</v>
      </c>
    </row>
    <row r="10" spans="1:5" ht="55" customHeight="1">
      <c r="A10" s="2" t="s">
        <v>399</v>
      </c>
      <c r="B10" s="2" t="s">
        <v>670</v>
      </c>
      <c r="C10" s="2" t="s">
        <v>671</v>
      </c>
      <c r="D10" s="2" t="s">
        <v>42</v>
      </c>
      <c r="E10" s="2" t="s">
        <v>672</v>
      </c>
    </row>
    <row r="11" spans="1:5" ht="55" customHeight="1">
      <c r="A11" s="2" t="s">
        <v>134</v>
      </c>
      <c r="B11" s="2" t="s">
        <v>673</v>
      </c>
      <c r="C11" s="2" t="s">
        <v>674</v>
      </c>
      <c r="D11" s="2" t="s">
        <v>49</v>
      </c>
      <c r="E11" s="2" t="s">
        <v>53</v>
      </c>
    </row>
    <row r="12" spans="1:5" ht="55" customHeight="1">
      <c r="A12" s="2" t="s">
        <v>675</v>
      </c>
      <c r="B12" s="2" t="s">
        <v>676</v>
      </c>
      <c r="C12" s="2" t="s">
        <v>677</v>
      </c>
      <c r="D12" s="2" t="s">
        <v>678</v>
      </c>
      <c r="E12" s="2" t="s">
        <v>679</v>
      </c>
    </row>
    <row r="13" spans="1:5" ht="55" customHeight="1">
      <c r="A13" s="2" t="s">
        <v>680</v>
      </c>
      <c r="B13" s="2" t="s">
        <v>681</v>
      </c>
      <c r="C13" s="2" t="s">
        <v>682</v>
      </c>
      <c r="D13" s="2" t="s">
        <v>49</v>
      </c>
      <c r="E13" s="2" t="s">
        <v>683</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START HERE</vt:lpstr>
      <vt:lpstr>Change Notes</vt:lpstr>
      <vt:lpstr>Client Preparation EN</vt:lpstr>
      <vt:lpstr>Client Preparation DE</vt:lpstr>
      <vt:lpstr>Conversation Guide EN</vt:lpstr>
      <vt:lpstr>Conversation Guide DE</vt:lpstr>
      <vt:lpstr>Process Capture</vt:lpstr>
      <vt:lpstr>Opportunity Shortlist</vt:lpstr>
      <vt:lpstr>Scope &amp; Boundary</vt:lpstr>
      <vt:lpstr>Pricing Bridge</vt:lpstr>
      <vt:lpstr>Branch Prompts</vt:lpstr>
      <vt:lpstr>Pattern Map</vt:lpstr>
      <vt:lpstr>Discovery Record</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maciek szczech</cp:lastModifiedBy>
  <dcterms:modified xsi:type="dcterms:W3CDTF">2026-08-31T11:13:06Z</dcterms:modified>
</cp:coreProperties>
</file>