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uild Item Readiness Helper" sheetId="2" state="visible" r:id="rId4"/>
    <sheet name="Phase3 to Phase4 Handoff" sheetId="3" state="visible" r:id="rId5"/>
    <sheet name="Build Backlog" sheetId="4" state="visible" r:id="rId6"/>
    <sheet name="Module Build Plan" sheetId="5" state="visible" r:id="rId7"/>
    <sheet name="Credentials &amp; Access" sheetId="6" state="visible" r:id="rId8"/>
    <sheet name="AI Prompt Config" sheetId="7" state="visible" r:id="rId9"/>
    <sheet name="Audit &amp; Error Build" sheetId="8" state="visible" r:id="rId10"/>
    <sheet name="Test Seed Cases" sheetId="9" state="visible" r:id="rId11"/>
    <sheet name="Build Checklist" sheetId="10" state="visible" r:id="rId12"/>
    <sheet name="Change 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<sst xmlns="http://schemas.openxmlformats.org/spreadsheetml/2006/main" count="742" uniqueCount="552">
  <si>
    <t xml:space="preserve">Phase 4 — MVP Build</t>
  </si>
  <si>
    <t xml:space="preserve">Convert the approved Phase 3 blueprint into a controlled, testable first automation build. Build only the approved MVP, not the final scaled system.</t>
  </si>
  <si>
    <t xml:space="preserve">Step</t>
  </si>
  <si>
    <t xml:space="preserve">Activity</t>
  </si>
  <si>
    <t xml:space="preserve">Instruction</t>
  </si>
  <si>
    <t xml:space="preserve">Use Sheet</t>
  </si>
  <si>
    <t xml:space="preserve">1</t>
  </si>
  <si>
    <t xml:space="preserve">Transfer design</t>
  </si>
  <si>
    <t xml:space="preserve">Copy final Phase 3 decisions into the handoff sheet.</t>
  </si>
  <si>
    <t xml:space="preserve">Phase3 to Phase4 Handoff</t>
  </si>
  <si>
    <t xml:space="preserve">2</t>
  </si>
  <si>
    <t xml:space="preserve">Break into tasks</t>
  </si>
  <si>
    <t xml:space="preserve">Create concrete build items and dependencies.</t>
  </si>
  <si>
    <t xml:space="preserve">Build Backlog</t>
  </si>
  <si>
    <t xml:space="preserve">3</t>
  </si>
  <si>
    <t xml:space="preserve">Configure modules</t>
  </si>
  <si>
    <t xml:space="preserve">Build trigger, normalizer, AI classifier, router, CRM, notification/draft, audit and error handler.</t>
  </si>
  <si>
    <t xml:space="preserve">Module Build Plan</t>
  </si>
  <si>
    <t xml:space="preserve">4</t>
  </si>
  <si>
    <t xml:space="preserve">Secure access</t>
  </si>
  <si>
    <t xml:space="preserve">Set up connections safely. Never store secrets in workbook or hardcoded modules.</t>
  </si>
  <si>
    <t xml:space="preserve">Credentials &amp; Access</t>
  </si>
  <si>
    <t xml:space="preserve">5</t>
  </si>
  <si>
    <t xml:space="preserve">Configure prompts</t>
  </si>
  <si>
    <t xml:space="preserve">Define schema, categories, confidence and fallback rules.</t>
  </si>
  <si>
    <t xml:space="preserve">AI Prompt Config</t>
  </si>
  <si>
    <t xml:space="preserve">6</t>
  </si>
  <si>
    <t xml:space="preserve">Prepare tests</t>
  </si>
  <si>
    <t xml:space="preserve">Create seed cases for formal Phase 5 validation.</t>
  </si>
  <si>
    <t xml:space="preserve">Test Seed Cases</t>
  </si>
  <si>
    <t xml:space="preserve">7</t>
  </si>
  <si>
    <t xml:space="preserve">Checklist</t>
  </si>
  <si>
    <t xml:space="preserve">Confirm MVP build is ready before testing.</t>
  </si>
  <si>
    <t xml:space="preserve">Build Checklist</t>
  </si>
  <si>
    <t xml:space="preserve">We planned this PM flow:</t>
  </si>
  <si>
    <t xml:space="preserve">Phase 1 — Discovery / Analysis</t>
  </si>
  <si>
    <t xml:space="preserve">Understand client needs, channels, risks, pain points, possible package direction.</t>
  </si>
  <si>
    <t xml:space="preserve">Phase 2 — Scope Definition / MVP Design</t>
  </si>
  <si>
    <t xml:space="preserve">Convert discovery answers into a clear first project scope.</t>
  </si>
  <si>
    <t xml:space="preserve">Phase 3 — Solution Blueprint</t>
  </si>
  <si>
    <t xml:space="preserve">Design workflow logic, tools, data fields, routing, approvals, security.</t>
  </si>
  <si>
    <t xml:space="preserve">Build the first safe automation version.</t>
  </si>
  <si>
    <t xml:space="preserve">Phase 5 — Testing / Validation</t>
  </si>
  <si>
    <t xml:space="preserve">Test real cases, edge cases, errors, wrong classifications, approvals.</t>
  </si>
  <si>
    <t xml:space="preserve">Phase 6 — Go-live / Managed Service</t>
  </si>
  <si>
    <t xml:space="preserve">Launch, monitor, maintain, improve, report.</t>
  </si>
  <si>
    <t xml:space="preserve">Phase 4 Progress (auto-computed)</t>
  </si>
  <si>
    <t xml:space="preserve">Build Backlog — by Status</t>
  </si>
  <si>
    <t xml:space="preserve">Status</t>
  </si>
  <si>
    <t xml:space="preserve">Meaning</t>
  </si>
  <si>
    <t xml:space="preserve">Count</t>
  </si>
  <si>
    <t xml:space="preserve">Not Started</t>
  </si>
  <si>
    <t xml:space="preserve">Build not begun.</t>
  </si>
  <si>
    <t xml:space="preserve">In Progress</t>
  </si>
  <si>
    <t xml:space="preserve">Build in progress.</t>
  </si>
  <si>
    <t xml:space="preserve">Done</t>
  </si>
  <si>
    <t xml:space="preserve">Build complete.</t>
  </si>
  <si>
    <t xml:space="preserve">Blocked</t>
  </si>
  <si>
    <t xml:space="preserve">Cannot proceed — needs resolution.</t>
  </si>
  <si>
    <t xml:space="preserve">Module Build Plan — by Status</t>
  </si>
  <si>
    <t xml:space="preserve">Module not built yet.</t>
  </si>
  <si>
    <t xml:space="preserve">Module being built.</t>
  </si>
  <si>
    <t xml:space="preserve">Module ready.</t>
  </si>
  <si>
    <t xml:space="preserve">Module blocked.</t>
  </si>
  <si>
    <t xml:space="preserve">Build Checklist — by Pass status</t>
  </si>
  <si>
    <t xml:space="preserve">Pass</t>
  </si>
  <si>
    <t xml:space="preserve">Checklist item verified.</t>
  </si>
  <si>
    <t xml:space="preserve">Pending</t>
  </si>
  <si>
    <t xml:space="preserve">Not yet verified.</t>
  </si>
  <si>
    <t xml:space="preserve">Fail</t>
  </si>
  <si>
    <t xml:space="preserve">Failed — needs rebuild or fix.</t>
  </si>
  <si>
    <t xml:space="preserve">N/A</t>
  </si>
  <si>
    <t xml:space="preserve">Not applicable for this project.</t>
  </si>
  <si>
    <t xml:space="preserve">Credentials &amp; Access — by Status</t>
  </si>
  <si>
    <t xml:space="preserve">Credential not set up.</t>
  </si>
  <si>
    <t xml:space="preserve">Set up</t>
  </si>
  <si>
    <t xml:space="preserve">Credential connected.</t>
  </si>
  <si>
    <t xml:space="preserve">Verified</t>
  </si>
  <si>
    <t xml:space="preserve">Connection tested and verified.</t>
  </si>
  <si>
    <t xml:space="preserve">Cannot proceed.</t>
  </si>
  <si>
    <t xml:space="preserve">Ready for Phase 5 testing when (a) every Build Backlog item is 'Done', (b) every Module Build Plan row is 'Done', (c) every Credentials row is 'Verified', and (d) every Build Checklist item is 'Pass'.</t>
  </si>
  <si>
    <t xml:space="preserve">Build Item Readiness Helper — should I build this now?</t>
  </si>
  <si>
    <t xml:space="preserve">Use this BEFORE starting any build item. Fill the 6 yellow inputs about the item; the blue cells suggest whether to build now, the priority, mandatory pre-build checks, Phase 5 test priority, and the top safety boundary. PM judgment still final.</t>
  </si>
  <si>
    <t xml:space="preserve">INPUTS — about this one build item</t>
  </si>
  <si>
    <t xml:space="preserve">#</t>
  </si>
  <si>
    <t xml:space="preserve">Question</t>
  </si>
  <si>
    <t xml:space="preserve">Allowed values</t>
  </si>
  <si>
    <t xml:space="preserve">Answer</t>
  </si>
  <si>
    <t xml:space="preserve">Q1</t>
  </si>
  <si>
    <t xml:space="preserve">Q1. Build item category</t>
  </si>
  <si>
    <t xml:space="preserve">Module / Credential / Prompt / Audit-error / Test / Other</t>
  </si>
  <si>
    <t xml:space="preserve">Module</t>
  </si>
  <si>
    <t xml:space="preserve">Q2</t>
  </si>
  <si>
    <t xml:space="preserve">Q2. Dependency status</t>
  </si>
  <si>
    <t xml:space="preserve">All met / Some pending / Blocked</t>
  </si>
  <si>
    <t xml:space="preserve">All met</t>
  </si>
  <si>
    <t xml:space="preserve">Q3</t>
  </si>
  <si>
    <t xml:space="preserve">Q3. Risk level (from Phase 3 blueprint)</t>
  </si>
  <si>
    <t xml:space="preserve">Low / Medium / High</t>
  </si>
  <si>
    <t xml:space="preserve">Medium</t>
  </si>
  <si>
    <t xml:space="preserve">Q4</t>
  </si>
  <si>
    <t xml:space="preserve">Q4. AI involvement in this item</t>
  </si>
  <si>
    <t xml:space="preserve">None / Classify only / Generate content / Take action</t>
  </si>
  <si>
    <t xml:space="preserve">Classify only</t>
  </si>
  <si>
    <t xml:space="preserve">Q5</t>
  </si>
  <si>
    <t xml:space="preserve">Q5. Security touch points</t>
  </si>
  <si>
    <t xml:space="preserve">Routine / OAuth setup / Secret handling / Sensitive data</t>
  </si>
  <si>
    <t xml:space="preserve">Routine</t>
  </si>
  <si>
    <t xml:space="preserve">Q6</t>
  </si>
  <si>
    <t xml:space="preserve">Q6. Phase 3 blueprint approval status</t>
  </si>
  <si>
    <t xml:space="preserve">Yes / Partial / No / Unknown</t>
  </si>
  <si>
    <t xml:space="preserve">Yes</t>
  </si>
  <si>
    <t xml:space="preserve">SUGGESTED VERDICT (auto-calculated)</t>
  </si>
  <si>
    <t xml:space="preserve">Indicator</t>
  </si>
  <si>
    <t xml:space="preserve">Suggested Value (formula)</t>
  </si>
  <si>
    <t xml:space="preserve">Reasoning hint</t>
  </si>
  <si>
    <t xml:space="preserve">O1</t>
  </si>
  <si>
    <t xml:space="preserve">Build verdict</t>
  </si>
  <si>
    <t xml:space="preserve">Phase 3 must be Yes and dependencies met. Anything else → Hold or Block.</t>
  </si>
  <si>
    <t xml:space="preserve">O2</t>
  </si>
  <si>
    <t xml:space="preserve">Priority recommendation</t>
  </si>
  <si>
    <t xml:space="preserve">Credentials and audit-error are foundational. High-risk AI items also P1.</t>
  </si>
  <si>
    <t xml:space="preserve">O3</t>
  </si>
  <si>
    <t xml:space="preserve">Mandatory pre-build checks</t>
  </si>
  <si>
    <t xml:space="preserve">Single most-important pre-build action for this combination.</t>
  </si>
  <si>
    <t xml:space="preserve">O4</t>
  </si>
  <si>
    <t xml:space="preserve">Phase 5 test priority</t>
  </si>
  <si>
    <t xml:space="preserve">High risk / agentic / sensitive → must test. Low-risk passive → smoke only.</t>
  </si>
  <si>
    <t xml:space="preserve">O5</t>
  </si>
  <si>
    <t xml:space="preserve">Top safety boundary</t>
  </si>
  <si>
    <t xml:space="preserve">The biggest single safety rule for this build item.</t>
  </si>
  <si>
    <t xml:space="preserve">How to use this with the Build Backlog:</t>
  </si>
  <si>
    <t xml:space="preserve">  1) Pick one B-### item from the Build Backlog.</t>
  </si>
  <si>
    <t xml:space="preserve">  2) Fill the 6 yellow inputs.</t>
  </si>
  <si>
    <t xml:space="preserve">  3) Read the 5 blue suggestions; transfer Priority and Risk into the backlog row.</t>
  </si>
  <si>
    <t xml:space="preserve">  4) Use Mandatory pre-build checks as a sanity gate before starting work.</t>
  </si>
  <si>
    <t xml:space="preserve">Caveat: this is decision support. Real PM judgment (client trust, contract scope, team availability) may override the recommendation.</t>
  </si>
  <si>
    <t xml:space="preserve">Phase 3 → Phase 4 Handoff</t>
  </si>
  <si>
    <t xml:space="preserve">Use this to preserve scope. Build decisions must come from the approved Phase 3 blueprint.</t>
  </si>
  <si>
    <t xml:space="preserve">Handoff Area</t>
  </si>
  <si>
    <t xml:space="preserve">Approved Phase 3 Decision</t>
  </si>
  <si>
    <t xml:space="preserve">Build Impact</t>
  </si>
  <si>
    <t xml:space="preserve">Owner</t>
  </si>
  <si>
    <t xml:space="preserve">Open Issue / Comment</t>
  </si>
  <si>
    <t xml:space="preserve">MVP goal</t>
  </si>
  <si>
    <t xml:space="preserve">Defines what the first build must achieve</t>
  </si>
  <si>
    <t xml:space="preserve">Included data sources / channels</t>
  </si>
  <si>
    <t xml:space="preserve">Defines triggers/connections to configure</t>
  </si>
  <si>
    <t xml:space="preserve">Included processing categories</t>
  </si>
  <si>
    <t xml:space="preserve">Defines classifier labels, extraction schema, or routing rules</t>
  </si>
  <si>
    <t xml:space="preserve">Excluded functions</t>
  </si>
  <si>
    <t xml:space="preserve">Defines what must not be built yet</t>
  </si>
  <si>
    <t xml:space="preserve">Human approval points</t>
  </si>
  <si>
    <t xml:space="preserve">Defines draft/review/not-send logic</t>
  </si>
  <si>
    <t xml:space="preserve">Tool stack</t>
  </si>
  <si>
    <t xml:space="preserve">Defines Make apps and external services</t>
  </si>
  <si>
    <t xml:space="preserve">Data fields</t>
  </si>
  <si>
    <t xml:space="preserve">Defines CRM/log/audit fields</t>
  </si>
  <si>
    <t xml:space="preserve">Security/access rules</t>
  </si>
  <si>
    <t xml:space="preserve">Defines credentials, ownership and permissions</t>
  </si>
  <si>
    <t xml:space="preserve">Error handling rules</t>
  </si>
  <si>
    <t xml:space="preserve">Defines fallback notifications and no-destructive-actions logic</t>
  </si>
  <si>
    <t xml:space="preserve">Phase 4 Build Backlog</t>
  </si>
  <si>
    <t xml:space="preserve">Main MVP implementation task list. Use Status/Priority/Dependency to control the build.</t>
  </si>
  <si>
    <t xml:space="preserve">ID</t>
  </si>
  <si>
    <t xml:space="preserve">Build Item</t>
  </si>
  <si>
    <t xml:space="preserve">Description</t>
  </si>
  <si>
    <t xml:space="preserve">Source Decision</t>
  </si>
  <si>
    <t xml:space="preserve">Priority</t>
  </si>
  <si>
    <t xml:space="preserve">Dependency</t>
  </si>
  <si>
    <t xml:space="preserve">Risk</t>
  </si>
  <si>
    <t xml:space="preserve">Done Criteria</t>
  </si>
  <si>
    <t xml:space="preserve">Notes</t>
  </si>
  <si>
    <t xml:space="preserve">Completeness Status (AUTO)</t>
  </si>
  <si>
    <t xml:space="preserve">B-001</t>
  </si>
  <si>
    <t xml:space="preserve">Create scenario shell</t>
  </si>
  <si>
    <t xml:space="preserve">Create project scenario with naming convention and version.</t>
  </si>
  <si>
    <t xml:space="preserve">Phase3 blueprint</t>
  </si>
  <si>
    <t xml:space="preserve">High</t>
  </si>
  <si>
    <t xml:space="preserve">None</t>
  </si>
  <si>
    <t xml:space="preserve">Low</t>
  </si>
  <si>
    <t xml:space="preserve">Scenario created and named correctly</t>
  </si>
  <si>
    <t xml:space="preserve">B-002</t>
  </si>
  <si>
    <t xml:space="preserve">Configure trigger/input</t>
  </si>
  <si>
    <t xml:space="preserve">Configure webhook/email/form trigger based on approved MVP.</t>
  </si>
  <si>
    <t xml:space="preserve">Included channels</t>
  </si>
  <si>
    <t xml:space="preserve">Trigger receives exact intended payload</t>
  </si>
  <si>
    <t xml:space="preserve">B-003</t>
  </si>
  <si>
    <t xml:space="preserve">Normalize input fields</t>
  </si>
  <si>
    <t xml:space="preserve">Map incoming data to standard fields.</t>
  </si>
  <si>
    <t xml:space="preserve">Data field map</t>
  </si>
  <si>
    <t xml:space="preserve">All required fields present</t>
  </si>
  <si>
    <t xml:space="preserve">B-004</t>
  </si>
  <si>
    <t xml:space="preserve">Configure AI classifier</t>
  </si>
  <si>
    <t xml:space="preserve">Build AI classification step with strict JSON output.</t>
  </si>
  <si>
    <t xml:space="preserve">Routing rules</t>
  </si>
  <si>
    <t xml:space="preserve">Classifier returns valid JSON and labels</t>
  </si>
  <si>
    <t xml:space="preserve">B-005</t>
  </si>
  <si>
    <t xml:space="preserve">Add validation/fallback</t>
  </si>
  <si>
    <t xml:space="preserve">Handle invalid or low-confidence AI response.</t>
  </si>
  <si>
    <t xml:space="preserve">Error rules</t>
  </si>
  <si>
    <t xml:space="preserve">Unknown/invalid routes to Human Review</t>
  </si>
  <si>
    <t xml:space="preserve">B-006</t>
  </si>
  <si>
    <t xml:space="preserve">Build router paths</t>
  </si>
  <si>
    <t xml:space="preserve">Route each category to correct action.</t>
  </si>
  <si>
    <t xml:space="preserve">Each category has safe path</t>
  </si>
  <si>
    <t xml:space="preserve">B-007</t>
  </si>
  <si>
    <t xml:space="preserve">Create CRM/log record</t>
  </si>
  <si>
    <t xml:space="preserve">Create Notion/Airtable/CRM record.</t>
  </si>
  <si>
    <t xml:space="preserve">Record contains key fields/status</t>
  </si>
  <si>
    <t xml:space="preserve">B-008</t>
  </si>
  <si>
    <t xml:space="preserve">Create draft/notification</t>
  </si>
  <si>
    <t xml:space="preserve">Prepare draft or notification without unsafe auto-send.</t>
  </si>
  <si>
    <t xml:space="preserve">Approval rules</t>
  </si>
  <si>
    <t xml:space="preserve">Human receives clear draft/task</t>
  </si>
  <si>
    <t xml:space="preserve">B-009</t>
  </si>
  <si>
    <t xml:space="preserve">Move/label message</t>
  </si>
  <si>
    <t xml:space="preserve">Move or label exact source message only.</t>
  </si>
  <si>
    <t xml:space="preserve">No wrong message moved</t>
  </si>
  <si>
    <t xml:space="preserve">B-010</t>
  </si>
  <si>
    <t xml:space="preserve">Add audit log</t>
  </si>
  <si>
    <t xml:space="preserve">Log classification, action and status.</t>
  </si>
  <si>
    <t xml:space="preserve">Monitoring</t>
  </si>
  <si>
    <t xml:space="preserve">Each run writes audit row</t>
  </si>
  <si>
    <t xml:space="preserve">B-011</t>
  </si>
  <si>
    <t xml:space="preserve">Add error handler</t>
  </si>
  <si>
    <t xml:space="preserve">Notify on failure and avoid destructive actions.</t>
  </si>
  <si>
    <t xml:space="preserve">Failure creates alert/status Error</t>
  </si>
  <si>
    <t xml:space="preserve">B-012</t>
  </si>
  <si>
    <t xml:space="preserve">Prepare test seed cases</t>
  </si>
  <si>
    <t xml:space="preserve">Prepare cases for Phase 5 testing.</t>
  </si>
  <si>
    <t xml:space="preserve">Test plan</t>
  </si>
  <si>
    <t xml:space="preserve">All categories have sample messages</t>
  </si>
  <si>
    <t xml:space="preserve">Scenario / Module Build Plan</t>
  </si>
  <si>
    <t xml:space="preserve">Translate the workflow into concrete modules. One row per Make/app module or component.</t>
  </si>
  <si>
    <t xml:space="preserve">Module / Component</t>
  </si>
  <si>
    <t xml:space="preserve">Purpose</t>
  </si>
  <si>
    <t xml:space="preserve">Input</t>
  </si>
  <si>
    <t xml:space="preserve">Output</t>
  </si>
  <si>
    <t xml:space="preserve">Configuration Needed</t>
  </si>
  <si>
    <t xml:space="preserve">Safety Rule</t>
  </si>
  <si>
    <t xml:space="preserve">Test Ref</t>
  </si>
  <si>
    <t xml:space="preserve">Trigger</t>
  </si>
  <si>
    <t xml:space="preserve">Receive trigger input</t>
  </si>
  <si>
    <t xml:space="preserve">Trigger payload (message, document, event, or data record)</t>
  </si>
  <si>
    <t xml:space="preserve">Raw payload</t>
  </si>
  <si>
    <t xml:space="preserve">Connection, trigger filter, exact ID capture</t>
  </si>
  <si>
    <t xml:space="preserve">Never lose source ID</t>
  </si>
  <si>
    <t xml:space="preserve">TC-001</t>
  </si>
  <si>
    <t xml:space="preserve">Normalizer / Mapper</t>
  </si>
  <si>
    <t xml:space="preserve">Standardize fields</t>
  </si>
  <si>
    <t xml:space="preserve">Standard fields</t>
  </si>
  <si>
    <t xml:space="preserve">Map source fields into standard format (channel, type, content, timestamp)</t>
  </si>
  <si>
    <t xml:space="preserve">Required fields cannot be empty</t>
  </si>
  <si>
    <t xml:space="preserve">TC-002</t>
  </si>
  <si>
    <t xml:space="preserve">AI Classifier</t>
  </si>
  <si>
    <t xml:space="preserve">Classify input / extract structured data</t>
  </si>
  <si>
    <t xml:space="preserve">JSON classification</t>
  </si>
  <si>
    <t xml:space="preserve">Prompt, schema, temperature, model</t>
  </si>
  <si>
    <t xml:space="preserve">No free text outside JSON</t>
  </si>
  <si>
    <t xml:space="preserve">TC-003</t>
  </si>
  <si>
    <t xml:space="preserve">JSON Parser / Validator</t>
  </si>
  <si>
    <t xml:space="preserve">Validate AI output</t>
  </si>
  <si>
    <t xml:space="preserve">Classifier result</t>
  </si>
  <si>
    <t xml:space="preserve">Parsed fields</t>
  </si>
  <si>
    <t xml:space="preserve">Schema, required values, fallback</t>
  </si>
  <si>
    <t xml:space="preserve">Invalid → Human Review</t>
  </si>
  <si>
    <t xml:space="preserve">TC-004</t>
  </si>
  <si>
    <t xml:space="preserve">Router</t>
  </si>
  <si>
    <t xml:space="preserve">Select action path</t>
  </si>
  <si>
    <t xml:space="preserve">Parsed classification</t>
  </si>
  <si>
    <t xml:space="preserve">Selected path</t>
  </si>
  <si>
    <t xml:space="preserve">Route filters per category</t>
  </si>
  <si>
    <t xml:space="preserve">No category without fallback</t>
  </si>
  <si>
    <t xml:space="preserve">TC-005</t>
  </si>
  <si>
    <t xml:space="preserve">CRM/Database Create</t>
  </si>
  <si>
    <t xml:space="preserve">Log record / entry</t>
  </si>
  <si>
    <t xml:space="preserve">Mapped fields</t>
  </si>
  <si>
    <t xml:space="preserve">CRM item</t>
  </si>
  <si>
    <t xml:space="preserve">Database/table fields</t>
  </si>
  <si>
    <t xml:space="preserve">Store minimum necessary data</t>
  </si>
  <si>
    <t xml:space="preserve">TC-006</t>
  </si>
  <si>
    <t xml:space="preserve">Draft/Notify</t>
  </si>
  <si>
    <t xml:space="preserve">Prepare next action</t>
  </si>
  <si>
    <t xml:space="preserve">Input + classification or extraction result</t>
  </si>
  <si>
    <t xml:space="preserve">Draft/task/alert</t>
  </si>
  <si>
    <t xml:space="preserve">Template, recipient, approval flow</t>
  </si>
  <si>
    <t xml:space="preserve">No auto-send unless approved</t>
  </si>
  <si>
    <t xml:space="preserve">TC-007</t>
  </si>
  <si>
    <t xml:space="preserve">8</t>
  </si>
  <si>
    <t xml:space="preserve">Move/Label Message</t>
  </si>
  <si>
    <t xml:space="preserve">Organise or route source item</t>
  </si>
  <si>
    <t xml:space="preserve">Exact source item ID (message ID, document ID, record ID)</t>
  </si>
  <si>
    <t xml:space="preserve">Folder/label update</t>
  </si>
  <si>
    <t xml:space="preserve">Folder names, ID mapping</t>
  </si>
  <si>
    <t xml:space="preserve">Use exact message ID only</t>
  </si>
  <si>
    <t xml:space="preserve">TC-008</t>
  </si>
  <si>
    <t xml:space="preserve">9</t>
  </si>
  <si>
    <t xml:space="preserve">Audit Log</t>
  </si>
  <si>
    <t xml:space="preserve">Record execution</t>
  </si>
  <si>
    <t xml:space="preserve">All prior outputs</t>
  </si>
  <si>
    <t xml:space="preserve">Audit row</t>
  </si>
  <si>
    <t xml:space="preserve">Log table/sheet fields</t>
  </si>
  <si>
    <t xml:space="preserve">Every run logged</t>
  </si>
  <si>
    <t xml:space="preserve">TC-009</t>
  </si>
  <si>
    <t xml:space="preserve">10</t>
  </si>
  <si>
    <t xml:space="preserve">Error Handler</t>
  </si>
  <si>
    <t xml:space="preserve">Catch failures</t>
  </si>
  <si>
    <t xml:space="preserve">Error event</t>
  </si>
  <si>
    <t xml:space="preserve">Alert + error log</t>
  </si>
  <si>
    <t xml:space="preserve">Error route, notification recipient</t>
  </si>
  <si>
    <t xml:space="preserve">No deletion on error</t>
  </si>
  <si>
    <t xml:space="preserve">TC-010</t>
  </si>
  <si>
    <t xml:space="preserve">Credentials &amp; Access Register</t>
  </si>
  <si>
    <t xml:space="preserve">Record access setup without storing secrets. Never paste API keys or passwords into this workbook.</t>
  </si>
  <si>
    <t xml:space="preserve">Service / Tool</t>
  </si>
  <si>
    <t xml:space="preserve">Credential Type</t>
  </si>
  <si>
    <t xml:space="preserve">Stored Where</t>
  </si>
  <si>
    <t xml:space="preserve">Access Level</t>
  </si>
  <si>
    <t xml:space="preserve">Rotation / Revocation Plan</t>
  </si>
  <si>
    <t xml:space="preserve">Do NOT Store Here</t>
  </si>
  <si>
    <t xml:space="preserve">Make.com</t>
  </si>
  <si>
    <t xml:space="preserve">Workspace access</t>
  </si>
  <si>
    <t xml:space="preserve">Provider or client</t>
  </si>
  <si>
    <t xml:space="preserve">Make team/workspace</t>
  </si>
  <si>
    <t xml:space="preserve">Admin/Editor/Viewer</t>
  </si>
  <si>
    <t xml:space="preserve">Remove user or transfer scenario ownership</t>
  </si>
  <si>
    <t xml:space="preserve">Passwords, API keys</t>
  </si>
  <si>
    <t xml:space="preserve">Gmail / Google Workspace</t>
  </si>
  <si>
    <t xml:space="preserve">OAuth connection</t>
  </si>
  <si>
    <t xml:space="preserve">Client preferred</t>
  </si>
  <si>
    <t xml:space="preserve">Make connection / OAuth</t>
  </si>
  <si>
    <t xml:space="preserve">Minimum required scopes</t>
  </si>
  <si>
    <t xml:space="preserve">Client can revoke OAuth access</t>
  </si>
  <si>
    <t xml:space="preserve">Passwords</t>
  </si>
  <si>
    <t xml:space="preserve">Instagram / Meta</t>
  </si>
  <si>
    <t xml:space="preserve">OAuth / Business integration</t>
  </si>
  <si>
    <t xml:space="preserve">Client</t>
  </si>
  <si>
    <t xml:space="preserve">Meta Business / Make connection</t>
  </si>
  <si>
    <t xml:space="preserve">Page messaging access only</t>
  </si>
  <si>
    <t xml:space="preserve">Remove app/business permission</t>
  </si>
  <si>
    <t xml:space="preserve">Access tokens</t>
  </si>
  <si>
    <t xml:space="preserve">OpenAI</t>
  </si>
  <si>
    <t xml:space="preserve">API key</t>
  </si>
  <si>
    <t xml:space="preserve">Make secure connection/keychain or backend proxy</t>
  </si>
  <si>
    <t xml:space="preserve">Limited project key</t>
  </si>
  <si>
    <t xml:space="preserve">Rotate key if exposed; monitor usage</t>
  </si>
  <si>
    <t xml:space="preserve">Raw key</t>
  </si>
  <si>
    <t xml:space="preserve">CRM / Notion / Airtable</t>
  </si>
  <si>
    <t xml:space="preserve">OAuth/API connection</t>
  </si>
  <si>
    <t xml:space="preserve">Make connection</t>
  </si>
  <si>
    <t xml:space="preserve">Create/update only where needed</t>
  </si>
  <si>
    <t xml:space="preserve">Revoke integration from workspace</t>
  </si>
  <si>
    <t xml:space="preserve">Calendar / Booking</t>
  </si>
  <si>
    <t xml:space="preserve">Make connection / native integration</t>
  </si>
  <si>
    <t xml:space="preserve">Read availability / create draft booking if approved</t>
  </si>
  <si>
    <t xml:space="preserve">Revoke OAuth app</t>
  </si>
  <si>
    <t xml:space="preserve">AI Prompt / Rule Configuration</t>
  </si>
  <si>
    <t xml:space="preserve">Define AI behavior as a controlled build asset: prompts, schema, categories, confidence, fallback and approvals.</t>
  </si>
  <si>
    <t xml:space="preserve">Prompt ID</t>
  </si>
  <si>
    <t xml:space="preserve">Use Case</t>
  </si>
  <si>
    <t xml:space="preserve">Model / Tool</t>
  </si>
  <si>
    <t xml:space="preserve">Input Fields</t>
  </si>
  <si>
    <t xml:space="preserve">Required Output Schema</t>
  </si>
  <si>
    <t xml:space="preserve">Allowed Categories</t>
  </si>
  <si>
    <t xml:space="preserve">Temperature</t>
  </si>
  <si>
    <t xml:space="preserve">Confidence Threshold</t>
  </si>
  <si>
    <t xml:space="preserve">Fallback Rule</t>
  </si>
  <si>
    <t xml:space="preserve">Human Approval?</t>
  </si>
  <si>
    <t xml:space="preserve">P-001</t>
  </si>
  <si>
    <t xml:space="preserve">Message classification</t>
  </si>
  <si>
    <t xml:space="preserve">OpenAI / Make AI</t>
  </si>
  <si>
    <t xml:space="preserve">subject, message, channel</t>
  </si>
  <si>
    <t xml:space="preserve">classification, confidence, urgency, reason, suggested_action, requires_human_review</t>
  </si>
  <si>
    <t xml:space="preserve">Client-specific taxonomy</t>
  </si>
  <si>
    <t xml:space="preserve">0</t>
  </si>
  <si>
    <t xml:space="preserve">0.80</t>
  </si>
  <si>
    <t xml:space="preserve">Below threshold → Human Review</t>
  </si>
  <si>
    <t xml:space="preserve">P-002</t>
  </si>
  <si>
    <t xml:space="preserve">Reply draft</t>
  </si>
  <si>
    <t xml:space="preserve">message, category, FAQ, tone</t>
  </si>
  <si>
    <t xml:space="preserve">draft_subject, draft_body, risk_note</t>
  </si>
  <si>
    <t xml:space="preserve">Safe categories only</t>
  </si>
  <si>
    <t xml:space="preserve">0.2</t>
  </si>
  <si>
    <t xml:space="preserve">0.85</t>
  </si>
  <si>
    <t xml:space="preserve">If sensitive → no draft, escalate</t>
  </si>
  <si>
    <t xml:space="preserve">P-003</t>
  </si>
  <si>
    <t xml:space="preserve">Summary for CRM</t>
  </si>
  <si>
    <t xml:space="preserve">message, classification</t>
  </si>
  <si>
    <t xml:space="preserve">one_sentence_summary, client_need</t>
  </si>
  <si>
    <t xml:space="preserve">All non-spam categories</t>
  </si>
  <si>
    <t xml:space="preserve">Invalid → raw message note</t>
  </si>
  <si>
    <t xml:space="preserve">No</t>
  </si>
  <si>
    <t xml:space="preserve">P-004</t>
  </si>
  <si>
    <t xml:space="preserve">Urgency detection</t>
  </si>
  <si>
    <t xml:space="preserve">message</t>
  </si>
  <si>
    <t xml:space="preserve">urgency, escalation_reason</t>
  </si>
  <si>
    <t xml:space="preserve">normal, important, urgent</t>
  </si>
  <si>
    <t xml:space="preserve">0.90</t>
  </si>
  <si>
    <t xml:space="preserve">Urgent → notify human immediately</t>
  </si>
  <si>
    <t xml:space="preserve">P-005</t>
  </si>
  <si>
    <t xml:space="preserve">Document field extraction</t>
  </si>
  <si>
    <t xml:space="preserve">document_text, field_schema, document_type</t>
  </si>
  <si>
    <t xml:space="preserve">extracted_fields, confidence, missing_fields, validation_status</t>
  </si>
  <si>
    <t xml:space="preserve">Defined field schema per document type (invoice, contract, form)</t>
  </si>
  <si>
    <t xml:space="preserve">Missing required field → flag for human review; do not post to system</t>
  </si>
  <si>
    <t xml:space="preserve">Validate extracted fields before any downstream write; error route mandatory.</t>
  </si>
  <si>
    <t xml:space="preserve">P-006</t>
  </si>
  <si>
    <t xml:space="preserve">Content repurposing / draft generation</t>
  </si>
  <si>
    <t xml:space="preserve">source_content, target_platform, tone_guide, character_limit</t>
  </si>
  <si>
    <t xml:space="preserve">draft_content, platform_format, risk_note</t>
  </si>
  <si>
    <t xml:space="preserve">Approved target platforms only</t>
  </si>
  <si>
    <t xml:space="preserve">Human review required before any publish action; never auto-publish</t>
  </si>
  <si>
    <t xml:space="preserve">One source per run; draft only — never publish without explicit human approval.</t>
  </si>
  <si>
    <t xml:space="preserve">Audit Log and Error Handling Build</t>
  </si>
  <si>
    <t xml:space="preserve">Build logging and error handling as part of MVP, not afterthought.</t>
  </si>
  <si>
    <t xml:space="preserve">Item</t>
  </si>
  <si>
    <t xml:space="preserve">What to Build</t>
  </si>
  <si>
    <t xml:space="preserve">Required Fields / Logic</t>
  </si>
  <si>
    <t xml:space="preserve">Reason</t>
  </si>
  <si>
    <t xml:space="preserve">Audit log row</t>
  </si>
  <si>
    <t xml:space="preserve">Write one log row per run</t>
  </si>
  <si>
    <t xml:space="preserve">timestamp, source_id, channel, classification, confidence, action_taken, status</t>
  </si>
  <si>
    <t xml:space="preserve">Supports monitoring and client trust</t>
  </si>
  <si>
    <t xml:space="preserve">Error log row</t>
  </si>
  <si>
    <t xml:space="preserve">Write one row per failed run</t>
  </si>
  <si>
    <t xml:space="preserve">timestamp, scenario, module, error_message, source_id, recovery_status</t>
  </si>
  <si>
    <t xml:space="preserve">Supports support/debugging</t>
  </si>
  <si>
    <t xml:space="preserve">Failure notification</t>
  </si>
  <si>
    <t xml:space="preserve">Send alert to provider/admin</t>
  </si>
  <si>
    <t xml:space="preserve">error summary, affected client, run link, next action</t>
  </si>
  <si>
    <t xml:space="preserve">Prevents silent failures</t>
  </si>
  <si>
    <t xml:space="preserve">Fallback route</t>
  </si>
  <si>
    <t xml:space="preserve">Route unknown/invalid cases to Human Review</t>
  </si>
  <si>
    <t xml:space="preserve">invalid JSON, missing field, low confidence, unrecognized category</t>
  </si>
  <si>
    <t xml:space="preserve">Avoids unsafe automation</t>
  </si>
  <si>
    <t xml:space="preserve">No destructive action rule</t>
  </si>
  <si>
    <t xml:space="preserve">Do not delete source messages automatically</t>
  </si>
  <si>
    <t xml:space="preserve">move/label instead of delete</t>
  </si>
  <si>
    <t xml:space="preserve">Protects client data</t>
  </si>
  <si>
    <t xml:space="preserve">Exact message matching</t>
  </si>
  <si>
    <t xml:space="preserve">Use source ID or correlation ID</t>
  </si>
  <si>
    <t xml:space="preserve">no latest-unread matching in production</t>
  </si>
  <si>
    <t xml:space="preserve">Avoids wrong message moved/replied</t>
  </si>
  <si>
    <t xml:space="preserve">Test Seed Cases for Phase 5</t>
  </si>
  <si>
    <t xml:space="preserve">Prepare representative messages during build. These become the starting point for formal Phase 5 testing.</t>
  </si>
  <si>
    <t xml:space="preserve">Test ID</t>
  </si>
  <si>
    <t xml:space="preserve">Category</t>
  </si>
  <si>
    <t xml:space="preserve">Sample Input Message</t>
  </si>
  <si>
    <t xml:space="preserve">Expected Classification</t>
  </si>
  <si>
    <t xml:space="preserve">Expected Action</t>
  </si>
  <si>
    <t xml:space="preserve">AI Draft?</t>
  </si>
  <si>
    <t xml:space="preserve">Auto-Send?</t>
  </si>
  <si>
    <t xml:space="preserve">Lead / Booking</t>
  </si>
  <si>
    <t xml:space="preserve">Hello, I would like to book an appointment next week.</t>
  </si>
  <si>
    <t xml:space="preserve">BOOKING / LEAD</t>
  </si>
  <si>
    <t xml:space="preserve">Create CRM item + draft booking reply</t>
  </si>
  <si>
    <t xml:space="preserve">Price question</t>
  </si>
  <si>
    <t xml:space="preserve">Can you tell me your prices?</t>
  </si>
  <si>
    <t xml:space="preserve">PRICE_QUESTION</t>
  </si>
  <si>
    <t xml:space="preserve">Create draft FAQ reply</t>
  </si>
  <si>
    <t xml:space="preserve">Sensitive message</t>
  </si>
  <si>
    <t xml:space="preserve">I have a personal problem and need advice now.</t>
  </si>
  <si>
    <t xml:space="preserve">SENSITIVE / HUMAN_REVIEW</t>
  </si>
  <si>
    <t xml:space="preserve">Escalate to human, no advice</t>
  </si>
  <si>
    <t xml:space="preserve">Complaint</t>
  </si>
  <si>
    <t xml:space="preserve">I did not receive an answer and I am unhappy.</t>
  </si>
  <si>
    <t xml:space="preserve">COMPLAINT</t>
  </si>
  <si>
    <t xml:space="preserve">Human review + important flag</t>
  </si>
  <si>
    <t xml:space="preserve">Maybe</t>
  </si>
  <si>
    <t xml:space="preserve">Spam</t>
  </si>
  <si>
    <t xml:space="preserve">Buy followers cheap now.</t>
  </si>
  <si>
    <t xml:space="preserve">SPAM</t>
  </si>
  <si>
    <t xml:space="preserve">Move to spam-review folder</t>
  </si>
  <si>
    <t xml:space="preserve">Unclear</t>
  </si>
  <si>
    <t xml:space="preserve">Hi</t>
  </si>
  <si>
    <t xml:space="preserve">UNKNOWN / HUMAN_REVIEW</t>
  </si>
  <si>
    <t xml:space="preserve">Human review</t>
  </si>
  <si>
    <t xml:space="preserve">Test message</t>
  </si>
  <si>
    <t xml:space="preserve">This is a test form submission.</t>
  </si>
  <si>
    <t xml:space="preserve">TEST</t>
  </si>
  <si>
    <t xml:space="preserve">Route to test folder/log</t>
  </si>
  <si>
    <t xml:space="preserve">Document Processing</t>
  </si>
  <si>
    <t xml:space="preserve">[Invoice PDF received] Supplier: ABC GmbH, CHF 4'850, due 2026-07-15</t>
  </si>
  <si>
    <t xml:space="preserve">INVOICE / DOCUMENT</t>
  </si>
  <si>
    <t xml:space="preserve">Extract fields → validate → log to accounting; flag mismatches for review</t>
  </si>
  <si>
    <t xml:space="preserve">Yes (field extraction)</t>
  </si>
  <si>
    <t xml:space="preserve">Example for document extraction automation — adapt field schema per project</t>
  </si>
  <si>
    <t xml:space="preserve">Content &amp; Marketing</t>
  </si>
  <si>
    <t xml:space="preserve">[Source article submitted] Product launch blog post (800 words); targets: Instagram, LinkedIn, newsletter</t>
  </si>
  <si>
    <t xml:space="preserve">CONTENT_REPURPOSE</t>
  </si>
  <si>
    <t xml:space="preserve">Generate platform-specific drafts → route to human review → publish only after approval</t>
  </si>
  <si>
    <t xml:space="preserve">Example for content repurposing — never auto-publish; human approval required before every post</t>
  </si>
  <si>
    <t xml:space="preserve">Internal Ops / Approval</t>
  </si>
  <si>
    <t xml:space="preserve">[Approval request submitted] Purchase: CHF 1'200, office equipment, submitted by T. Müller</t>
  </si>
  <si>
    <t xml:space="preserve">APPROVAL_REQUEST</t>
  </si>
  <si>
    <t xml:space="preserve">Route to approver → send notification + log; reminder if no reply within 24h</t>
  </si>
  <si>
    <t xml:space="preserve">Example for approval routing automation — no auto-approve under any circumstance</t>
  </si>
  <si>
    <t xml:space="preserve">Phase 4 Build Completion Checklist</t>
  </si>
  <si>
    <t xml:space="preserve">Complete this before starting formal Phase 5 testing.</t>
  </si>
  <si>
    <t xml:space="preserve">Check ID</t>
  </si>
  <si>
    <t xml:space="preserve">Checklist Item</t>
  </si>
  <si>
    <t xml:space="preserve">Pass?</t>
  </si>
  <si>
    <t xml:space="preserve">Evidence / Link / Comment</t>
  </si>
  <si>
    <t xml:space="preserve">Date</t>
  </si>
  <si>
    <t xml:space="preserve">C-001</t>
  </si>
  <si>
    <t xml:space="preserve">Scenario/workflow name and version are clear</t>
  </si>
  <si>
    <t xml:space="preserve">C-002</t>
  </si>
  <si>
    <t xml:space="preserve">Trigger receives the correct source message/payload</t>
  </si>
  <si>
    <t xml:space="preserve">C-003</t>
  </si>
  <si>
    <t xml:space="preserve">No hardcoded API keys or passwords are visible in modules</t>
  </si>
  <si>
    <t xml:space="preserve">C-004</t>
  </si>
  <si>
    <t xml:space="preserve">Client-owned connections are used where appropriate</t>
  </si>
  <si>
    <t xml:space="preserve">C-005</t>
  </si>
  <si>
    <t xml:space="preserve">AI classifier returns strict valid JSON</t>
  </si>
  <si>
    <t xml:space="preserve">C-006</t>
  </si>
  <si>
    <t xml:space="preserve">Low-confidence/invalid outputs route to Human Review</t>
  </si>
  <si>
    <t xml:space="preserve">C-007</t>
  </si>
  <si>
    <t xml:space="preserve">No unsafe automatic sending is enabled unless approved</t>
  </si>
  <si>
    <t xml:space="preserve">C-008</t>
  </si>
  <si>
    <t xml:space="preserve">CRM/database record is created correctly</t>
  </si>
  <si>
    <t xml:space="preserve">C-009</t>
  </si>
  <si>
    <t xml:space="preserve">Audit log is written for each run</t>
  </si>
  <si>
    <t xml:space="preserve">C-010</t>
  </si>
  <si>
    <t xml:space="preserve">Error handler creates alert and error log</t>
  </si>
  <si>
    <t xml:space="preserve">C-011</t>
  </si>
  <si>
    <t xml:space="preserve">Exact message ID/correlation logic is confirmed</t>
  </si>
  <si>
    <t xml:space="preserve">C-012</t>
  </si>
  <si>
    <t xml:space="preserve">Test seed cases are prepared for Phase 5</t>
  </si>
  <si>
    <t xml:space="preserve">Build at a Glance (auto-computed)</t>
  </si>
  <si>
    <t xml:space="preserve">Backlog items defined</t>
  </si>
  <si>
    <t xml:space="preserve">Backlog items — Done</t>
  </si>
  <si>
    <t xml:space="preserve">Modules planned</t>
  </si>
  <si>
    <t xml:space="preserve">Modules — Done</t>
  </si>
  <si>
    <t xml:space="preserve">Credentials registered</t>
  </si>
  <si>
    <t xml:space="preserve">Credentials — Verified</t>
  </si>
  <si>
    <t xml:space="preserve">AI prompts defined</t>
  </si>
  <si>
    <t xml:space="preserve">AI prompts — Done</t>
  </si>
  <si>
    <t xml:space="preserve">Audit/Error items defined</t>
  </si>
  <si>
    <t xml:space="preserve">Test seed cases prepared</t>
  </si>
  <si>
    <t xml:space="preserve">Build Checklist items — Pass</t>
  </si>
  <si>
    <t xml:space="preserve">Build Checklist items — Pending/Fail</t>
  </si>
  <si>
    <t xml:space="preserve">Build Change Log</t>
  </si>
  <si>
    <t xml:space="preserve">Track changes to prompts, routing, module settings and security decisions during implementation.</t>
  </si>
  <si>
    <t xml:space="preserve">Change ID</t>
  </si>
  <si>
    <t xml:space="preserve">Area</t>
  </si>
  <si>
    <t xml:space="preserve">Change Description</t>
  </si>
  <si>
    <t xml:space="preserve">Impact</t>
  </si>
  <si>
    <t xml:space="preserve">Approved By</t>
  </si>
  <si>
    <t xml:space="preserve">CH-001</t>
  </si>
  <si>
    <t xml:space="preserve">CH-002</t>
  </si>
  <si>
    <t xml:space="preserve">CH-003</t>
  </si>
</sst>
</file>

<file path=xl/styles.xml><?xml version="1.0" encoding="utf-8"?>
<styleSheet xmlns="http://schemas.openxmlformats.org/spreadsheetml/2006/main">
  <numFmts count="2">
    <numFmt numFmtId="164" formatCode="General"/>
    <numFmt numFmtId="165" formatCode="General"/>
  </numFmts>
  <fonts count="12">
    <font>
      <sz val="11"/>
      <name val="Calibri"/>
      <family val="0"/>
      <charset val="1"/>
    </font>
    <font>
      <sz val="10"/>
      <name val="Arial"/>
      <family val="0"/>
    </font>
    <font>
      <sz val="10"/>
      <name val="Arial"/>
      <family val="0"/>
    </font>
    <font>
      <sz val="10"/>
      <name val="Arial"/>
      <family val="0"/>
    </font>
    <font>
      <b val="true"/>
      <sz val="14"/>
      <color rgb="FFFFFFFF"/>
      <name val="Calibri"/>
      <family val="2"/>
      <charset val="1"/>
    </font>
    <font>
      <i val="true"/>
      <sz val="11"/>
      <name val="Calibri"/>
      <family val="2"/>
      <charset val="1"/>
    </font>
    <font>
      <b val="true"/>
      <sz val="11"/>
      <color rgb="FFFFFFFF"/>
      <name val="Calibri"/>
      <family val="2"/>
      <charset val="1"/>
    </font>
    <font>
      <b val="true"/>
      <sz val="11"/>
      <name val="Calibri"/>
      <family val="2"/>
      <charset val="1"/>
    </font>
    <font>
      <b val="true"/>
      <sz val="11"/>
      <color rgb="FF000000"/>
      <name val="Calibri"/>
      <family val="2"/>
      <charset val="1"/>
    </font>
    <font>
      <sz val="11"/>
      <color rgb="FF000000"/>
      <name val="Calibri"/>
      <family val="2"/>
      <charset val="1"/>
    </font>
    <font>
      <i val="true"/>
      <sz val="11"/>
      <color rgb="FF000000"/>
      <name val="Calibri"/>
      <family val="2"/>
      <charset val="1"/>
    </font>
    <font>
      <b val="true"/>
      <sz val="14"/>
      <color rgb="FF000000"/>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D9EAF7"/>
        <bgColor rgb="FFE7E6E6"/>
      </patternFill>
    </fill>
    <fill>
      <patternFill patternType="solid">
        <fgColor rgb="FFFFF2CC"/>
        <bgColor rgb="FFE7E6E6"/>
      </patternFill>
    </fill>
    <fill>
      <patternFill patternType="solid">
        <fgColor rgb="FFE7E6E6"/>
        <bgColor rgb="FFD9EAF7"/>
      </patternFill>
    </fill>
    <fill>
      <patternFill patternType="solid">
        <fgColor rgb="FF000000"/>
        <bgColor rgb="FF00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35"/>
    <col collapsed="false" customWidth="true" hidden="false" outlineLevel="0" max="2" min="2" style="0" width="55"/>
    <col collapsed="false" customWidth="true" hidden="false" outlineLevel="0" max="3" min="3" style="0" width="70"/>
    <col collapsed="false" customWidth="true" hidden="false" outlineLevel="0" max="4" min="4" style="0" width="28"/>
  </cols>
  <sheetData>
    <row r="1" s="2" customFormat="true" ht="36.75" hidden="false" customHeight="true" outlineLevel="0" collapsed="false">
      <c r="A1" s="1" t="s">
        <v>0</v>
      </c>
      <c r="B1" s="1"/>
      <c r="C1" s="1"/>
      <c r="D1" s="1"/>
      <c r="E1" s="1"/>
    </row>
    <row r="2" customFormat="false" ht="50.25" hidden="false" customHeight="true" outlineLevel="0" collapsed="false">
      <c r="A2" s="3" t="s">
        <v>1</v>
      </c>
      <c r="B2" s="3"/>
      <c r="C2" s="3"/>
      <c r="D2" s="3"/>
      <c r="E2" s="3"/>
    </row>
    <row r="4" customFormat="false" ht="45" hidden="false" customHeight="true" outlineLevel="0" collapsed="false">
      <c r="A4" s="4" t="s">
        <v>2</v>
      </c>
      <c r="B4" s="4" t="s">
        <v>3</v>
      </c>
      <c r="C4" s="4" t="s">
        <v>4</v>
      </c>
      <c r="D4" s="4" t="s">
        <v>5</v>
      </c>
    </row>
    <row r="5" customFormat="false" ht="15.75" hidden="false" customHeight="true" outlineLevel="0" collapsed="false">
      <c r="A5" s="5" t="s">
        <v>6</v>
      </c>
      <c r="B5" s="5" t="s">
        <v>7</v>
      </c>
      <c r="C5" s="5" t="s">
        <v>8</v>
      </c>
      <c r="D5" s="5" t="s">
        <v>9</v>
      </c>
    </row>
    <row r="6" customFormat="false" ht="15.75" hidden="false" customHeight="true" outlineLevel="0" collapsed="false">
      <c r="A6" s="5" t="s">
        <v>10</v>
      </c>
      <c r="B6" s="5" t="s">
        <v>11</v>
      </c>
      <c r="C6" s="5" t="s">
        <v>12</v>
      </c>
      <c r="D6" s="5" t="s">
        <v>13</v>
      </c>
    </row>
    <row r="7" customFormat="false" ht="31.5" hidden="false" customHeight="true" outlineLevel="0" collapsed="false">
      <c r="A7" s="5" t="s">
        <v>14</v>
      </c>
      <c r="B7" s="5" t="s">
        <v>15</v>
      </c>
      <c r="C7" s="5" t="s">
        <v>16</v>
      </c>
      <c r="D7" s="5" t="s">
        <v>17</v>
      </c>
    </row>
    <row r="8" customFormat="false" ht="31.5" hidden="false" customHeight="true" outlineLevel="0" collapsed="false">
      <c r="A8" s="5" t="s">
        <v>18</v>
      </c>
      <c r="B8" s="5" t="s">
        <v>19</v>
      </c>
      <c r="C8" s="5" t="s">
        <v>20</v>
      </c>
      <c r="D8" s="5" t="s">
        <v>21</v>
      </c>
    </row>
    <row r="9" customFormat="false" ht="15.75" hidden="false" customHeight="true" outlineLevel="0" collapsed="false">
      <c r="A9" s="5" t="s">
        <v>22</v>
      </c>
      <c r="B9" s="5" t="s">
        <v>23</v>
      </c>
      <c r="C9" s="5" t="s">
        <v>24</v>
      </c>
      <c r="D9" s="5" t="s">
        <v>25</v>
      </c>
    </row>
    <row r="10" customFormat="false" ht="15.75" hidden="false" customHeight="true" outlineLevel="0" collapsed="false">
      <c r="A10" s="5" t="s">
        <v>26</v>
      </c>
      <c r="B10" s="5" t="s">
        <v>27</v>
      </c>
      <c r="C10" s="5" t="s">
        <v>28</v>
      </c>
      <c r="D10" s="5" t="s">
        <v>29</v>
      </c>
    </row>
    <row r="11" customFormat="false" ht="15.75" hidden="false" customHeight="true" outlineLevel="0" collapsed="false">
      <c r="A11" s="5" t="s">
        <v>30</v>
      </c>
      <c r="B11" s="5" t="s">
        <v>31</v>
      </c>
      <c r="C11" s="5" t="s">
        <v>32</v>
      </c>
      <c r="D11" s="5" t="s">
        <v>33</v>
      </c>
    </row>
    <row r="14" customFormat="false" ht="15" hidden="false" customHeight="false" outlineLevel="0" collapsed="false">
      <c r="A14" s="0" t="s">
        <v>34</v>
      </c>
    </row>
    <row r="16" customFormat="false" ht="15" hidden="false" customHeight="false" outlineLevel="0" collapsed="false">
      <c r="A16" s="6" t="s">
        <v>35</v>
      </c>
    </row>
    <row r="17" customFormat="false" ht="15" hidden="false" customHeight="false" outlineLevel="0" collapsed="false">
      <c r="A17" s="0" t="s">
        <v>36</v>
      </c>
    </row>
    <row r="19" customFormat="false" ht="15" hidden="false" customHeight="false" outlineLevel="0" collapsed="false">
      <c r="A19" s="6" t="s">
        <v>37</v>
      </c>
    </row>
    <row r="20" customFormat="false" ht="15" hidden="false" customHeight="false" outlineLevel="0" collapsed="false">
      <c r="A20" s="0" t="s">
        <v>38</v>
      </c>
    </row>
    <row r="22" customFormat="false" ht="15" hidden="false" customHeight="false" outlineLevel="0" collapsed="false">
      <c r="A22" s="6" t="s">
        <v>39</v>
      </c>
    </row>
    <row r="23" customFormat="false" ht="15" hidden="false" customHeight="false" outlineLevel="0" collapsed="false">
      <c r="A23" s="0" t="s">
        <v>40</v>
      </c>
    </row>
    <row r="25" customFormat="false" ht="15" hidden="false" customHeight="false" outlineLevel="0" collapsed="false">
      <c r="A25" s="6" t="s">
        <v>0</v>
      </c>
    </row>
    <row r="26" customFormat="false" ht="15" hidden="false" customHeight="false" outlineLevel="0" collapsed="false">
      <c r="A26" s="0" t="s">
        <v>41</v>
      </c>
    </row>
    <row r="28" customFormat="false" ht="15" hidden="false" customHeight="false" outlineLevel="0" collapsed="false">
      <c r="A28" s="6" t="s">
        <v>42</v>
      </c>
    </row>
    <row r="29" customFormat="false" ht="15" hidden="false" customHeight="false" outlineLevel="0" collapsed="false">
      <c r="A29" s="0" t="s">
        <v>43</v>
      </c>
    </row>
    <row r="31" customFormat="false" ht="15" hidden="false" customHeight="false" outlineLevel="0" collapsed="false">
      <c r="A31" s="6" t="s">
        <v>44</v>
      </c>
    </row>
    <row r="32" customFormat="false" ht="15" hidden="false" customHeight="false" outlineLevel="0" collapsed="false">
      <c r="A32" s="0" t="s">
        <v>45</v>
      </c>
    </row>
    <row r="34" customFormat="false" ht="21.75" hidden="false" customHeight="true" outlineLevel="0" collapsed="false">
      <c r="A34" s="7" t="s">
        <v>46</v>
      </c>
      <c r="B34" s="7"/>
      <c r="C34" s="7"/>
    </row>
    <row r="36" customFormat="false" ht="15" hidden="false" customHeight="true" outlineLevel="0" collapsed="false">
      <c r="A36" s="8" t="s">
        <v>47</v>
      </c>
      <c r="B36" s="8"/>
      <c r="C36" s="8"/>
    </row>
    <row r="37" customFormat="false" ht="15.75" hidden="false" customHeight="true" outlineLevel="0" collapsed="false">
      <c r="A37" s="9" t="s">
        <v>48</v>
      </c>
      <c r="B37" s="9" t="s">
        <v>49</v>
      </c>
      <c r="C37" s="9" t="s">
        <v>50</v>
      </c>
    </row>
    <row r="38" customFormat="false" ht="15.75" hidden="false" customHeight="true" outlineLevel="0" collapsed="false">
      <c r="A38" s="10" t="s">
        <v>51</v>
      </c>
      <c r="B38" s="11" t="s">
        <v>52</v>
      </c>
      <c r="C38" s="12" t="n">
        <f aca="false">COUNTIF('Build Backlog'!F5:F16,"Not Started")</f>
        <v>12</v>
      </c>
    </row>
    <row r="39" customFormat="false" ht="15.75" hidden="false" customHeight="true" outlineLevel="0" collapsed="false">
      <c r="A39" s="10" t="s">
        <v>53</v>
      </c>
      <c r="B39" s="11" t="s">
        <v>54</v>
      </c>
      <c r="C39" s="12" t="n">
        <f aca="false">COUNTIF('Build Backlog'!F5:F16,"In Progress")</f>
        <v>0</v>
      </c>
    </row>
    <row r="40" customFormat="false" ht="15.75" hidden="false" customHeight="true" outlineLevel="0" collapsed="false">
      <c r="A40" s="10" t="s">
        <v>55</v>
      </c>
      <c r="B40" s="11" t="s">
        <v>56</v>
      </c>
      <c r="C40" s="12" t="n">
        <f aca="false">COUNTIF('Build Backlog'!F5:F16,"Done")</f>
        <v>0</v>
      </c>
    </row>
    <row r="41" customFormat="false" ht="15.75" hidden="false" customHeight="true" outlineLevel="0" collapsed="false">
      <c r="A41" s="10" t="s">
        <v>57</v>
      </c>
      <c r="B41" s="11" t="s">
        <v>58</v>
      </c>
      <c r="C41" s="12" t="n">
        <f aca="false">COUNTIF('Build Backlog'!F5:F16,"Blocked")</f>
        <v>0</v>
      </c>
    </row>
    <row r="43" customFormat="false" ht="15" hidden="false" customHeight="true" outlineLevel="0" collapsed="false">
      <c r="A43" s="8" t="s">
        <v>59</v>
      </c>
      <c r="B43" s="8"/>
      <c r="C43" s="8"/>
    </row>
    <row r="44" customFormat="false" ht="15.75" hidden="false" customHeight="true" outlineLevel="0" collapsed="false">
      <c r="A44" s="9" t="s">
        <v>48</v>
      </c>
      <c r="B44" s="9" t="s">
        <v>49</v>
      </c>
      <c r="C44" s="9" t="s">
        <v>50</v>
      </c>
    </row>
    <row r="45" customFormat="false" ht="15.75" hidden="false" customHeight="true" outlineLevel="0" collapsed="false">
      <c r="A45" s="10" t="s">
        <v>51</v>
      </c>
      <c r="B45" s="11" t="s">
        <v>60</v>
      </c>
      <c r="C45" s="12" t="n">
        <f aca="false">COUNTIF('Module Build Plan'!H5:H14,"Not Started")</f>
        <v>10</v>
      </c>
    </row>
    <row r="46" customFormat="false" ht="15.75" hidden="false" customHeight="true" outlineLevel="0" collapsed="false">
      <c r="A46" s="10" t="s">
        <v>53</v>
      </c>
      <c r="B46" s="11" t="s">
        <v>61</v>
      </c>
      <c r="C46" s="12" t="n">
        <f aca="false">COUNTIF('Module Build Plan'!H5:H14,"In Progress")</f>
        <v>0</v>
      </c>
    </row>
    <row r="47" customFormat="false" ht="15.75" hidden="false" customHeight="true" outlineLevel="0" collapsed="false">
      <c r="A47" s="10" t="s">
        <v>55</v>
      </c>
      <c r="B47" s="11" t="s">
        <v>62</v>
      </c>
      <c r="C47" s="12" t="n">
        <f aca="false">COUNTIF('Module Build Plan'!H5:H14,"Done")</f>
        <v>0</v>
      </c>
    </row>
    <row r="48" customFormat="false" ht="15.75" hidden="false" customHeight="true" outlineLevel="0" collapsed="false">
      <c r="A48" s="10" t="s">
        <v>57</v>
      </c>
      <c r="B48" s="11" t="s">
        <v>63</v>
      </c>
      <c r="C48" s="12" t="n">
        <f aca="false">COUNTIF('Module Build Plan'!H5:H14,"Blocked")</f>
        <v>0</v>
      </c>
    </row>
    <row r="50" customFormat="false" ht="15" hidden="false" customHeight="true" outlineLevel="0" collapsed="false">
      <c r="A50" s="8" t="s">
        <v>64</v>
      </c>
      <c r="B50" s="8"/>
      <c r="C50" s="8"/>
    </row>
    <row r="51" customFormat="false" ht="15.75" hidden="false" customHeight="true" outlineLevel="0" collapsed="false">
      <c r="A51" s="9" t="s">
        <v>48</v>
      </c>
      <c r="B51" s="9" t="s">
        <v>49</v>
      </c>
      <c r="C51" s="9" t="s">
        <v>50</v>
      </c>
    </row>
    <row r="52" customFormat="false" ht="15.75" hidden="false" customHeight="true" outlineLevel="0" collapsed="false">
      <c r="A52" s="10" t="s">
        <v>65</v>
      </c>
      <c r="B52" s="11" t="s">
        <v>66</v>
      </c>
      <c r="C52" s="12" t="n">
        <f aca="false">COUNTIF('Build Checklist'!C5:C16,"Pass")</f>
        <v>0</v>
      </c>
    </row>
    <row r="53" customFormat="false" ht="15.75" hidden="false" customHeight="true" outlineLevel="0" collapsed="false">
      <c r="A53" s="10" t="s">
        <v>67</v>
      </c>
      <c r="B53" s="11" t="s">
        <v>68</v>
      </c>
      <c r="C53" s="12" t="n">
        <f aca="false">COUNTIF('Build Checklist'!C5:C16,"Pending")</f>
        <v>0</v>
      </c>
    </row>
    <row r="54" customFormat="false" ht="15.75" hidden="false" customHeight="true" outlineLevel="0" collapsed="false">
      <c r="A54" s="10" t="s">
        <v>69</v>
      </c>
      <c r="B54" s="11" t="s">
        <v>70</v>
      </c>
      <c r="C54" s="12" t="n">
        <f aca="false">COUNTIF('Build Checklist'!C5:C16,"Fail")</f>
        <v>0</v>
      </c>
    </row>
    <row r="55" customFormat="false" ht="15.75" hidden="false" customHeight="true" outlineLevel="0" collapsed="false">
      <c r="A55" s="10" t="s">
        <v>71</v>
      </c>
      <c r="B55" s="11" t="s">
        <v>72</v>
      </c>
      <c r="C55" s="12" t="n">
        <f aca="false">COUNTIF('Build Checklist'!C5:C16,"N/A")</f>
        <v>0</v>
      </c>
    </row>
    <row r="57" customFormat="false" ht="15" hidden="false" customHeight="true" outlineLevel="0" collapsed="false">
      <c r="A57" s="8" t="s">
        <v>73</v>
      </c>
      <c r="B57" s="8"/>
      <c r="C57" s="8"/>
    </row>
    <row r="58" customFormat="false" ht="15.75" hidden="false" customHeight="true" outlineLevel="0" collapsed="false">
      <c r="A58" s="9" t="s">
        <v>48</v>
      </c>
      <c r="B58" s="9" t="s">
        <v>49</v>
      </c>
      <c r="C58" s="9" t="s">
        <v>50</v>
      </c>
    </row>
    <row r="59" customFormat="false" ht="15.75" hidden="false" customHeight="true" outlineLevel="0" collapsed="false">
      <c r="A59" s="10" t="s">
        <v>51</v>
      </c>
      <c r="B59" s="11" t="s">
        <v>74</v>
      </c>
      <c r="C59" s="12" t="n">
        <f aca="false">COUNTIF('Credentials &amp; Access'!G5:G10,"Not Started")</f>
        <v>6</v>
      </c>
    </row>
    <row r="60" customFormat="false" ht="15.75" hidden="false" customHeight="true" outlineLevel="0" collapsed="false">
      <c r="A60" s="10" t="s">
        <v>75</v>
      </c>
      <c r="B60" s="11" t="s">
        <v>76</v>
      </c>
      <c r="C60" s="12" t="n">
        <f aca="false">COUNTIF('Credentials &amp; Access'!G5:G10,"Set up")</f>
        <v>0</v>
      </c>
    </row>
    <row r="61" customFormat="false" ht="15.75" hidden="false" customHeight="true" outlineLevel="0" collapsed="false">
      <c r="A61" s="10" t="s">
        <v>77</v>
      </c>
      <c r="B61" s="11" t="s">
        <v>78</v>
      </c>
      <c r="C61" s="12" t="n">
        <f aca="false">COUNTIF('Credentials &amp; Access'!G5:G10,"Verified")</f>
        <v>0</v>
      </c>
    </row>
    <row r="62" customFormat="false" ht="15.75" hidden="false" customHeight="true" outlineLevel="0" collapsed="false">
      <c r="A62" s="10" t="s">
        <v>57</v>
      </c>
      <c r="B62" s="11" t="s">
        <v>79</v>
      </c>
      <c r="C62" s="12" t="n">
        <f aca="false">COUNTIF('Credentials &amp; Access'!G5:G10,"Blocked")</f>
        <v>0</v>
      </c>
    </row>
    <row r="65" customFormat="false" ht="27.75" hidden="false" customHeight="true" outlineLevel="0" collapsed="false">
      <c r="A65" s="13" t="s">
        <v>80</v>
      </c>
      <c r="B65" s="13"/>
      <c r="C65" s="13"/>
    </row>
  </sheetData>
  <mergeCells count="8">
    <mergeCell ref="A1:E1"/>
    <mergeCell ref="A2:E2"/>
    <mergeCell ref="A34:C34"/>
    <mergeCell ref="A36:C36"/>
    <mergeCell ref="A43:C43"/>
    <mergeCell ref="A50:C50"/>
    <mergeCell ref="A57:C57"/>
    <mergeCell ref="A65:C6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5" activeCellId="0" sqref="A5"/>
    </sheetView>
  </sheetViews>
  <sheetFormatPr defaultColWidth="8.6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55"/>
    <col collapsed="false" customWidth="true" hidden="false" outlineLevel="0" max="4" min="4" style="0" width="48"/>
  </cols>
  <sheetData>
    <row r="1" customFormat="false" ht="18.75" hidden="false" customHeight="true" outlineLevel="0" collapsed="false">
      <c r="A1" s="14" t="s">
        <v>81</v>
      </c>
      <c r="B1" s="14"/>
      <c r="C1" s="14"/>
      <c r="D1" s="14"/>
    </row>
    <row r="2" customFormat="false" ht="54.75" hidden="false" customHeight="true" outlineLevel="0" collapsed="false">
      <c r="A2" s="13" t="s">
        <v>82</v>
      </c>
      <c r="B2" s="13"/>
      <c r="C2" s="13"/>
      <c r="D2" s="13"/>
    </row>
    <row r="4" customFormat="false" ht="24" hidden="false" customHeight="true" outlineLevel="0" collapsed="false">
      <c r="A4" s="8" t="s">
        <v>83</v>
      </c>
      <c r="B4" s="8"/>
      <c r="C4" s="8"/>
      <c r="D4" s="8"/>
    </row>
    <row r="5" customFormat="false" ht="25.5" hidden="false" customHeight="true" outlineLevel="0" collapsed="false">
      <c r="A5" s="9" t="s">
        <v>84</v>
      </c>
      <c r="B5" s="9" t="s">
        <v>85</v>
      </c>
      <c r="C5" s="9" t="s">
        <v>86</v>
      </c>
      <c r="D5" s="15" t="s">
        <v>87</v>
      </c>
    </row>
    <row r="6" customFormat="false" ht="33.75" hidden="false" customHeight="true" outlineLevel="0" collapsed="false">
      <c r="A6" s="10" t="s">
        <v>88</v>
      </c>
      <c r="B6" s="10" t="s">
        <v>89</v>
      </c>
      <c r="C6" s="11" t="s">
        <v>90</v>
      </c>
      <c r="D6" s="16" t="s">
        <v>91</v>
      </c>
    </row>
    <row r="7" customFormat="false" ht="33.75" hidden="false" customHeight="true" outlineLevel="0" collapsed="false">
      <c r="A7" s="10" t="s">
        <v>92</v>
      </c>
      <c r="B7" s="10" t="s">
        <v>93</v>
      </c>
      <c r="C7" s="11" t="s">
        <v>94</v>
      </c>
      <c r="D7" s="16" t="s">
        <v>95</v>
      </c>
    </row>
    <row r="8" customFormat="false" ht="33.75" hidden="false" customHeight="true" outlineLevel="0" collapsed="false">
      <c r="A8" s="10" t="s">
        <v>96</v>
      </c>
      <c r="B8" s="10" t="s">
        <v>97</v>
      </c>
      <c r="C8" s="11" t="s">
        <v>98</v>
      </c>
      <c r="D8" s="16" t="s">
        <v>99</v>
      </c>
    </row>
    <row r="9" customFormat="false" ht="33.75" hidden="false" customHeight="true" outlineLevel="0" collapsed="false">
      <c r="A9" s="10" t="s">
        <v>100</v>
      </c>
      <c r="B9" s="10" t="s">
        <v>101</v>
      </c>
      <c r="C9" s="11" t="s">
        <v>102</v>
      </c>
      <c r="D9" s="16" t="s">
        <v>103</v>
      </c>
    </row>
    <row r="10" customFormat="false" ht="33.75" hidden="false" customHeight="true" outlineLevel="0" collapsed="false">
      <c r="A10" s="10" t="s">
        <v>104</v>
      </c>
      <c r="B10" s="10" t="s">
        <v>105</v>
      </c>
      <c r="C10" s="11" t="s">
        <v>106</v>
      </c>
      <c r="D10" s="16" t="s">
        <v>107</v>
      </c>
    </row>
    <row r="11" customFormat="false" ht="33.75" hidden="false" customHeight="true" outlineLevel="0" collapsed="false">
      <c r="A11" s="10" t="s">
        <v>108</v>
      </c>
      <c r="B11" s="10" t="s">
        <v>109</v>
      </c>
      <c r="C11" s="11" t="s">
        <v>110</v>
      </c>
      <c r="D11" s="16" t="s">
        <v>111</v>
      </c>
    </row>
    <row r="13" customFormat="false" ht="24" hidden="false" customHeight="true" outlineLevel="0" collapsed="false">
      <c r="A13" s="17" t="s">
        <v>112</v>
      </c>
      <c r="B13" s="17"/>
      <c r="C13" s="17"/>
      <c r="D13" s="17"/>
    </row>
    <row r="14" customFormat="false" ht="27.75" hidden="false" customHeight="true" outlineLevel="0" collapsed="false">
      <c r="A14" s="18" t="s">
        <v>84</v>
      </c>
      <c r="B14" s="18" t="s">
        <v>113</v>
      </c>
      <c r="C14" s="18" t="s">
        <v>114</v>
      </c>
      <c r="D14" s="18" t="s">
        <v>115</v>
      </c>
    </row>
    <row r="15" customFormat="false" ht="33.75" hidden="false" customHeight="true" outlineLevel="0" collapsed="false">
      <c r="A15" s="19" t="s">
        <v>116</v>
      </c>
      <c r="B15" s="19" t="s">
        <v>117</v>
      </c>
      <c r="C15" s="19" t="str">
        <f aca="false">IF(D11="No","BLOCK — not approved in Phase 3; escalate.",IF(D11="Unknown","HOLD — confirm Phase 3 approval before building.",IF(D7="Blocked","BLOCK — dependency is blocked; escalate.",IF(D7="Some pending","HOLD — build prerequisites first.",IF(D11="Partial","HOLD — confirm partial blueprint covers this item.","GO — proceed with build.")))))</f>
        <v>GO — proceed with build.</v>
      </c>
      <c r="D15" s="11" t="s">
        <v>118</v>
      </c>
    </row>
    <row r="16" customFormat="false" ht="33.75" hidden="false" customHeight="true" outlineLevel="0" collapsed="false">
      <c r="A16" s="19" t="s">
        <v>119</v>
      </c>
      <c r="B16" s="19" t="s">
        <v>120</v>
      </c>
      <c r="C16" s="19" t="str">
        <f aca="false">IF(OR(D6="Credential",D6="Audit-error"),"P1 (foundational — do early)",IF(AND(D8="High",D9&lt;&gt;"None"),"P1 (high-risk AI — do early, test hard)",IF(AND(D6="Test",D8="Low"),"P3 (later — low-risk tests)","P2 (standard sprint priority)")))</f>
        <v>P2 (standard sprint priority)</v>
      </c>
      <c r="D16" s="11" t="s">
        <v>121</v>
      </c>
    </row>
    <row r="17" customFormat="false" ht="33.75" hidden="false" customHeight="true" outlineLevel="0" collapsed="false">
      <c r="A17" s="19" t="s">
        <v>122</v>
      </c>
      <c r="B17" s="19" t="s">
        <v>123</v>
      </c>
      <c r="C17" s="19" t="str">
        <f aca="false">IF(D10="Secret handling","Use Make connection/keychain; never hardcode keys; rotate plan documented.",IF(D10="OAuth setup","Confirm client owns account; minimum-required scopes only; revocation path noted.",IF(D10="Sensitive data","Human approval required at every outbound action; no AI advice; minimal retention.",IF(D6="Prompt","Lock schema, allowed categories, confidence threshold, fallback rule before build.",IF(D6="Module","Confirm trigger source ID; no auto-delete; error route attached.","Standard: log inputs/outputs; fallback to Human Review on uncertainty.")))))</f>
        <v>Confirm trigger source ID; no auto-delete; error route attached.</v>
      </c>
      <c r="D17" s="11" t="s">
        <v>124</v>
      </c>
    </row>
    <row r="18" customFormat="false" ht="33.75" hidden="false" customHeight="true" outlineLevel="0" collapsed="false">
      <c r="A18" s="19" t="s">
        <v>125</v>
      </c>
      <c r="B18" s="19" t="s">
        <v>126</v>
      </c>
      <c r="C18" s="19" t="str">
        <f aca="false">IF(OR(D8="High",D9="Take action",D10="Sensitive data"),"MUST TEST (high-impact failure modes)",IF(AND(D8="Low",D9="None"),"Smoke only (basic happy path)","Standard test set (happy + 1-2 edge cases)"))</f>
        <v>Standard test set (happy + 1-2 edge cases)</v>
      </c>
      <c r="D18" s="11" t="s">
        <v>127</v>
      </c>
    </row>
    <row r="19" customFormat="false" ht="33.75" hidden="false" customHeight="true" outlineLevel="0" collapsed="false">
      <c r="A19" s="19" t="s">
        <v>128</v>
      </c>
      <c r="B19" s="19" t="s">
        <v>129</v>
      </c>
      <c r="C19" s="19" t="str">
        <f aca="false">IF(AND(D9="Take action",D10="Sensitive data"),"Irreversible action on sensitive data: require allow-list + approval + kill-switch + audit.",IF(AND(D9="Generate content",D10="Sensitive data"),"AI content on sensitive topic: never auto-send; escalate; no AI advice.",IF(D9="Take action","Agentic step: explicit allow-list of actions + audit log + manual approval for non-routine cases.",IF(D10="Sensitive data","Sensitive data: minimum-data retention; access restricted to owner.",IF(D6="Credential","Never paste secrets in workbook or exports; sanitize before sharing.","Standard: write audit row each run; no destructive actions on error.")))))</f>
        <v>Standard: write audit row each run; no destructive actions on error.</v>
      </c>
      <c r="D19" s="11" t="s">
        <v>130</v>
      </c>
    </row>
    <row r="22" customFormat="false" ht="15" hidden="false" customHeight="true" outlineLevel="0" collapsed="false">
      <c r="A22" s="20" t="s">
        <v>131</v>
      </c>
      <c r="B22" s="20"/>
      <c r="C22" s="20"/>
      <c r="D22" s="20"/>
    </row>
    <row r="23" customFormat="false" ht="15" hidden="false" customHeight="true" outlineLevel="0" collapsed="false">
      <c r="A23" s="13" t="s">
        <v>132</v>
      </c>
      <c r="B23" s="13"/>
      <c r="C23" s="13"/>
      <c r="D23" s="13"/>
    </row>
    <row r="24" customFormat="false" ht="15" hidden="false" customHeight="true" outlineLevel="0" collapsed="false">
      <c r="A24" s="13" t="s">
        <v>133</v>
      </c>
      <c r="B24" s="13"/>
      <c r="C24" s="13"/>
      <c r="D24" s="13"/>
    </row>
    <row r="25" customFormat="false" ht="15" hidden="false" customHeight="true" outlineLevel="0" collapsed="false">
      <c r="A25" s="13" t="s">
        <v>134</v>
      </c>
      <c r="B25" s="13"/>
      <c r="C25" s="13"/>
      <c r="D25" s="13"/>
    </row>
    <row r="26" customFormat="false" ht="15" hidden="false" customHeight="true" outlineLevel="0" collapsed="false">
      <c r="A26" s="13" t="s">
        <v>135</v>
      </c>
      <c r="B26" s="13"/>
      <c r="C26" s="13"/>
      <c r="D26" s="13"/>
    </row>
    <row r="27" customFormat="false" ht="15" hidden="false" customHeight="false" outlineLevel="0" collapsed="false">
      <c r="A27" s="13"/>
      <c r="B27" s="13"/>
      <c r="C27" s="13"/>
      <c r="D27" s="13"/>
    </row>
    <row r="28" customFormat="false" ht="15" hidden="false" customHeight="true" outlineLevel="0" collapsed="false">
      <c r="A28" s="13" t="s">
        <v>136</v>
      </c>
      <c r="B28" s="13"/>
      <c r="C28" s="13"/>
      <c r="D28" s="13"/>
    </row>
  </sheetData>
  <mergeCells count="11">
    <mergeCell ref="A1:D1"/>
    <mergeCell ref="A2:D2"/>
    <mergeCell ref="A4:D4"/>
    <mergeCell ref="A13:D13"/>
    <mergeCell ref="A22:D22"/>
    <mergeCell ref="A23:D23"/>
    <mergeCell ref="A24:D24"/>
    <mergeCell ref="A25:D25"/>
    <mergeCell ref="A26:D26"/>
    <mergeCell ref="A27:D27"/>
    <mergeCell ref="A28:D28"/>
  </mergeCells>
  <dataValidations count="6">
    <dataValidation allowBlank="true" errorStyle="stop" operator="between" showDropDown="false" showErrorMessage="false" showInputMessage="false" sqref="D6" type="list">
      <formula1>"Module,Credential,Prompt,Audit-error,Test,Other"</formula1>
      <formula2>0</formula2>
    </dataValidation>
    <dataValidation allowBlank="true" errorStyle="stop" operator="between" showDropDown="false" showErrorMessage="false" showInputMessage="false" sqref="D7" type="list">
      <formula1>"All met,Some pending,Blocked"</formula1>
      <formula2>0</formula2>
    </dataValidation>
    <dataValidation allowBlank="true" errorStyle="stop" operator="between" showDropDown="false" showErrorMessage="false" showInputMessage="false" sqref="D8" type="list">
      <formula1>"Low,Medium,High"</formula1>
      <formula2>0</formula2>
    </dataValidation>
    <dataValidation allowBlank="true" errorStyle="stop" operator="between" showDropDown="false" showErrorMessage="false" showInputMessage="false" sqref="D9" type="list">
      <formula1>"None,Classify only,Generate content,Take action"</formula1>
      <formula2>0</formula2>
    </dataValidation>
    <dataValidation allowBlank="true" errorStyle="stop" operator="between" showDropDown="false" showErrorMessage="false" showInputMessage="false" sqref="D10" type="list">
      <formula1>"Routine,OAuth setup,Secret handling,Sensitive data"</formula1>
      <formula2>0</formula2>
    </dataValidation>
    <dataValidation allowBlank="true" errorStyle="stop" operator="between" showDropDown="false" showErrorMessage="false" showInputMessage="false" sqref="D11" type="list">
      <formula1>"Yes,Partial,No,Unknown"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38"/>
    <col collapsed="false" customWidth="true" hidden="false" outlineLevel="0" max="5" min="4" style="0" width="18"/>
    <col collapsed="false" customWidth="true" hidden="false" outlineLevel="0" max="6" min="6" style="0" width="36"/>
  </cols>
  <sheetData>
    <row r="1" customFormat="false" ht="36.75" hidden="false" customHeight="true" outlineLevel="0" collapsed="false">
      <c r="A1" s="1" t="s">
        <v>137</v>
      </c>
      <c r="B1" s="1"/>
      <c r="C1" s="1"/>
      <c r="D1" s="1"/>
      <c r="E1" s="1"/>
      <c r="F1" s="1"/>
      <c r="G1" s="1"/>
    </row>
    <row r="2" customFormat="false" ht="50.25" hidden="false" customHeight="true" outlineLevel="0" collapsed="false">
      <c r="A2" s="3" t="s">
        <v>138</v>
      </c>
      <c r="B2" s="3"/>
      <c r="C2" s="3"/>
      <c r="D2" s="3"/>
      <c r="E2" s="3"/>
      <c r="F2" s="3"/>
      <c r="G2" s="3"/>
    </row>
    <row r="4" customFormat="false" ht="45" hidden="false" customHeight="true" outlineLevel="0" collapsed="false">
      <c r="A4" s="4" t="s">
        <v>139</v>
      </c>
      <c r="B4" s="4" t="s">
        <v>140</v>
      </c>
      <c r="C4" s="4" t="s">
        <v>141</v>
      </c>
      <c r="D4" s="4" t="s">
        <v>142</v>
      </c>
      <c r="E4" s="4" t="s">
        <v>48</v>
      </c>
      <c r="F4" s="4" t="s">
        <v>143</v>
      </c>
    </row>
    <row r="5" customFormat="false" ht="15.75" hidden="false" customHeight="true" outlineLevel="0" collapsed="false">
      <c r="A5" s="0" t="s">
        <v>144</v>
      </c>
      <c r="C5" s="0" t="s">
        <v>145</v>
      </c>
      <c r="E5" s="0" t="s">
        <v>51</v>
      </c>
    </row>
    <row r="6" customFormat="false" ht="15.75" hidden="false" customHeight="true" outlineLevel="0" collapsed="false">
      <c r="A6" s="21" t="s">
        <v>146</v>
      </c>
      <c r="C6" s="0" t="s">
        <v>147</v>
      </c>
      <c r="E6" s="0" t="s">
        <v>51</v>
      </c>
    </row>
    <row r="7" customFormat="false" ht="15.75" hidden="false" customHeight="true" outlineLevel="0" collapsed="false">
      <c r="A7" s="21" t="s">
        <v>148</v>
      </c>
      <c r="C7" s="21" t="s">
        <v>149</v>
      </c>
      <c r="E7" s="0" t="s">
        <v>51</v>
      </c>
    </row>
    <row r="8" customFormat="false" ht="15.75" hidden="false" customHeight="true" outlineLevel="0" collapsed="false">
      <c r="A8" s="0" t="s">
        <v>150</v>
      </c>
      <c r="C8" s="0" t="s">
        <v>151</v>
      </c>
      <c r="E8" s="0" t="s">
        <v>51</v>
      </c>
    </row>
    <row r="9" customFormat="false" ht="15.75" hidden="false" customHeight="true" outlineLevel="0" collapsed="false">
      <c r="A9" s="0" t="s">
        <v>152</v>
      </c>
      <c r="C9" s="0" t="s">
        <v>153</v>
      </c>
      <c r="E9" s="0" t="s">
        <v>51</v>
      </c>
    </row>
    <row r="10" customFormat="false" ht="15.75" hidden="false" customHeight="true" outlineLevel="0" collapsed="false">
      <c r="A10" s="0" t="s">
        <v>154</v>
      </c>
      <c r="C10" s="0" t="s">
        <v>155</v>
      </c>
      <c r="E10" s="0" t="s">
        <v>51</v>
      </c>
    </row>
    <row r="11" customFormat="false" ht="15.75" hidden="false" customHeight="true" outlineLevel="0" collapsed="false">
      <c r="A11" s="0" t="s">
        <v>156</v>
      </c>
      <c r="C11" s="0" t="s">
        <v>157</v>
      </c>
      <c r="E11" s="0" t="s">
        <v>51</v>
      </c>
    </row>
    <row r="12" customFormat="false" ht="15" hidden="false" customHeight="false" outlineLevel="0" collapsed="false">
      <c r="A12" s="0" t="s">
        <v>158</v>
      </c>
      <c r="C12" s="0" t="s">
        <v>159</v>
      </c>
      <c r="E12" s="0" t="s">
        <v>51</v>
      </c>
    </row>
    <row r="13" customFormat="false" ht="15" hidden="false" customHeight="false" outlineLevel="0" collapsed="false">
      <c r="A13" s="0" t="s">
        <v>160</v>
      </c>
      <c r="C13" s="0" t="s">
        <v>161</v>
      </c>
      <c r="E13" s="0" t="s">
        <v>51</v>
      </c>
    </row>
  </sheetData>
  <mergeCells count="2">
    <mergeCell ref="A1:G1"/>
    <mergeCell ref="A2:G2"/>
  </mergeCells>
  <dataValidations count="1">
    <dataValidation allowBlank="true" errorStyle="stop" operator="between" showDropDown="false" showErrorMessage="false" showInputMessage="false" sqref="F5:F13" type="list">
      <formula1>"Not Started,In Progress,Done,Blocked,On Hold"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44"/>
    <col collapsed="false" customWidth="true" hidden="false" outlineLevel="0" max="4" min="4" style="0" width="24"/>
    <col collapsed="false" customWidth="true" hidden="false" outlineLevel="0" max="5" min="5" style="0" width="14"/>
    <col collapsed="false" customWidth="true" hidden="false" outlineLevel="0" max="6" min="6" style="0" width="18"/>
    <col collapsed="false" customWidth="true" hidden="false" outlineLevel="0" max="7" min="7" style="0" width="16"/>
    <col collapsed="false" customWidth="true" hidden="false" outlineLevel="0" max="8" min="8" style="0" width="20"/>
    <col collapsed="false" customWidth="true" hidden="false" outlineLevel="0" max="9" min="9" style="0" width="14"/>
    <col collapsed="false" customWidth="true" hidden="false" outlineLevel="0" max="10" min="10" style="0" width="38"/>
    <col collapsed="false" customWidth="true" hidden="false" outlineLevel="0" max="11" min="11" style="0" width="28"/>
    <col collapsed="false" customWidth="true" hidden="false" outlineLevel="0" max="12" min="12" style="0" width="22"/>
  </cols>
  <sheetData>
    <row r="1" s="2" customFormat="true" ht="36.75" hidden="false" customHeight="true" outlineLevel="0" collapsed="false">
      <c r="A1" s="1" t="s">
        <v>162</v>
      </c>
      <c r="B1" s="1"/>
      <c r="C1" s="1"/>
      <c r="D1" s="1"/>
      <c r="E1" s="1"/>
      <c r="F1" s="1"/>
      <c r="G1" s="1"/>
      <c r="H1" s="1"/>
      <c r="I1" s="1"/>
      <c r="J1" s="1"/>
    </row>
    <row r="2" customFormat="false" ht="50.25" hidden="false" customHeight="true" outlineLevel="0" collapsed="false">
      <c r="A2" s="3" t="s">
        <v>163</v>
      </c>
      <c r="B2" s="3"/>
      <c r="C2" s="3"/>
      <c r="D2" s="3"/>
      <c r="E2" s="3"/>
      <c r="F2" s="3"/>
      <c r="G2" s="3"/>
      <c r="H2" s="3"/>
      <c r="I2" s="3"/>
      <c r="J2" s="3"/>
    </row>
    <row r="4" customFormat="false" ht="45" hidden="false" customHeight="true" outlineLevel="0" collapsed="false">
      <c r="A4" s="4" t="s">
        <v>164</v>
      </c>
      <c r="B4" s="4" t="s">
        <v>165</v>
      </c>
      <c r="C4" s="4" t="s">
        <v>166</v>
      </c>
      <c r="D4" s="4" t="s">
        <v>167</v>
      </c>
      <c r="E4" s="4" t="s">
        <v>168</v>
      </c>
      <c r="F4" s="4" t="s">
        <v>48</v>
      </c>
      <c r="G4" s="4" t="s">
        <v>142</v>
      </c>
      <c r="H4" s="4" t="s">
        <v>169</v>
      </c>
      <c r="I4" s="4" t="s">
        <v>170</v>
      </c>
      <c r="J4" s="4" t="s">
        <v>171</v>
      </c>
      <c r="K4" s="4" t="s">
        <v>172</v>
      </c>
      <c r="L4" s="9" t="s">
        <v>173</v>
      </c>
    </row>
    <row r="5" customFormat="false" ht="15.75" hidden="false" customHeight="true" outlineLevel="0" collapsed="false">
      <c r="A5" s="0" t="s">
        <v>174</v>
      </c>
      <c r="B5" s="0" t="s">
        <v>175</v>
      </c>
      <c r="C5" s="0" t="s">
        <v>176</v>
      </c>
      <c r="D5" s="0" t="s">
        <v>177</v>
      </c>
      <c r="E5" s="22" t="s">
        <v>178</v>
      </c>
      <c r="F5" s="22" t="s">
        <v>51</v>
      </c>
      <c r="H5" s="0" t="s">
        <v>179</v>
      </c>
      <c r="I5" s="22" t="s">
        <v>180</v>
      </c>
      <c r="J5" s="0" t="s">
        <v>181</v>
      </c>
      <c r="L5" s="23" t="str">
        <f aca="false">IF(COUNTA(B5,D5,E5,F5,I5,J5)=0,"Empty",IF(COUNTA(B5,D5,E5,F5,I5,J5)&lt;6,"Partial","Complete"))</f>
        <v>Complete</v>
      </c>
    </row>
    <row r="6" customFormat="false" ht="15.75" hidden="false" customHeight="true" outlineLevel="0" collapsed="false">
      <c r="A6" s="0" t="s">
        <v>182</v>
      </c>
      <c r="B6" s="0" t="s">
        <v>183</v>
      </c>
      <c r="C6" s="0" t="s">
        <v>184</v>
      </c>
      <c r="D6" s="0" t="s">
        <v>185</v>
      </c>
      <c r="E6" s="22" t="s">
        <v>178</v>
      </c>
      <c r="F6" s="22" t="s">
        <v>51</v>
      </c>
      <c r="H6" s="0" t="s">
        <v>174</v>
      </c>
      <c r="I6" s="22" t="s">
        <v>99</v>
      </c>
      <c r="J6" s="0" t="s">
        <v>186</v>
      </c>
      <c r="L6" s="23" t="str">
        <f aca="false">IF(COUNTA(B6,D6,E6,F6,I6,J6)=0,"Empty",IF(COUNTA(B6,D6,E6,F6,I6,J6)&lt;6,"Partial","Complete"))</f>
        <v>Complete</v>
      </c>
    </row>
    <row r="7" customFormat="false" ht="15.75" hidden="false" customHeight="true" outlineLevel="0" collapsed="false">
      <c r="A7" s="0" t="s">
        <v>187</v>
      </c>
      <c r="B7" s="0" t="s">
        <v>188</v>
      </c>
      <c r="C7" s="0" t="s">
        <v>189</v>
      </c>
      <c r="D7" s="0" t="s">
        <v>190</v>
      </c>
      <c r="E7" s="22" t="s">
        <v>178</v>
      </c>
      <c r="F7" s="22" t="s">
        <v>51</v>
      </c>
      <c r="H7" s="0" t="s">
        <v>182</v>
      </c>
      <c r="I7" s="22" t="s">
        <v>99</v>
      </c>
      <c r="J7" s="0" t="s">
        <v>191</v>
      </c>
      <c r="L7" s="23" t="str">
        <f aca="false">IF(COUNTA(B7,D7,E7,F7,I7,J7)=0,"Empty",IF(COUNTA(B7,D7,E7,F7,I7,J7)&lt;6,"Partial","Complete"))</f>
        <v>Complete</v>
      </c>
    </row>
    <row r="8" customFormat="false" ht="15.75" hidden="false" customHeight="true" outlineLevel="0" collapsed="false">
      <c r="A8" s="0" t="s">
        <v>192</v>
      </c>
      <c r="B8" s="0" t="s">
        <v>193</v>
      </c>
      <c r="C8" s="0" t="s">
        <v>194</v>
      </c>
      <c r="D8" s="0" t="s">
        <v>195</v>
      </c>
      <c r="E8" s="22" t="s">
        <v>178</v>
      </c>
      <c r="F8" s="22" t="s">
        <v>51</v>
      </c>
      <c r="H8" s="0" t="s">
        <v>187</v>
      </c>
      <c r="I8" s="22" t="s">
        <v>99</v>
      </c>
      <c r="J8" s="0" t="s">
        <v>196</v>
      </c>
      <c r="L8" s="23" t="str">
        <f aca="false">IF(COUNTA(B8,D8,E8,F8,I8,J8)=0,"Empty",IF(COUNTA(B8,D8,E8,F8,I8,J8)&lt;6,"Partial","Complete"))</f>
        <v>Complete</v>
      </c>
    </row>
    <row r="9" customFormat="false" ht="15.75" hidden="false" customHeight="true" outlineLevel="0" collapsed="false">
      <c r="A9" s="0" t="s">
        <v>197</v>
      </c>
      <c r="B9" s="0" t="s">
        <v>198</v>
      </c>
      <c r="C9" s="0" t="s">
        <v>199</v>
      </c>
      <c r="D9" s="0" t="s">
        <v>200</v>
      </c>
      <c r="E9" s="22" t="s">
        <v>178</v>
      </c>
      <c r="F9" s="22" t="s">
        <v>51</v>
      </c>
      <c r="H9" s="0" t="s">
        <v>192</v>
      </c>
      <c r="I9" s="22" t="s">
        <v>178</v>
      </c>
      <c r="J9" s="0" t="s">
        <v>201</v>
      </c>
      <c r="L9" s="23" t="str">
        <f aca="false">IF(COUNTA(B9,D9,E9,F9,I9,J9)=0,"Empty",IF(COUNTA(B9,D9,E9,F9,I9,J9)&lt;6,"Partial","Complete"))</f>
        <v>Complete</v>
      </c>
    </row>
    <row r="10" customFormat="false" ht="15.75" hidden="false" customHeight="true" outlineLevel="0" collapsed="false">
      <c r="A10" s="0" t="s">
        <v>202</v>
      </c>
      <c r="B10" s="0" t="s">
        <v>203</v>
      </c>
      <c r="C10" s="0" t="s">
        <v>204</v>
      </c>
      <c r="D10" s="0" t="s">
        <v>195</v>
      </c>
      <c r="E10" s="22" t="s">
        <v>178</v>
      </c>
      <c r="F10" s="22" t="s">
        <v>51</v>
      </c>
      <c r="H10" s="0" t="s">
        <v>192</v>
      </c>
      <c r="I10" s="22" t="s">
        <v>99</v>
      </c>
      <c r="J10" s="0" t="s">
        <v>205</v>
      </c>
      <c r="L10" s="23" t="str">
        <f aca="false">IF(COUNTA(B10,D10,E10,F10,I10,J10)=0,"Empty",IF(COUNTA(B10,D10,E10,F10,I10,J10)&lt;6,"Partial","Complete"))</f>
        <v>Complete</v>
      </c>
    </row>
    <row r="11" customFormat="false" ht="15.75" hidden="false" customHeight="true" outlineLevel="0" collapsed="false">
      <c r="A11" s="0" t="s">
        <v>206</v>
      </c>
      <c r="B11" s="0" t="s">
        <v>207</v>
      </c>
      <c r="C11" s="0" t="s">
        <v>208</v>
      </c>
      <c r="D11" s="0" t="s">
        <v>190</v>
      </c>
      <c r="E11" s="22" t="s">
        <v>178</v>
      </c>
      <c r="F11" s="22" t="s">
        <v>51</v>
      </c>
      <c r="H11" s="0" t="s">
        <v>202</v>
      </c>
      <c r="I11" s="22" t="s">
        <v>99</v>
      </c>
      <c r="J11" s="0" t="s">
        <v>209</v>
      </c>
      <c r="L11" s="23" t="str">
        <f aca="false">IF(COUNTA(B11,D11,E11,F11,I11,J11)=0,"Empty",IF(COUNTA(B11,D11,E11,F11,I11,J11)&lt;6,"Partial","Complete"))</f>
        <v>Complete</v>
      </c>
    </row>
    <row r="12" customFormat="false" ht="15.75" hidden="false" customHeight="true" outlineLevel="0" collapsed="false">
      <c r="A12" s="0" t="s">
        <v>210</v>
      </c>
      <c r="B12" s="0" t="s">
        <v>211</v>
      </c>
      <c r="C12" s="0" t="s">
        <v>212</v>
      </c>
      <c r="D12" s="0" t="s">
        <v>213</v>
      </c>
      <c r="E12" s="22" t="s">
        <v>99</v>
      </c>
      <c r="F12" s="22" t="s">
        <v>51</v>
      </c>
      <c r="H12" s="0" t="s">
        <v>202</v>
      </c>
      <c r="I12" s="22" t="s">
        <v>99</v>
      </c>
      <c r="J12" s="0" t="s">
        <v>214</v>
      </c>
      <c r="L12" s="23" t="str">
        <f aca="false">IF(COUNTA(B12,D12,E12,F12,I12,J12)=0,"Empty",IF(COUNTA(B12,D12,E12,F12,I12,J12)&lt;6,"Partial","Complete"))</f>
        <v>Complete</v>
      </c>
    </row>
    <row r="13" customFormat="false" ht="15.75" hidden="false" customHeight="true" outlineLevel="0" collapsed="false">
      <c r="A13" s="0" t="s">
        <v>215</v>
      </c>
      <c r="B13" s="0" t="s">
        <v>216</v>
      </c>
      <c r="C13" s="0" t="s">
        <v>217</v>
      </c>
      <c r="D13" s="0" t="s">
        <v>154</v>
      </c>
      <c r="E13" s="22" t="s">
        <v>99</v>
      </c>
      <c r="F13" s="22" t="s">
        <v>51</v>
      </c>
      <c r="H13" s="0" t="s">
        <v>202</v>
      </c>
      <c r="I13" s="22" t="s">
        <v>178</v>
      </c>
      <c r="J13" s="0" t="s">
        <v>218</v>
      </c>
      <c r="L13" s="23" t="str">
        <f aca="false">IF(COUNTA(B13,D13,E13,F13,I13,J13)=0,"Empty",IF(COUNTA(B13,D13,E13,F13,I13,J13)&lt;6,"Partial","Complete"))</f>
        <v>Complete</v>
      </c>
    </row>
    <row r="14" customFormat="false" ht="15.75" hidden="false" customHeight="true" outlineLevel="0" collapsed="false">
      <c r="A14" s="0" t="s">
        <v>219</v>
      </c>
      <c r="B14" s="0" t="s">
        <v>220</v>
      </c>
      <c r="C14" s="0" t="s">
        <v>221</v>
      </c>
      <c r="D14" s="0" t="s">
        <v>222</v>
      </c>
      <c r="E14" s="22" t="s">
        <v>178</v>
      </c>
      <c r="F14" s="22" t="s">
        <v>51</v>
      </c>
      <c r="H14" s="0" t="s">
        <v>202</v>
      </c>
      <c r="I14" s="22" t="s">
        <v>99</v>
      </c>
      <c r="J14" s="0" t="s">
        <v>223</v>
      </c>
      <c r="L14" s="23" t="str">
        <f aca="false">IF(COUNTA(B14,D14,E14,F14,I14,J14)=0,"Empty",IF(COUNTA(B14,D14,E14,F14,I14,J14)&lt;6,"Partial","Complete"))</f>
        <v>Complete</v>
      </c>
    </row>
    <row r="15" customFormat="false" ht="15.75" hidden="false" customHeight="true" outlineLevel="0" collapsed="false">
      <c r="A15" s="0" t="s">
        <v>224</v>
      </c>
      <c r="B15" s="0" t="s">
        <v>225</v>
      </c>
      <c r="C15" s="0" t="s">
        <v>226</v>
      </c>
      <c r="D15" s="0" t="s">
        <v>200</v>
      </c>
      <c r="E15" s="22" t="s">
        <v>178</v>
      </c>
      <c r="F15" s="22" t="s">
        <v>51</v>
      </c>
      <c r="H15" s="0" t="s">
        <v>202</v>
      </c>
      <c r="I15" s="22" t="s">
        <v>178</v>
      </c>
      <c r="J15" s="0" t="s">
        <v>227</v>
      </c>
      <c r="L15" s="23" t="str">
        <f aca="false">IF(COUNTA(B15,D15,E15,F15,I15,J15)=0,"Empty",IF(COUNTA(B15,D15,E15,F15,I15,J15)&lt;6,"Partial","Complete"))</f>
        <v>Complete</v>
      </c>
    </row>
    <row r="16" customFormat="false" ht="15.75" hidden="false" customHeight="true" outlineLevel="0" collapsed="false">
      <c r="A16" s="0" t="s">
        <v>228</v>
      </c>
      <c r="B16" s="0" t="s">
        <v>229</v>
      </c>
      <c r="C16" s="0" t="s">
        <v>230</v>
      </c>
      <c r="D16" s="0" t="s">
        <v>231</v>
      </c>
      <c r="E16" s="22" t="s">
        <v>99</v>
      </c>
      <c r="F16" s="22" t="s">
        <v>51</v>
      </c>
      <c r="H16" s="0" t="s">
        <v>192</v>
      </c>
      <c r="I16" s="22" t="s">
        <v>180</v>
      </c>
      <c r="J16" s="0" t="s">
        <v>232</v>
      </c>
      <c r="L16" s="23" t="str">
        <f aca="false">IF(COUNTA(B16,D16,E16,F16,I16,J16)=0,"Empty",IF(COUNTA(B16,D16,E16,F16,I16,J16)&lt;6,"Partial","Complete"))</f>
        <v>Complete</v>
      </c>
    </row>
  </sheetData>
  <mergeCells count="2">
    <mergeCell ref="A1:J1"/>
    <mergeCell ref="A2:J2"/>
  </mergeCells>
  <dataValidations count="3">
    <dataValidation allowBlank="true" errorStyle="stop" operator="between" showDropDown="false" showErrorMessage="false" showInputMessage="false" sqref="E5:E16" type="list">
      <formula1>"High,Medium,Low"</formula1>
      <formula2>0</formula2>
    </dataValidation>
    <dataValidation allowBlank="true" errorStyle="stop" operator="between" showDropDown="false" showErrorMessage="false" showInputMessage="false" sqref="F5:F16" type="list">
      <formula1>"Not Started,In Progress,Done,Blocked"</formula1>
      <formula2>0</formula2>
    </dataValidation>
    <dataValidation allowBlank="true" errorStyle="stop" operator="between" showDropDown="false" showErrorMessage="false" showInputMessage="false" sqref="I5:I16" type="list">
      <formula1>"Low,Medium,High"</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32"/>
    <col collapsed="false" customWidth="true" hidden="false" outlineLevel="0" max="5" min="4" style="0" width="26"/>
    <col collapsed="false" customWidth="true" hidden="false" outlineLevel="0" max="6" min="6" style="0" width="36"/>
    <col collapsed="false" customWidth="true" hidden="false" outlineLevel="0" max="7" min="7" style="0" width="34"/>
    <col collapsed="false" customWidth="true" hidden="false" outlineLevel="0" max="8" min="8" style="0" width="16"/>
    <col collapsed="false" customWidth="true" hidden="false" outlineLevel="0" max="9" min="9" style="0" width="14"/>
    <col collapsed="false" customWidth="true" hidden="false" outlineLevel="0" max="10" min="10" style="0" width="28"/>
    <col collapsed="false" customWidth="true" hidden="false" outlineLevel="0" max="11" min="11" style="0" width="22"/>
  </cols>
  <sheetData>
    <row r="1" customFormat="false" ht="36.75" hidden="false" customHeight="true" outlineLevel="0" collapsed="false">
      <c r="A1" s="1" t="s">
        <v>233</v>
      </c>
      <c r="B1" s="1"/>
      <c r="C1" s="1"/>
      <c r="D1" s="1"/>
      <c r="E1" s="1"/>
      <c r="F1" s="1"/>
      <c r="G1" s="1"/>
      <c r="H1" s="1"/>
      <c r="I1" s="1"/>
      <c r="J1" s="1"/>
    </row>
    <row r="2" customFormat="false" ht="50.25" hidden="false" customHeight="true" outlineLevel="0" collapsed="false">
      <c r="A2" s="3" t="s">
        <v>234</v>
      </c>
      <c r="B2" s="3"/>
      <c r="C2" s="3"/>
      <c r="D2" s="3"/>
      <c r="E2" s="3"/>
      <c r="F2" s="3"/>
      <c r="G2" s="3"/>
      <c r="H2" s="3"/>
      <c r="I2" s="3"/>
      <c r="J2" s="3"/>
    </row>
    <row r="4" customFormat="false" ht="45" hidden="false" customHeight="true" outlineLevel="0" collapsed="false">
      <c r="A4" s="4" t="s">
        <v>2</v>
      </c>
      <c r="B4" s="4" t="s">
        <v>235</v>
      </c>
      <c r="C4" s="4" t="s">
        <v>236</v>
      </c>
      <c r="D4" s="4" t="s">
        <v>237</v>
      </c>
      <c r="E4" s="4" t="s">
        <v>238</v>
      </c>
      <c r="F4" s="4" t="s">
        <v>239</v>
      </c>
      <c r="G4" s="4" t="s">
        <v>240</v>
      </c>
      <c r="H4" s="4" t="s">
        <v>48</v>
      </c>
      <c r="I4" s="4" t="s">
        <v>241</v>
      </c>
      <c r="J4" s="4" t="s">
        <v>172</v>
      </c>
      <c r="K4" s="9" t="s">
        <v>173</v>
      </c>
    </row>
    <row r="5" customFormat="false" ht="15.75" hidden="false" customHeight="true" outlineLevel="0" collapsed="false">
      <c r="A5" s="5" t="s">
        <v>6</v>
      </c>
      <c r="B5" s="5" t="s">
        <v>242</v>
      </c>
      <c r="C5" s="21" t="s">
        <v>243</v>
      </c>
      <c r="D5" s="21" t="s">
        <v>244</v>
      </c>
      <c r="E5" s="5" t="s">
        <v>245</v>
      </c>
      <c r="F5" s="5" t="s">
        <v>246</v>
      </c>
      <c r="G5" s="5" t="s">
        <v>247</v>
      </c>
      <c r="H5" s="5" t="s">
        <v>51</v>
      </c>
      <c r="I5" s="5" t="s">
        <v>248</v>
      </c>
      <c r="J5" s="5"/>
      <c r="K5" s="23" t="str">
        <f aca="false">IF(COUNTA(B5,C5,D5,E5,F5,G5,H5,I5)=0,"Empty",IF(COUNTA(B5,C5,D5,E5,F5,G5,H5,I5)&lt;8,"Partial","Complete"))</f>
        <v>Complete</v>
      </c>
    </row>
    <row r="6" customFormat="false" ht="15.75" hidden="false" customHeight="true" outlineLevel="0" collapsed="false">
      <c r="A6" s="5" t="s">
        <v>10</v>
      </c>
      <c r="B6" s="5" t="s">
        <v>249</v>
      </c>
      <c r="C6" s="5" t="s">
        <v>250</v>
      </c>
      <c r="D6" s="5" t="s">
        <v>245</v>
      </c>
      <c r="E6" s="5" t="s">
        <v>251</v>
      </c>
      <c r="F6" s="21" t="s">
        <v>252</v>
      </c>
      <c r="G6" s="5" t="s">
        <v>253</v>
      </c>
      <c r="H6" s="5" t="s">
        <v>51</v>
      </c>
      <c r="I6" s="5" t="s">
        <v>254</v>
      </c>
      <c r="J6" s="5"/>
      <c r="K6" s="23" t="str">
        <f aca="false">IF(COUNTA(B6,C6,D6,E6,F6,G6,H6,I6)=0,"Empty",IF(COUNTA(B6,C6,D6,E6,F6,G6,H6,I6)&lt;8,"Partial","Complete"))</f>
        <v>Complete</v>
      </c>
    </row>
    <row r="7" customFormat="false" ht="15.75" hidden="false" customHeight="true" outlineLevel="0" collapsed="false">
      <c r="A7" s="5" t="s">
        <v>14</v>
      </c>
      <c r="B7" s="5" t="s">
        <v>255</v>
      </c>
      <c r="C7" s="21" t="s">
        <v>256</v>
      </c>
      <c r="D7" s="5" t="s">
        <v>251</v>
      </c>
      <c r="E7" s="5" t="s">
        <v>257</v>
      </c>
      <c r="F7" s="5" t="s">
        <v>258</v>
      </c>
      <c r="G7" s="5" t="s">
        <v>259</v>
      </c>
      <c r="H7" s="5" t="s">
        <v>51</v>
      </c>
      <c r="I7" s="5" t="s">
        <v>260</v>
      </c>
      <c r="J7" s="5"/>
      <c r="K7" s="23" t="str">
        <f aca="false">IF(COUNTA(B7,C7,D7,E7,F7,G7,H7,I7)=0,"Empty",IF(COUNTA(B7,C7,D7,E7,F7,G7,H7,I7)&lt;8,"Partial","Complete"))</f>
        <v>Complete</v>
      </c>
    </row>
    <row r="8" customFormat="false" ht="15.75" hidden="false" customHeight="true" outlineLevel="0" collapsed="false">
      <c r="A8" s="5" t="s">
        <v>18</v>
      </c>
      <c r="B8" s="5" t="s">
        <v>261</v>
      </c>
      <c r="C8" s="5" t="s">
        <v>262</v>
      </c>
      <c r="D8" s="5" t="s">
        <v>263</v>
      </c>
      <c r="E8" s="5" t="s">
        <v>264</v>
      </c>
      <c r="F8" s="5" t="s">
        <v>265</v>
      </c>
      <c r="G8" s="5" t="s">
        <v>266</v>
      </c>
      <c r="H8" s="5" t="s">
        <v>51</v>
      </c>
      <c r="I8" s="5" t="s">
        <v>267</v>
      </c>
      <c r="J8" s="5"/>
      <c r="K8" s="23" t="str">
        <f aca="false">IF(COUNTA(B8,C8,D8,E8,F8,G8,H8,I8)=0,"Empty",IF(COUNTA(B8,C8,D8,E8,F8,G8,H8,I8)&lt;8,"Partial","Complete"))</f>
        <v>Complete</v>
      </c>
    </row>
    <row r="9" customFormat="false" ht="15.75" hidden="false" customHeight="true" outlineLevel="0" collapsed="false">
      <c r="A9" s="5" t="s">
        <v>22</v>
      </c>
      <c r="B9" s="5" t="s">
        <v>268</v>
      </c>
      <c r="C9" s="5" t="s">
        <v>269</v>
      </c>
      <c r="D9" s="5" t="s">
        <v>270</v>
      </c>
      <c r="E9" s="5" t="s">
        <v>271</v>
      </c>
      <c r="F9" s="5" t="s">
        <v>272</v>
      </c>
      <c r="G9" s="5" t="s">
        <v>273</v>
      </c>
      <c r="H9" s="5" t="s">
        <v>51</v>
      </c>
      <c r="I9" s="5" t="s">
        <v>274</v>
      </c>
      <c r="J9" s="5"/>
      <c r="K9" s="23" t="str">
        <f aca="false">IF(COUNTA(B9,C9,D9,E9,F9,G9,H9,I9)=0,"Empty",IF(COUNTA(B9,C9,D9,E9,F9,G9,H9,I9)&lt;8,"Partial","Complete"))</f>
        <v>Complete</v>
      </c>
    </row>
    <row r="10" customFormat="false" ht="15.75" hidden="false" customHeight="true" outlineLevel="0" collapsed="false">
      <c r="A10" s="5" t="s">
        <v>26</v>
      </c>
      <c r="B10" s="5" t="s">
        <v>275</v>
      </c>
      <c r="C10" s="21" t="s">
        <v>276</v>
      </c>
      <c r="D10" s="5" t="s">
        <v>277</v>
      </c>
      <c r="E10" s="5" t="s">
        <v>278</v>
      </c>
      <c r="F10" s="5" t="s">
        <v>279</v>
      </c>
      <c r="G10" s="5" t="s">
        <v>280</v>
      </c>
      <c r="H10" s="5" t="s">
        <v>51</v>
      </c>
      <c r="I10" s="5" t="s">
        <v>281</v>
      </c>
      <c r="J10" s="5"/>
      <c r="K10" s="23" t="str">
        <f aca="false">IF(COUNTA(B10,C10,D10,E10,F10,G10,H10,I10)=0,"Empty",IF(COUNTA(B10,C10,D10,E10,F10,G10,H10,I10)&lt;8,"Partial","Complete"))</f>
        <v>Complete</v>
      </c>
    </row>
    <row r="11" customFormat="false" ht="15.75" hidden="false" customHeight="true" outlineLevel="0" collapsed="false">
      <c r="A11" s="5" t="s">
        <v>30</v>
      </c>
      <c r="B11" s="5" t="s">
        <v>282</v>
      </c>
      <c r="C11" s="5" t="s">
        <v>283</v>
      </c>
      <c r="D11" s="21" t="s">
        <v>284</v>
      </c>
      <c r="E11" s="5" t="s">
        <v>285</v>
      </c>
      <c r="F11" s="5" t="s">
        <v>286</v>
      </c>
      <c r="G11" s="5" t="s">
        <v>287</v>
      </c>
      <c r="H11" s="5" t="s">
        <v>51</v>
      </c>
      <c r="I11" s="5" t="s">
        <v>288</v>
      </c>
      <c r="J11" s="5"/>
      <c r="K11" s="23" t="str">
        <f aca="false">IF(COUNTA(B11,C11,D11,E11,F11,G11,H11,I11)=0,"Empty",IF(COUNTA(B11,C11,D11,E11,F11,G11,H11,I11)&lt;8,"Partial","Complete"))</f>
        <v>Complete</v>
      </c>
    </row>
    <row r="12" customFormat="false" ht="15.75" hidden="false" customHeight="true" outlineLevel="0" collapsed="false">
      <c r="A12" s="5" t="s">
        <v>289</v>
      </c>
      <c r="B12" s="5" t="s">
        <v>290</v>
      </c>
      <c r="C12" s="21" t="s">
        <v>291</v>
      </c>
      <c r="D12" s="21" t="s">
        <v>292</v>
      </c>
      <c r="E12" s="5" t="s">
        <v>293</v>
      </c>
      <c r="F12" s="5" t="s">
        <v>294</v>
      </c>
      <c r="G12" s="5" t="s">
        <v>295</v>
      </c>
      <c r="H12" s="5" t="s">
        <v>51</v>
      </c>
      <c r="I12" s="5" t="s">
        <v>296</v>
      </c>
      <c r="J12" s="5"/>
      <c r="K12" s="23" t="str">
        <f aca="false">IF(COUNTA(B12,C12,D12,E12,F12,G12,H12,I12)=0,"Empty",IF(COUNTA(B12,C12,D12,E12,F12,G12,H12,I12)&lt;8,"Partial","Complete"))</f>
        <v>Complete</v>
      </c>
    </row>
    <row r="13" customFormat="false" ht="15.75" hidden="false" customHeight="true" outlineLevel="0" collapsed="false">
      <c r="A13" s="5" t="s">
        <v>297</v>
      </c>
      <c r="B13" s="5" t="s">
        <v>298</v>
      </c>
      <c r="C13" s="5" t="s">
        <v>299</v>
      </c>
      <c r="D13" s="5" t="s">
        <v>300</v>
      </c>
      <c r="E13" s="5" t="s">
        <v>301</v>
      </c>
      <c r="F13" s="5" t="s">
        <v>302</v>
      </c>
      <c r="G13" s="5" t="s">
        <v>303</v>
      </c>
      <c r="H13" s="5" t="s">
        <v>51</v>
      </c>
      <c r="I13" s="5" t="s">
        <v>304</v>
      </c>
      <c r="J13" s="5"/>
      <c r="K13" s="23" t="str">
        <f aca="false">IF(COUNTA(B13,C13,D13,E13,F13,G13,H13,I13)=0,"Empty",IF(COUNTA(B13,C13,D13,E13,F13,G13,H13,I13)&lt;8,"Partial","Complete"))</f>
        <v>Complete</v>
      </c>
    </row>
    <row r="14" customFormat="false" ht="15.75" hidden="false" customHeight="true" outlineLevel="0" collapsed="false">
      <c r="A14" s="5" t="s">
        <v>305</v>
      </c>
      <c r="B14" s="5" t="s">
        <v>306</v>
      </c>
      <c r="C14" s="5" t="s">
        <v>307</v>
      </c>
      <c r="D14" s="5" t="s">
        <v>308</v>
      </c>
      <c r="E14" s="5" t="s">
        <v>309</v>
      </c>
      <c r="F14" s="5" t="s">
        <v>310</v>
      </c>
      <c r="G14" s="5" t="s">
        <v>311</v>
      </c>
      <c r="H14" s="5" t="s">
        <v>51</v>
      </c>
      <c r="I14" s="5" t="s">
        <v>312</v>
      </c>
      <c r="J14" s="5"/>
      <c r="K14" s="23" t="str">
        <f aca="false">IF(COUNTA(B14,C14,D14,E14,F14,G14,H14,I14)=0,"Empty",IF(COUNTA(B14,C14,D14,E14,F14,G14,H14,I14)&lt;8,"Partial","Complete"))</f>
        <v>Complete</v>
      </c>
    </row>
  </sheetData>
  <mergeCells count="2">
    <mergeCell ref="A1:J1"/>
    <mergeCell ref="A2:J2"/>
  </mergeCells>
  <dataValidations count="1">
    <dataValidation allowBlank="true" errorStyle="stop" operator="between" showDropDown="false" showErrorMessage="false" showInputMessage="false" sqref="H5:H14" type="list">
      <formula1>"Not Started,In Progress,Done,Blocked"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22"/>
    <col collapsed="false" customWidth="true" hidden="false" outlineLevel="0" max="4" min="4" style="0" width="34"/>
    <col collapsed="false" customWidth="true" hidden="false" outlineLevel="0" max="5" min="5" style="0" width="30"/>
    <col collapsed="false" customWidth="true" hidden="false" outlineLevel="0" max="6" min="6" style="0" width="42"/>
    <col collapsed="false" customWidth="true" hidden="false" outlineLevel="0" max="7" min="7" style="0" width="18"/>
    <col collapsed="false" customWidth="true" hidden="false" outlineLevel="0" max="8" min="8" style="0" width="26"/>
    <col collapsed="false" customWidth="true" hidden="false" outlineLevel="0" max="9" min="9" style="0" width="28"/>
  </cols>
  <sheetData>
    <row r="1" customFormat="false" ht="36.75" hidden="false" customHeight="true" outlineLevel="0" collapsed="false">
      <c r="A1" s="1" t="s">
        <v>313</v>
      </c>
      <c r="B1" s="1"/>
      <c r="C1" s="1"/>
      <c r="D1" s="1"/>
      <c r="E1" s="1"/>
      <c r="F1" s="1"/>
      <c r="G1" s="1"/>
      <c r="H1" s="1"/>
      <c r="I1" s="1"/>
      <c r="J1" s="1"/>
    </row>
    <row r="2" customFormat="false" ht="50.25" hidden="false" customHeight="true" outlineLevel="0" collapsed="false">
      <c r="A2" s="3" t="s">
        <v>314</v>
      </c>
      <c r="B2" s="3"/>
      <c r="C2" s="3"/>
      <c r="D2" s="3"/>
      <c r="E2" s="3"/>
      <c r="F2" s="3"/>
      <c r="G2" s="3"/>
      <c r="H2" s="3"/>
      <c r="I2" s="3"/>
      <c r="J2" s="3"/>
    </row>
    <row r="4" customFormat="false" ht="45" hidden="false" customHeight="true" outlineLevel="0" collapsed="false">
      <c r="A4" s="4" t="s">
        <v>315</v>
      </c>
      <c r="B4" s="4" t="s">
        <v>316</v>
      </c>
      <c r="C4" s="4" t="s">
        <v>142</v>
      </c>
      <c r="D4" s="4" t="s">
        <v>317</v>
      </c>
      <c r="E4" s="4" t="s">
        <v>318</v>
      </c>
      <c r="F4" s="4" t="s">
        <v>319</v>
      </c>
      <c r="G4" s="4" t="s">
        <v>48</v>
      </c>
      <c r="H4" s="4" t="s">
        <v>320</v>
      </c>
      <c r="I4" s="4" t="s">
        <v>172</v>
      </c>
    </row>
    <row r="5" customFormat="false" ht="15.75" hidden="false" customHeight="true" outlineLevel="0" collapsed="false">
      <c r="A5" s="0" t="s">
        <v>321</v>
      </c>
      <c r="B5" s="0" t="s">
        <v>322</v>
      </c>
      <c r="C5" s="0" t="s">
        <v>323</v>
      </c>
      <c r="D5" s="0" t="s">
        <v>324</v>
      </c>
      <c r="E5" s="0" t="s">
        <v>325</v>
      </c>
      <c r="F5" s="0" t="s">
        <v>326</v>
      </c>
      <c r="G5" s="22" t="s">
        <v>51</v>
      </c>
      <c r="H5" s="0" t="s">
        <v>327</v>
      </c>
    </row>
    <row r="6" customFormat="false" ht="15.75" hidden="false" customHeight="true" outlineLevel="0" collapsed="false">
      <c r="A6" s="0" t="s">
        <v>328</v>
      </c>
      <c r="B6" s="0" t="s">
        <v>329</v>
      </c>
      <c r="C6" s="0" t="s">
        <v>330</v>
      </c>
      <c r="D6" s="0" t="s">
        <v>331</v>
      </c>
      <c r="E6" s="0" t="s">
        <v>332</v>
      </c>
      <c r="F6" s="0" t="s">
        <v>333</v>
      </c>
      <c r="G6" s="22" t="s">
        <v>51</v>
      </c>
      <c r="H6" s="0" t="s">
        <v>334</v>
      </c>
    </row>
    <row r="7" customFormat="false" ht="15.75" hidden="false" customHeight="true" outlineLevel="0" collapsed="false">
      <c r="A7" s="0" t="s">
        <v>335</v>
      </c>
      <c r="B7" s="0" t="s">
        <v>336</v>
      </c>
      <c r="C7" s="0" t="s">
        <v>337</v>
      </c>
      <c r="D7" s="0" t="s">
        <v>338</v>
      </c>
      <c r="E7" s="0" t="s">
        <v>339</v>
      </c>
      <c r="F7" s="0" t="s">
        <v>340</v>
      </c>
      <c r="G7" s="22" t="s">
        <v>51</v>
      </c>
      <c r="H7" s="0" t="s">
        <v>341</v>
      </c>
    </row>
    <row r="8" customFormat="false" ht="15" hidden="false" customHeight="false" outlineLevel="0" collapsed="false">
      <c r="A8" s="0" t="s">
        <v>342</v>
      </c>
      <c r="B8" s="0" t="s">
        <v>343</v>
      </c>
      <c r="C8" s="0" t="s">
        <v>323</v>
      </c>
      <c r="D8" s="0" t="s">
        <v>344</v>
      </c>
      <c r="E8" s="0" t="s">
        <v>345</v>
      </c>
      <c r="F8" s="0" t="s">
        <v>346</v>
      </c>
      <c r="G8" s="22" t="s">
        <v>51</v>
      </c>
      <c r="H8" s="0" t="s">
        <v>347</v>
      </c>
    </row>
    <row r="9" customFormat="false" ht="15.75" hidden="false" customHeight="true" outlineLevel="0" collapsed="false">
      <c r="A9" s="0" t="s">
        <v>348</v>
      </c>
      <c r="B9" s="0" t="s">
        <v>349</v>
      </c>
      <c r="C9" s="0" t="s">
        <v>330</v>
      </c>
      <c r="D9" s="0" t="s">
        <v>350</v>
      </c>
      <c r="E9" s="0" t="s">
        <v>351</v>
      </c>
      <c r="F9" s="0" t="s">
        <v>352</v>
      </c>
      <c r="G9" s="22" t="s">
        <v>51</v>
      </c>
      <c r="H9" s="0" t="s">
        <v>347</v>
      </c>
    </row>
    <row r="10" customFormat="false" ht="15" hidden="false" customHeight="false" outlineLevel="0" collapsed="false">
      <c r="A10" s="0" t="s">
        <v>353</v>
      </c>
      <c r="B10" s="0" t="s">
        <v>329</v>
      </c>
      <c r="C10" s="0" t="s">
        <v>337</v>
      </c>
      <c r="D10" s="0" t="s">
        <v>354</v>
      </c>
      <c r="E10" s="0" t="s">
        <v>355</v>
      </c>
      <c r="F10" s="0" t="s">
        <v>356</v>
      </c>
      <c r="G10" s="22" t="s">
        <v>51</v>
      </c>
      <c r="H10" s="0" t="s">
        <v>334</v>
      </c>
    </row>
  </sheetData>
  <mergeCells count="2">
    <mergeCell ref="A1:J1"/>
    <mergeCell ref="A2:J2"/>
  </mergeCells>
  <dataValidations count="1">
    <dataValidation allowBlank="true" errorStyle="stop" operator="between" showDropDown="false" showErrorMessage="false" showInputMessage="false" sqref="G5:G10" type="list">
      <formula1>"Not Started,Set up,Verified,Blocked"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3" min="2" style="0" width="22"/>
    <col collapsed="false" customWidth="true" hidden="false" outlineLevel="0" max="4" min="4" style="0" width="28"/>
    <col collapsed="false" customWidth="true" hidden="false" outlineLevel="0" max="5" min="5" style="0" width="40"/>
    <col collapsed="false" customWidth="true" hidden="false" outlineLevel="0" max="6" min="6" style="0" width="28"/>
    <col collapsed="false" customWidth="true" hidden="false" outlineLevel="0" max="7" min="7" style="0" width="14"/>
    <col collapsed="false" customWidth="true" hidden="false" outlineLevel="0" max="8" min="8" style="0" width="20"/>
    <col collapsed="false" customWidth="true" hidden="false" outlineLevel="0" max="9" min="9" style="0" width="32"/>
    <col collapsed="false" customWidth="true" hidden="false" outlineLevel="0" max="11" min="10" style="0" width="18"/>
    <col collapsed="false" customWidth="true" hidden="false" outlineLevel="0" max="12" min="12" style="0" width="30"/>
  </cols>
  <sheetData>
    <row r="1" customFormat="false" ht="36.75" hidden="false" customHeight="true" outlineLevel="0" collapsed="false">
      <c r="A1" s="1" t="s">
        <v>357</v>
      </c>
      <c r="B1" s="1"/>
      <c r="C1" s="1"/>
      <c r="D1" s="1"/>
      <c r="E1" s="1"/>
      <c r="F1" s="1"/>
      <c r="G1" s="1"/>
      <c r="H1" s="1"/>
      <c r="I1" s="1"/>
      <c r="J1" s="1"/>
    </row>
    <row r="2" customFormat="false" ht="50.25" hidden="false" customHeight="true" outlineLevel="0" collapsed="false">
      <c r="A2" s="3" t="s">
        <v>358</v>
      </c>
      <c r="B2" s="3"/>
      <c r="C2" s="3"/>
      <c r="D2" s="3"/>
      <c r="E2" s="3"/>
      <c r="F2" s="3"/>
      <c r="G2" s="3"/>
      <c r="H2" s="3"/>
      <c r="I2" s="3"/>
      <c r="J2" s="3"/>
    </row>
    <row r="4" customFormat="false" ht="45" hidden="false" customHeight="true" outlineLevel="0" collapsed="false">
      <c r="A4" s="4" t="s">
        <v>359</v>
      </c>
      <c r="B4" s="4" t="s">
        <v>360</v>
      </c>
      <c r="C4" s="4" t="s">
        <v>361</v>
      </c>
      <c r="D4" s="4" t="s">
        <v>362</v>
      </c>
      <c r="E4" s="4" t="s">
        <v>363</v>
      </c>
      <c r="F4" s="4" t="s">
        <v>364</v>
      </c>
      <c r="G4" s="4" t="s">
        <v>365</v>
      </c>
      <c r="H4" s="4" t="s">
        <v>366</v>
      </c>
      <c r="I4" s="4" t="s">
        <v>367</v>
      </c>
      <c r="J4" s="4" t="s">
        <v>368</v>
      </c>
      <c r="K4" s="4" t="s">
        <v>48</v>
      </c>
      <c r="L4" s="4" t="s">
        <v>172</v>
      </c>
    </row>
    <row r="5" customFormat="false" ht="15" hidden="false" customHeight="false" outlineLevel="0" collapsed="false">
      <c r="A5" s="0" t="s">
        <v>369</v>
      </c>
      <c r="B5" s="0" t="s">
        <v>370</v>
      </c>
      <c r="C5" s="0" t="s">
        <v>371</v>
      </c>
      <c r="D5" s="0" t="s">
        <v>372</v>
      </c>
      <c r="E5" s="0" t="s">
        <v>373</v>
      </c>
      <c r="F5" s="0" t="s">
        <v>374</v>
      </c>
      <c r="G5" s="0" t="s">
        <v>375</v>
      </c>
      <c r="H5" s="0" t="s">
        <v>376</v>
      </c>
      <c r="I5" s="0" t="s">
        <v>377</v>
      </c>
      <c r="J5" s="22" t="s">
        <v>111</v>
      </c>
      <c r="K5" s="22" t="s">
        <v>51</v>
      </c>
    </row>
    <row r="6" customFormat="false" ht="15.75" hidden="false" customHeight="true" outlineLevel="0" collapsed="false">
      <c r="A6" s="0" t="s">
        <v>378</v>
      </c>
      <c r="B6" s="0" t="s">
        <v>379</v>
      </c>
      <c r="C6" s="0" t="s">
        <v>371</v>
      </c>
      <c r="D6" s="0" t="s">
        <v>380</v>
      </c>
      <c r="E6" s="0" t="s">
        <v>381</v>
      </c>
      <c r="F6" s="0" t="s">
        <v>382</v>
      </c>
      <c r="G6" s="0" t="s">
        <v>383</v>
      </c>
      <c r="H6" s="0" t="s">
        <v>384</v>
      </c>
      <c r="I6" s="0" t="s">
        <v>385</v>
      </c>
      <c r="J6" s="22" t="s">
        <v>111</v>
      </c>
      <c r="K6" s="22" t="s">
        <v>51</v>
      </c>
    </row>
    <row r="7" customFormat="false" ht="15.75" hidden="false" customHeight="true" outlineLevel="0" collapsed="false">
      <c r="A7" s="0" t="s">
        <v>386</v>
      </c>
      <c r="B7" s="0" t="s">
        <v>387</v>
      </c>
      <c r="C7" s="0" t="s">
        <v>371</v>
      </c>
      <c r="D7" s="0" t="s">
        <v>388</v>
      </c>
      <c r="E7" s="0" t="s">
        <v>389</v>
      </c>
      <c r="F7" s="0" t="s">
        <v>390</v>
      </c>
      <c r="G7" s="0" t="s">
        <v>375</v>
      </c>
      <c r="H7" s="0" t="s">
        <v>376</v>
      </c>
      <c r="I7" s="0" t="s">
        <v>391</v>
      </c>
      <c r="J7" s="22" t="s">
        <v>392</v>
      </c>
      <c r="K7" s="22" t="s">
        <v>51</v>
      </c>
    </row>
    <row r="8" customFormat="false" ht="15.75" hidden="false" customHeight="true" outlineLevel="0" collapsed="false">
      <c r="A8" s="0" t="s">
        <v>393</v>
      </c>
      <c r="B8" s="0" t="s">
        <v>394</v>
      </c>
      <c r="C8" s="0" t="s">
        <v>371</v>
      </c>
      <c r="D8" s="0" t="s">
        <v>395</v>
      </c>
      <c r="E8" s="0" t="s">
        <v>396</v>
      </c>
      <c r="F8" s="0" t="s">
        <v>397</v>
      </c>
      <c r="G8" s="0" t="s">
        <v>375</v>
      </c>
      <c r="H8" s="0" t="s">
        <v>398</v>
      </c>
      <c r="I8" s="0" t="s">
        <v>399</v>
      </c>
      <c r="J8" s="22" t="s">
        <v>111</v>
      </c>
      <c r="K8" s="22" t="s">
        <v>51</v>
      </c>
    </row>
    <row r="9" customFormat="false" ht="33.75" hidden="false" customHeight="true" outlineLevel="0" collapsed="false">
      <c r="A9" s="21" t="s">
        <v>400</v>
      </c>
      <c r="B9" s="21" t="s">
        <v>401</v>
      </c>
      <c r="C9" s="21" t="s">
        <v>371</v>
      </c>
      <c r="D9" s="21" t="s">
        <v>402</v>
      </c>
      <c r="E9" s="21" t="s">
        <v>403</v>
      </c>
      <c r="F9" s="21" t="s">
        <v>404</v>
      </c>
      <c r="G9" s="21" t="n">
        <v>0</v>
      </c>
      <c r="H9" s="21" t="n">
        <v>0.85</v>
      </c>
      <c r="I9" s="21" t="s">
        <v>405</v>
      </c>
      <c r="J9" s="21" t="s">
        <v>111</v>
      </c>
      <c r="K9" s="21" t="s">
        <v>51</v>
      </c>
      <c r="L9" s="21" t="s">
        <v>406</v>
      </c>
    </row>
    <row r="10" customFormat="false" ht="33.75" hidden="false" customHeight="true" outlineLevel="0" collapsed="false">
      <c r="A10" s="21" t="s">
        <v>407</v>
      </c>
      <c r="B10" s="21" t="s">
        <v>408</v>
      </c>
      <c r="C10" s="21" t="s">
        <v>371</v>
      </c>
      <c r="D10" s="21" t="s">
        <v>409</v>
      </c>
      <c r="E10" s="21" t="s">
        <v>410</v>
      </c>
      <c r="F10" s="21" t="s">
        <v>411</v>
      </c>
      <c r="G10" s="21" t="n">
        <v>0.3</v>
      </c>
      <c r="H10" s="21"/>
      <c r="I10" s="21" t="s">
        <v>412</v>
      </c>
      <c r="J10" s="21" t="s">
        <v>111</v>
      </c>
      <c r="K10" s="21" t="s">
        <v>51</v>
      </c>
      <c r="L10" s="21" t="s">
        <v>413</v>
      </c>
    </row>
    <row r="11" customFormat="false" ht="15" hidden="false" customHeight="false" outlineLevel="0" collapsed="false">
      <c r="J11" s="22"/>
      <c r="K11" s="22"/>
    </row>
    <row r="12" customFormat="false" ht="15" hidden="false" customHeight="false" outlineLevel="0" collapsed="false">
      <c r="J12" s="22"/>
      <c r="K12" s="22"/>
    </row>
  </sheetData>
  <mergeCells count="2">
    <mergeCell ref="A1:J1"/>
    <mergeCell ref="A2:J2"/>
  </mergeCells>
  <dataValidations count="2">
    <dataValidation allowBlank="true" errorStyle="stop" operator="between" showDropDown="false" showErrorMessage="false" showInputMessage="false" sqref="J5:J12" type="list">
      <formula1>"Yes,No,Conditional"</formula1>
      <formula2>0</formula2>
    </dataValidation>
    <dataValidation allowBlank="true" errorStyle="stop" operator="between" showDropDown="false" showErrorMessage="false" showInputMessage="false" sqref="K5:K12" type="list">
      <formula1>"Not Started,In Progress,Done,Blocked"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46"/>
    <col collapsed="false" customWidth="true" hidden="false" outlineLevel="0" max="4" min="4" style="0" width="34"/>
    <col collapsed="false" customWidth="true" hidden="false" outlineLevel="0" max="5" min="5" style="0" width="18"/>
    <col collapsed="false" customWidth="true" hidden="false" outlineLevel="0" max="6" min="6" style="0" width="16"/>
    <col collapsed="false" customWidth="true" hidden="false" outlineLevel="0" max="7" min="7" style="0" width="28"/>
  </cols>
  <sheetData>
    <row r="1" customFormat="false" ht="36.75" hidden="false" customHeight="true" outlineLevel="0" collapsed="false">
      <c r="A1" s="1" t="s">
        <v>414</v>
      </c>
      <c r="B1" s="1"/>
      <c r="C1" s="1"/>
      <c r="D1" s="1"/>
      <c r="E1" s="1"/>
      <c r="F1" s="1"/>
      <c r="G1" s="1"/>
      <c r="H1" s="1"/>
    </row>
    <row r="2" customFormat="false" ht="50.25" hidden="false" customHeight="true" outlineLevel="0" collapsed="false">
      <c r="A2" s="3" t="s">
        <v>415</v>
      </c>
      <c r="B2" s="3"/>
      <c r="C2" s="3"/>
      <c r="D2" s="3"/>
      <c r="E2" s="3"/>
      <c r="F2" s="3"/>
      <c r="G2" s="3"/>
      <c r="H2" s="3"/>
    </row>
    <row r="4" customFormat="false" ht="45" hidden="false" customHeight="true" outlineLevel="0" collapsed="false">
      <c r="A4" s="4" t="s">
        <v>416</v>
      </c>
      <c r="B4" s="4" t="s">
        <v>417</v>
      </c>
      <c r="C4" s="4" t="s">
        <v>418</v>
      </c>
      <c r="D4" s="4" t="s">
        <v>419</v>
      </c>
      <c r="E4" s="4" t="s">
        <v>48</v>
      </c>
      <c r="F4" s="4" t="s">
        <v>142</v>
      </c>
      <c r="G4" s="4" t="s">
        <v>172</v>
      </c>
    </row>
    <row r="5" customFormat="false" ht="15" hidden="false" customHeight="false" outlineLevel="0" collapsed="false">
      <c r="A5" s="0" t="s">
        <v>420</v>
      </c>
      <c r="B5" s="0" t="s">
        <v>421</v>
      </c>
      <c r="C5" s="0" t="s">
        <v>422</v>
      </c>
      <c r="D5" s="0" t="s">
        <v>423</v>
      </c>
      <c r="E5" s="22" t="s">
        <v>51</v>
      </c>
    </row>
    <row r="6" customFormat="false" ht="15" hidden="false" customHeight="false" outlineLevel="0" collapsed="false">
      <c r="A6" s="0" t="s">
        <v>424</v>
      </c>
      <c r="B6" s="0" t="s">
        <v>425</v>
      </c>
      <c r="C6" s="0" t="s">
        <v>426</v>
      </c>
      <c r="D6" s="0" t="s">
        <v>427</v>
      </c>
      <c r="E6" s="22" t="s">
        <v>51</v>
      </c>
    </row>
    <row r="7" customFormat="false" ht="15.75" hidden="false" customHeight="true" outlineLevel="0" collapsed="false">
      <c r="A7" s="0" t="s">
        <v>428</v>
      </c>
      <c r="B7" s="0" t="s">
        <v>429</v>
      </c>
      <c r="C7" s="0" t="s">
        <v>430</v>
      </c>
      <c r="D7" s="0" t="s">
        <v>431</v>
      </c>
      <c r="E7" s="22" t="s">
        <v>51</v>
      </c>
    </row>
    <row r="8" customFormat="false" ht="15" hidden="false" customHeight="false" outlineLevel="0" collapsed="false">
      <c r="A8" s="0" t="s">
        <v>432</v>
      </c>
      <c r="B8" s="0" t="s">
        <v>433</v>
      </c>
      <c r="C8" s="0" t="s">
        <v>434</v>
      </c>
      <c r="D8" s="0" t="s">
        <v>435</v>
      </c>
      <c r="E8" s="22" t="s">
        <v>51</v>
      </c>
    </row>
    <row r="9" customFormat="false" ht="15" hidden="false" customHeight="false" outlineLevel="0" collapsed="false">
      <c r="A9" s="0" t="s">
        <v>436</v>
      </c>
      <c r="B9" s="0" t="s">
        <v>437</v>
      </c>
      <c r="C9" s="0" t="s">
        <v>438</v>
      </c>
      <c r="D9" s="0" t="s">
        <v>439</v>
      </c>
      <c r="E9" s="22" t="s">
        <v>51</v>
      </c>
    </row>
    <row r="10" customFormat="false" ht="15.75" hidden="false" customHeight="true" outlineLevel="0" collapsed="false">
      <c r="A10" s="0" t="s">
        <v>440</v>
      </c>
      <c r="B10" s="0" t="s">
        <v>441</v>
      </c>
      <c r="C10" s="0" t="s">
        <v>442</v>
      </c>
      <c r="D10" s="0" t="s">
        <v>443</v>
      </c>
      <c r="E10" s="22" t="s">
        <v>51</v>
      </c>
    </row>
    <row r="11" customFormat="false" ht="15" hidden="false" customHeight="false" outlineLevel="0" collapsed="false">
      <c r="E11" s="22"/>
    </row>
    <row r="12" customFormat="false" ht="15" hidden="false" customHeight="false" outlineLevel="0" collapsed="false">
      <c r="E12" s="22"/>
    </row>
  </sheetData>
  <mergeCells count="2">
    <mergeCell ref="A1:H1"/>
    <mergeCell ref="A2:H2"/>
  </mergeCells>
  <dataValidations count="1">
    <dataValidation allowBlank="true" errorStyle="stop" operator="between" showDropDown="false" showErrorMessage="false" showInputMessage="false" sqref="E5:E12" type="list">
      <formula1>"Not Started,In Progress,Done,Blocked"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46"/>
    <col collapsed="false" customWidth="true" hidden="false" outlineLevel="0" max="4" min="4" style="0" width="28"/>
    <col collapsed="false" customWidth="true" hidden="false" outlineLevel="0" max="5" min="5" style="0" width="36"/>
    <col collapsed="false" customWidth="true" hidden="false" outlineLevel="0" max="6" min="6" style="0" width="12"/>
    <col collapsed="false" customWidth="true" hidden="false" outlineLevel="0" max="8" min="7" style="0" width="16"/>
    <col collapsed="false" customWidth="true" hidden="false" outlineLevel="0" max="9" min="9" style="0" width="28"/>
  </cols>
  <sheetData>
    <row r="1" customFormat="false" ht="36.75" hidden="false" customHeight="true" outlineLevel="0" collapsed="false">
      <c r="A1" s="1" t="s">
        <v>444</v>
      </c>
      <c r="B1" s="1"/>
      <c r="C1" s="1"/>
      <c r="D1" s="1"/>
      <c r="E1" s="1"/>
      <c r="F1" s="1"/>
      <c r="G1" s="1"/>
      <c r="H1" s="1"/>
      <c r="I1" s="1"/>
      <c r="J1" s="1"/>
    </row>
    <row r="2" customFormat="false" ht="50.25" hidden="false" customHeight="true" outlineLevel="0" collapsed="false">
      <c r="A2" s="3" t="s">
        <v>445</v>
      </c>
      <c r="B2" s="3"/>
      <c r="C2" s="3"/>
      <c r="D2" s="3"/>
      <c r="E2" s="3"/>
      <c r="F2" s="3"/>
      <c r="G2" s="3"/>
      <c r="H2" s="3"/>
      <c r="I2" s="3"/>
      <c r="J2" s="3"/>
    </row>
    <row r="4" customFormat="false" ht="45" hidden="false" customHeight="true" outlineLevel="0" collapsed="false">
      <c r="A4" s="4" t="s">
        <v>446</v>
      </c>
      <c r="B4" s="4" t="s">
        <v>447</v>
      </c>
      <c r="C4" s="4" t="s">
        <v>448</v>
      </c>
      <c r="D4" s="4" t="s">
        <v>449</v>
      </c>
      <c r="E4" s="4" t="s">
        <v>450</v>
      </c>
      <c r="F4" s="4" t="s">
        <v>170</v>
      </c>
      <c r="G4" s="4" t="s">
        <v>451</v>
      </c>
      <c r="H4" s="4" t="s">
        <v>452</v>
      </c>
      <c r="I4" s="4" t="s">
        <v>172</v>
      </c>
    </row>
    <row r="5" customFormat="false" ht="15.75" hidden="false" customHeight="true" outlineLevel="0" collapsed="false">
      <c r="A5" s="5" t="s">
        <v>248</v>
      </c>
      <c r="B5" s="5" t="s">
        <v>453</v>
      </c>
      <c r="C5" s="5" t="s">
        <v>454</v>
      </c>
      <c r="D5" s="5" t="s">
        <v>455</v>
      </c>
      <c r="E5" s="5" t="s">
        <v>456</v>
      </c>
      <c r="F5" s="5" t="s">
        <v>180</v>
      </c>
      <c r="G5" s="5" t="s">
        <v>111</v>
      </c>
      <c r="H5" s="5" t="s">
        <v>392</v>
      </c>
      <c r="I5" s="5"/>
    </row>
    <row r="6" customFormat="false" ht="15.75" hidden="false" customHeight="true" outlineLevel="0" collapsed="false">
      <c r="A6" s="5" t="s">
        <v>254</v>
      </c>
      <c r="B6" s="5" t="s">
        <v>457</v>
      </c>
      <c r="C6" s="5" t="s">
        <v>458</v>
      </c>
      <c r="D6" s="5" t="s">
        <v>459</v>
      </c>
      <c r="E6" s="5" t="s">
        <v>460</v>
      </c>
      <c r="F6" s="5" t="s">
        <v>180</v>
      </c>
      <c r="G6" s="5" t="s">
        <v>111</v>
      </c>
      <c r="H6" s="5" t="s">
        <v>392</v>
      </c>
      <c r="I6" s="5"/>
    </row>
    <row r="7" customFormat="false" ht="15.75" hidden="false" customHeight="true" outlineLevel="0" collapsed="false">
      <c r="A7" s="5" t="s">
        <v>260</v>
      </c>
      <c r="B7" s="5" t="s">
        <v>461</v>
      </c>
      <c r="C7" s="5" t="s">
        <v>462</v>
      </c>
      <c r="D7" s="5" t="s">
        <v>463</v>
      </c>
      <c r="E7" s="5" t="s">
        <v>464</v>
      </c>
      <c r="F7" s="5" t="s">
        <v>178</v>
      </c>
      <c r="G7" s="5" t="s">
        <v>392</v>
      </c>
      <c r="H7" s="5" t="s">
        <v>392</v>
      </c>
      <c r="I7" s="5"/>
    </row>
    <row r="8" customFormat="false" ht="15.75" hidden="false" customHeight="true" outlineLevel="0" collapsed="false">
      <c r="A8" s="5" t="s">
        <v>267</v>
      </c>
      <c r="B8" s="5" t="s">
        <v>465</v>
      </c>
      <c r="C8" s="5" t="s">
        <v>466</v>
      </c>
      <c r="D8" s="5" t="s">
        <v>467</v>
      </c>
      <c r="E8" s="5" t="s">
        <v>468</v>
      </c>
      <c r="F8" s="5" t="s">
        <v>99</v>
      </c>
      <c r="G8" s="5" t="s">
        <v>469</v>
      </c>
      <c r="H8" s="5" t="s">
        <v>392</v>
      </c>
      <c r="I8" s="5"/>
    </row>
    <row r="9" customFormat="false" ht="15.75" hidden="false" customHeight="true" outlineLevel="0" collapsed="false">
      <c r="A9" s="5" t="s">
        <v>274</v>
      </c>
      <c r="B9" s="5" t="s">
        <v>470</v>
      </c>
      <c r="C9" s="5" t="s">
        <v>471</v>
      </c>
      <c r="D9" s="5" t="s">
        <v>472</v>
      </c>
      <c r="E9" s="5" t="s">
        <v>473</v>
      </c>
      <c r="F9" s="5" t="s">
        <v>180</v>
      </c>
      <c r="G9" s="5" t="s">
        <v>392</v>
      </c>
      <c r="H9" s="5" t="s">
        <v>392</v>
      </c>
      <c r="I9" s="5"/>
    </row>
    <row r="10" customFormat="false" ht="15.75" hidden="false" customHeight="true" outlineLevel="0" collapsed="false">
      <c r="A10" s="5" t="s">
        <v>281</v>
      </c>
      <c r="B10" s="5" t="s">
        <v>474</v>
      </c>
      <c r="C10" s="5" t="s">
        <v>475</v>
      </c>
      <c r="D10" s="5" t="s">
        <v>476</v>
      </c>
      <c r="E10" s="5" t="s">
        <v>477</v>
      </c>
      <c r="F10" s="5" t="s">
        <v>99</v>
      </c>
      <c r="G10" s="5" t="s">
        <v>392</v>
      </c>
      <c r="H10" s="5" t="s">
        <v>392</v>
      </c>
      <c r="I10" s="5"/>
    </row>
    <row r="11" customFormat="false" ht="15.75" hidden="false" customHeight="true" outlineLevel="0" collapsed="false">
      <c r="A11" s="5" t="s">
        <v>288</v>
      </c>
      <c r="B11" s="5" t="s">
        <v>478</v>
      </c>
      <c r="C11" s="5" t="s">
        <v>479</v>
      </c>
      <c r="D11" s="5" t="s">
        <v>480</v>
      </c>
      <c r="E11" s="5" t="s">
        <v>481</v>
      </c>
      <c r="F11" s="5" t="s">
        <v>180</v>
      </c>
      <c r="G11" s="5" t="s">
        <v>392</v>
      </c>
      <c r="H11" s="5" t="s">
        <v>392</v>
      </c>
      <c r="I11" s="5"/>
    </row>
    <row r="12" customFormat="false" ht="33.75" hidden="false" customHeight="true" outlineLevel="0" collapsed="false">
      <c r="A12" s="21" t="s">
        <v>296</v>
      </c>
      <c r="B12" s="21" t="s">
        <v>482</v>
      </c>
      <c r="C12" s="21" t="s">
        <v>483</v>
      </c>
      <c r="D12" s="21" t="s">
        <v>484</v>
      </c>
      <c r="E12" s="21" t="s">
        <v>485</v>
      </c>
      <c r="F12" s="21" t="s">
        <v>99</v>
      </c>
      <c r="G12" s="21" t="s">
        <v>486</v>
      </c>
      <c r="H12" s="21" t="s">
        <v>392</v>
      </c>
      <c r="I12" s="21" t="s">
        <v>487</v>
      </c>
    </row>
    <row r="13" customFormat="false" ht="33.75" hidden="false" customHeight="true" outlineLevel="0" collapsed="false">
      <c r="A13" s="21" t="s">
        <v>304</v>
      </c>
      <c r="B13" s="21" t="s">
        <v>488</v>
      </c>
      <c r="C13" s="21" t="s">
        <v>489</v>
      </c>
      <c r="D13" s="21" t="s">
        <v>490</v>
      </c>
      <c r="E13" s="21" t="s">
        <v>491</v>
      </c>
      <c r="F13" s="21" t="s">
        <v>180</v>
      </c>
      <c r="G13" s="21" t="s">
        <v>111</v>
      </c>
      <c r="H13" s="21" t="s">
        <v>392</v>
      </c>
      <c r="I13" s="21" t="s">
        <v>492</v>
      </c>
    </row>
    <row r="14" customFormat="false" ht="33.75" hidden="false" customHeight="true" outlineLevel="0" collapsed="false">
      <c r="A14" s="21" t="s">
        <v>312</v>
      </c>
      <c r="B14" s="21" t="s">
        <v>493</v>
      </c>
      <c r="C14" s="21" t="s">
        <v>494</v>
      </c>
      <c r="D14" s="21" t="s">
        <v>495</v>
      </c>
      <c r="E14" s="21" t="s">
        <v>496</v>
      </c>
      <c r="F14" s="21" t="s">
        <v>180</v>
      </c>
      <c r="G14" s="21" t="s">
        <v>392</v>
      </c>
      <c r="H14" s="21" t="s">
        <v>392</v>
      </c>
      <c r="I14" s="21" t="s">
        <v>497</v>
      </c>
    </row>
  </sheetData>
  <mergeCells count="2">
    <mergeCell ref="A1:J1"/>
    <mergeCell ref="A2:J2"/>
  </mergeCells>
  <dataValidations count="2">
    <dataValidation allowBlank="true" errorStyle="stop" operator="between" showDropDown="false" showErrorMessage="false" showInputMessage="false" sqref="F5:F12" type="list">
      <formula1>"Low,Medium,High"</formula1>
      <formula2>0</formula2>
    </dataValidation>
    <dataValidation allowBlank="true" errorStyle="stop" operator="between" showDropDown="false" showErrorMessage="false" showInputMessage="false" sqref="G5:H12" type="list">
      <formula1>"Yes,No,Maybe"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6"/>
    <col collapsed="false" customWidth="true" hidden="false" outlineLevel="0" max="3" min="3" style="0" width="12"/>
    <col collapsed="false" customWidth="true" hidden="false" outlineLevel="0" max="4" min="4" style="0" width="44"/>
    <col collapsed="false" customWidth="true" hidden="false" outlineLevel="0" max="5" min="5" style="0" width="18"/>
    <col collapsed="false" customWidth="true" hidden="false" outlineLevel="0" max="6" min="6" style="0" width="16"/>
    <col collapsed="false" customWidth="true" hidden="false" outlineLevel="0" max="7" min="7" style="0" width="13"/>
  </cols>
  <sheetData>
    <row r="1" customFormat="false" ht="36.75" hidden="false" customHeight="true" outlineLevel="0" collapsed="false">
      <c r="A1" s="1" t="s">
        <v>498</v>
      </c>
      <c r="B1" s="1"/>
      <c r="C1" s="1"/>
      <c r="D1" s="1"/>
      <c r="E1" s="1"/>
      <c r="F1" s="1"/>
      <c r="G1" s="1"/>
    </row>
    <row r="2" customFormat="false" ht="50.25" hidden="false" customHeight="true" outlineLevel="0" collapsed="false">
      <c r="A2" s="3" t="s">
        <v>499</v>
      </c>
      <c r="B2" s="3"/>
      <c r="C2" s="3"/>
      <c r="D2" s="3"/>
      <c r="E2" s="3"/>
      <c r="F2" s="3"/>
      <c r="G2" s="3"/>
    </row>
    <row r="4" customFormat="false" ht="45" hidden="false" customHeight="true" outlineLevel="0" collapsed="false">
      <c r="A4" s="4" t="s">
        <v>500</v>
      </c>
      <c r="B4" s="4" t="s">
        <v>501</v>
      </c>
      <c r="C4" s="4" t="s">
        <v>502</v>
      </c>
      <c r="D4" s="4" t="s">
        <v>503</v>
      </c>
      <c r="E4" s="4" t="s">
        <v>142</v>
      </c>
      <c r="F4" s="4" t="s">
        <v>504</v>
      </c>
    </row>
    <row r="5" customFormat="false" ht="15.75" hidden="false" customHeight="true" outlineLevel="0" collapsed="false">
      <c r="A5" s="5" t="s">
        <v>505</v>
      </c>
      <c r="B5" s="5" t="s">
        <v>506</v>
      </c>
      <c r="C5" s="24"/>
      <c r="D5" s="5"/>
      <c r="E5" s="5"/>
      <c r="F5" s="5"/>
    </row>
    <row r="6" customFormat="false" ht="15.75" hidden="false" customHeight="true" outlineLevel="0" collapsed="false">
      <c r="A6" s="5" t="s">
        <v>507</v>
      </c>
      <c r="B6" s="5" t="s">
        <v>508</v>
      </c>
      <c r="C6" s="24"/>
      <c r="D6" s="5"/>
      <c r="E6" s="5"/>
      <c r="F6" s="5"/>
    </row>
    <row r="7" customFormat="false" ht="15.75" hidden="false" customHeight="true" outlineLevel="0" collapsed="false">
      <c r="A7" s="5" t="s">
        <v>509</v>
      </c>
      <c r="B7" s="5" t="s">
        <v>510</v>
      </c>
      <c r="C7" s="24"/>
      <c r="D7" s="5"/>
      <c r="E7" s="5"/>
      <c r="F7" s="5"/>
    </row>
    <row r="8" customFormat="false" ht="15.75" hidden="false" customHeight="true" outlineLevel="0" collapsed="false">
      <c r="A8" s="5" t="s">
        <v>511</v>
      </c>
      <c r="B8" s="5" t="s">
        <v>512</v>
      </c>
      <c r="C8" s="24"/>
      <c r="D8" s="5"/>
      <c r="E8" s="5"/>
      <c r="F8" s="5"/>
    </row>
    <row r="9" customFormat="false" ht="15.75" hidden="false" customHeight="true" outlineLevel="0" collapsed="false">
      <c r="A9" s="5" t="s">
        <v>513</v>
      </c>
      <c r="B9" s="5" t="s">
        <v>514</v>
      </c>
      <c r="C9" s="24"/>
      <c r="D9" s="5"/>
      <c r="E9" s="5"/>
      <c r="F9" s="5"/>
    </row>
    <row r="10" customFormat="false" ht="15.75" hidden="false" customHeight="true" outlineLevel="0" collapsed="false">
      <c r="A10" s="5" t="s">
        <v>515</v>
      </c>
      <c r="B10" s="5" t="s">
        <v>516</v>
      </c>
      <c r="C10" s="24"/>
      <c r="D10" s="5"/>
      <c r="E10" s="5"/>
      <c r="F10" s="5"/>
    </row>
    <row r="11" customFormat="false" ht="15.75" hidden="false" customHeight="true" outlineLevel="0" collapsed="false">
      <c r="A11" s="5" t="s">
        <v>517</v>
      </c>
      <c r="B11" s="5" t="s">
        <v>518</v>
      </c>
      <c r="C11" s="24"/>
      <c r="D11" s="5"/>
      <c r="E11" s="5"/>
      <c r="F11" s="5"/>
    </row>
    <row r="12" customFormat="false" ht="15.75" hidden="false" customHeight="true" outlineLevel="0" collapsed="false">
      <c r="A12" s="5" t="s">
        <v>519</v>
      </c>
      <c r="B12" s="5" t="s">
        <v>520</v>
      </c>
      <c r="C12" s="24"/>
      <c r="D12" s="5"/>
      <c r="E12" s="5"/>
      <c r="F12" s="5"/>
    </row>
    <row r="13" customFormat="false" ht="15.75" hidden="false" customHeight="true" outlineLevel="0" collapsed="false">
      <c r="A13" s="5" t="s">
        <v>521</v>
      </c>
      <c r="B13" s="5" t="s">
        <v>522</v>
      </c>
      <c r="C13" s="24"/>
      <c r="D13" s="5"/>
      <c r="E13" s="5"/>
      <c r="F13" s="5"/>
    </row>
    <row r="14" customFormat="false" ht="15.75" hidden="false" customHeight="true" outlineLevel="0" collapsed="false">
      <c r="A14" s="5" t="s">
        <v>523</v>
      </c>
      <c r="B14" s="5" t="s">
        <v>524</v>
      </c>
      <c r="C14" s="24"/>
      <c r="D14" s="5"/>
      <c r="E14" s="5"/>
      <c r="F14" s="5"/>
    </row>
    <row r="15" customFormat="false" ht="15.75" hidden="false" customHeight="true" outlineLevel="0" collapsed="false">
      <c r="A15" s="5" t="s">
        <v>525</v>
      </c>
      <c r="B15" s="5" t="s">
        <v>526</v>
      </c>
      <c r="C15" s="24"/>
      <c r="D15" s="5"/>
      <c r="E15" s="5"/>
      <c r="F15" s="5"/>
    </row>
    <row r="16" customFormat="false" ht="15.75" hidden="false" customHeight="true" outlineLevel="0" collapsed="false">
      <c r="A16" s="5" t="s">
        <v>527</v>
      </c>
      <c r="B16" s="5" t="s">
        <v>528</v>
      </c>
      <c r="C16" s="24"/>
      <c r="D16" s="5"/>
      <c r="E16" s="5"/>
      <c r="F16" s="5"/>
    </row>
    <row r="18" customFormat="false" ht="15" hidden="false" customHeight="true" outlineLevel="0" collapsed="false">
      <c r="A18" s="7" t="s">
        <v>529</v>
      </c>
      <c r="B18" s="7"/>
      <c r="C18" s="7"/>
      <c r="D18" s="7"/>
      <c r="E18" s="7"/>
      <c r="F18" s="7"/>
      <c r="G18" s="7"/>
    </row>
    <row r="19" customFormat="false" ht="15" hidden="false" customHeight="true" outlineLevel="0" collapsed="false">
      <c r="A19" s="10" t="s">
        <v>530</v>
      </c>
      <c r="B19" s="10"/>
      <c r="C19" s="10"/>
      <c r="D19" s="10"/>
      <c r="E19" s="10"/>
      <c r="F19" s="10"/>
      <c r="G19" s="18" t="n">
        <f aca="false">COUNTA('Build Backlog'!A5:A16)</f>
        <v>12</v>
      </c>
    </row>
    <row r="20" customFormat="false" ht="15" hidden="false" customHeight="true" outlineLevel="0" collapsed="false">
      <c r="A20" s="10" t="s">
        <v>531</v>
      </c>
      <c r="B20" s="10"/>
      <c r="C20" s="10"/>
      <c r="D20" s="10"/>
      <c r="E20" s="10"/>
      <c r="F20" s="10"/>
      <c r="G20" s="18" t="n">
        <f aca="false">COUNTIF('Build Backlog'!F5:F16,"Done")</f>
        <v>0</v>
      </c>
    </row>
    <row r="21" customFormat="false" ht="15" hidden="false" customHeight="true" outlineLevel="0" collapsed="false">
      <c r="A21" s="10" t="s">
        <v>532</v>
      </c>
      <c r="B21" s="10"/>
      <c r="C21" s="10"/>
      <c r="D21" s="10"/>
      <c r="E21" s="10"/>
      <c r="F21" s="10"/>
      <c r="G21" s="18" t="n">
        <f aca="false">COUNTA('Module Build Plan'!A5:A14)</f>
        <v>10</v>
      </c>
    </row>
    <row r="22" customFormat="false" ht="15" hidden="false" customHeight="true" outlineLevel="0" collapsed="false">
      <c r="A22" s="10" t="s">
        <v>533</v>
      </c>
      <c r="B22" s="10"/>
      <c r="C22" s="10"/>
      <c r="D22" s="10"/>
      <c r="E22" s="10"/>
      <c r="F22" s="10"/>
      <c r="G22" s="18" t="n">
        <f aca="false">COUNTIF('Module Build Plan'!H5:H14,"Done")</f>
        <v>0</v>
      </c>
    </row>
    <row r="23" customFormat="false" ht="15" hidden="false" customHeight="true" outlineLevel="0" collapsed="false">
      <c r="A23" s="10" t="s">
        <v>534</v>
      </c>
      <c r="B23" s="10"/>
      <c r="C23" s="10"/>
      <c r="D23" s="10"/>
      <c r="E23" s="10"/>
      <c r="F23" s="10"/>
      <c r="G23" s="18" t="n">
        <f aca="false">COUNTA('Credentials &amp; Access'!A5:A10)</f>
        <v>6</v>
      </c>
    </row>
    <row r="24" customFormat="false" ht="15" hidden="false" customHeight="true" outlineLevel="0" collapsed="false">
      <c r="A24" s="10" t="s">
        <v>535</v>
      </c>
      <c r="B24" s="10"/>
      <c r="C24" s="10"/>
      <c r="D24" s="10"/>
      <c r="E24" s="10"/>
      <c r="F24" s="10"/>
      <c r="G24" s="18" t="n">
        <f aca="false">COUNTIF('Credentials &amp; Access'!G5:G10,"Verified")</f>
        <v>0</v>
      </c>
    </row>
    <row r="25" customFormat="false" ht="15" hidden="false" customHeight="true" outlineLevel="0" collapsed="false">
      <c r="A25" s="10" t="s">
        <v>536</v>
      </c>
      <c r="B25" s="10"/>
      <c r="C25" s="10"/>
      <c r="D25" s="10"/>
      <c r="E25" s="10"/>
      <c r="F25" s="10"/>
      <c r="G25" s="18" t="n">
        <f aca="false">COUNTA('AI Prompt Config'!A5:A12)</f>
        <v>6</v>
      </c>
    </row>
    <row r="26" customFormat="false" ht="15" hidden="false" customHeight="true" outlineLevel="0" collapsed="false">
      <c r="A26" s="10" t="s">
        <v>537</v>
      </c>
      <c r="B26" s="10"/>
      <c r="C26" s="10"/>
      <c r="D26" s="10"/>
      <c r="E26" s="10"/>
      <c r="F26" s="10"/>
      <c r="G26" s="18" t="n">
        <f aca="false">COUNTIF('AI Prompt Config'!K5:K12,"Done")</f>
        <v>0</v>
      </c>
    </row>
    <row r="27" customFormat="false" ht="15" hidden="false" customHeight="true" outlineLevel="0" collapsed="false">
      <c r="A27" s="10" t="s">
        <v>538</v>
      </c>
      <c r="B27" s="10"/>
      <c r="C27" s="10"/>
      <c r="D27" s="10"/>
      <c r="E27" s="10"/>
      <c r="F27" s="10"/>
      <c r="G27" s="18" t="n">
        <f aca="false">COUNTA('Audit &amp; Error Build'!A5:A12)</f>
        <v>6</v>
      </c>
    </row>
    <row r="28" customFormat="false" ht="15" hidden="false" customHeight="true" outlineLevel="0" collapsed="false">
      <c r="A28" s="10" t="s">
        <v>539</v>
      </c>
      <c r="B28" s="10"/>
      <c r="C28" s="10"/>
      <c r="D28" s="10"/>
      <c r="E28" s="10"/>
      <c r="F28" s="10"/>
      <c r="G28" s="18" t="n">
        <f aca="false">COUNTA('Test Seed Cases'!A5:A12)</f>
        <v>8</v>
      </c>
    </row>
    <row r="29" customFormat="false" ht="15" hidden="false" customHeight="true" outlineLevel="0" collapsed="false">
      <c r="A29" s="10" t="s">
        <v>540</v>
      </c>
      <c r="B29" s="10"/>
      <c r="C29" s="10"/>
      <c r="D29" s="10"/>
      <c r="E29" s="10"/>
      <c r="F29" s="10"/>
      <c r="G29" s="18" t="n">
        <f aca="false">COUNTIF('Build Checklist'!C5:C16,"Pass")</f>
        <v>0</v>
      </c>
    </row>
    <row r="30" customFormat="false" ht="15" hidden="false" customHeight="true" outlineLevel="0" collapsed="false">
      <c r="A30" s="10" t="s">
        <v>541</v>
      </c>
      <c r="B30" s="10"/>
      <c r="C30" s="10"/>
      <c r="D30" s="10"/>
      <c r="E30" s="10"/>
      <c r="F30" s="10"/>
      <c r="G30" s="18" t="n">
        <f aca="false">COUNTIF('Build Checklist'!C5:C16,"Pending")+COUNTIF('Build Checklist'!C5:C16,"Fail")</f>
        <v>0</v>
      </c>
    </row>
  </sheetData>
  <mergeCells count="15">
    <mergeCell ref="A1:G1"/>
    <mergeCell ref="A2:G2"/>
    <mergeCell ref="A18:G18"/>
    <mergeCell ref="A19:F19"/>
    <mergeCell ref="A20:F20"/>
    <mergeCell ref="A21:F21"/>
    <mergeCell ref="A22:F22"/>
    <mergeCell ref="A23:F23"/>
    <mergeCell ref="A24:F24"/>
    <mergeCell ref="A25:F25"/>
    <mergeCell ref="A26:F26"/>
    <mergeCell ref="A27:F27"/>
    <mergeCell ref="A28:F28"/>
    <mergeCell ref="A29:F29"/>
    <mergeCell ref="A30:F30"/>
  </mergeCells>
  <dataValidations count="1">
    <dataValidation allowBlank="true" errorStyle="stop" operator="between" showDropDown="false" showErrorMessage="false" showInputMessage="false" sqref="C5:C16" type="list">
      <formula1>"Pass,Fail,Pending,N/A"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0" min="1" style="0" width="13.83"/>
  </cols>
  <sheetData>
    <row r="1" customFormat="false" ht="36.75" hidden="false" customHeight="true" outlineLevel="0" collapsed="false">
      <c r="A1" s="1" t="s">
        <v>542</v>
      </c>
      <c r="B1" s="1"/>
      <c r="C1" s="1"/>
      <c r="D1" s="1"/>
      <c r="E1" s="1"/>
      <c r="F1" s="1"/>
      <c r="G1" s="1"/>
      <c r="H1" s="1"/>
      <c r="I1" s="1"/>
      <c r="J1" s="1"/>
    </row>
    <row r="2" customFormat="false" ht="50.25" hidden="false" customHeight="true" outlineLevel="0" collapsed="false">
      <c r="A2" s="3" t="s">
        <v>543</v>
      </c>
      <c r="B2" s="3"/>
      <c r="C2" s="3"/>
      <c r="D2" s="3"/>
      <c r="E2" s="3"/>
      <c r="F2" s="3"/>
      <c r="G2" s="3"/>
      <c r="H2" s="3"/>
      <c r="I2" s="3"/>
      <c r="J2" s="3"/>
    </row>
    <row r="4" customFormat="false" ht="45" hidden="false" customHeight="true" outlineLevel="0" collapsed="false">
      <c r="A4" s="4" t="s">
        <v>544</v>
      </c>
      <c r="B4" s="4" t="s">
        <v>504</v>
      </c>
      <c r="C4" s="4" t="s">
        <v>545</v>
      </c>
      <c r="D4" s="4" t="s">
        <v>546</v>
      </c>
      <c r="E4" s="4" t="s">
        <v>419</v>
      </c>
      <c r="F4" s="4" t="s">
        <v>547</v>
      </c>
      <c r="G4" s="4" t="s">
        <v>548</v>
      </c>
      <c r="H4" s="4" t="s">
        <v>48</v>
      </c>
    </row>
    <row r="5" customFormat="false" ht="15.75" hidden="false" customHeight="true" outlineLevel="0" collapsed="false">
      <c r="A5" s="5" t="s">
        <v>549</v>
      </c>
      <c r="B5" s="5"/>
      <c r="C5" s="5"/>
      <c r="D5" s="5"/>
      <c r="E5" s="5"/>
      <c r="F5" s="5"/>
      <c r="G5" s="5"/>
      <c r="H5" s="24"/>
    </row>
    <row r="6" customFormat="false" ht="15.75" hidden="false" customHeight="true" outlineLevel="0" collapsed="false">
      <c r="A6" s="5" t="s">
        <v>550</v>
      </c>
      <c r="B6" s="5"/>
      <c r="C6" s="5"/>
      <c r="D6" s="5"/>
      <c r="E6" s="5"/>
      <c r="F6" s="5"/>
      <c r="G6" s="5"/>
      <c r="H6" s="24"/>
    </row>
    <row r="7" customFormat="false" ht="15.75" hidden="false" customHeight="true" outlineLevel="0" collapsed="false">
      <c r="A7" s="5" t="s">
        <v>551</v>
      </c>
      <c r="B7" s="5"/>
      <c r="C7" s="5"/>
      <c r="D7" s="5"/>
      <c r="E7" s="5"/>
      <c r="F7" s="5"/>
      <c r="G7" s="5"/>
      <c r="H7" s="24"/>
    </row>
  </sheetData>
  <mergeCells count="2">
    <mergeCell ref="A1:J1"/>
    <mergeCell ref="A2:J2"/>
  </mergeCells>
  <dataValidations count="1">
    <dataValidation allowBlank="true" errorStyle="stop" operator="between" showDropDown="false" showErrorMessage="false" showInputMessage="false" sqref="H5:H10" type="list">
      <formula1>"Draft,Approved,Applied,Reverted"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2026-06-28T14:28:34Z</dcterms:created>
  <dc:creator>openpyxl</dc:creator>
  <dc:description/>
  <dc:language>en-US</dc:language>
  <cp:lastModifiedBy>maciek szczech</cp:lastModifiedBy>
  <dcterms:modified xsi:type="dcterms:W3CDTF">2026-07-05T13:08:08Z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