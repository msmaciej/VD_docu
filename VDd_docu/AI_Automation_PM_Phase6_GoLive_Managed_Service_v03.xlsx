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Operations Issue Triage Helper" sheetId="2" state="visible" r:id="rId4"/>
    <sheet name="Lists" sheetId="3" state="visible" r:id="rId5"/>
    <sheet name="Phase5 to Phase6 Handoff" sheetId="4" state="visible" r:id="rId6"/>
    <sheet name="Go-live Checklist" sheetId="5" state="visible" r:id="rId7"/>
    <sheet name="Launch Plan" sheetId="6" state="visible" r:id="rId8"/>
    <sheet name="Monitoring &amp; Support" sheetId="7" state="visible" r:id="rId9"/>
    <sheet name="Operations Log" sheetId="8" state="visible" r:id="rId10"/>
    <sheet name="Monthly Review" sheetId="9" state="visible" r:id="rId11"/>
    <sheet name="Improvement Backlog" sheetId="10" state="visible" r:id="rId12"/>
    <sheet name="Client Handover" sheetId="11" state="visible" r:id="rId13"/>
    <sheet name="Final Phase6 Summary"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<sst xmlns="http://schemas.openxmlformats.org/spreadsheetml/2006/main" count="529" uniqueCount="415">
  <si>
    <t xml:space="preserve">AI Automation Managed Services — Phase 6: Go-live &amp; Managed Service</t>
  </si>
  <si>
    <t xml:space="preserve">Purpose</t>
  </si>
  <si>
    <t xml:space="preserve">Launch the tested MVP safely, monitor real operation, maintain service quality, and improve the automation over time.</t>
  </si>
  <si>
    <t xml:space="preserve">Input from Phase 5</t>
  </si>
  <si>
    <t xml:space="preserve">Go/No-Go decision, validated test cases, known defects, approval rules, final tested MVP, client acceptance notes.</t>
  </si>
  <si>
    <t xml:space="preserve">Main output</t>
  </si>
  <si>
    <t xml:space="preserve">Live automation + monitoring plan + support model + monthly review/improvement loop.</t>
  </si>
  <si>
    <t xml:space="preserve">How to use</t>
  </si>
  <si>
    <t xml:space="preserve">1) Fill Phase5 to Phase6 Handoff. 2) Complete Go-live Checklist. 3) Define Monitoring &amp; Support. 4) Track issues in Operations Log. 5) Use Monthly Review for managed service improvements.</t>
  </si>
  <si>
    <t xml:space="preserve">Color guide</t>
  </si>
  <si>
    <t xml:space="preserve">Grey = fixed guidance. Green = fill during go-live/operation. Blue = PM/managed-service analysis. Yellow = decision/risk note.</t>
  </si>
  <si>
    <t xml:space="preserve">Important</t>
  </si>
  <si>
    <t xml:space="preserve">Phase 6 is not 'finished and forgotten'. It is the operational service layer: monitoring, client support, quality control, reporting, and controlled improvements.</t>
  </si>
  <si>
    <t xml:space="preserve">Phase 6 Sheet Map</t>
  </si>
  <si>
    <t xml:space="preserve">Sheet</t>
  </si>
  <si>
    <t xml:space="preserve">Use</t>
  </si>
  <si>
    <t xml:space="preserve">Phase5 to Phase6 Handoff</t>
  </si>
  <si>
    <t xml:space="preserve">Transfer final testing status and launch prerequisites.</t>
  </si>
  <si>
    <t xml:space="preserve">Go-live Checklist</t>
  </si>
  <si>
    <t xml:space="preserve">Confirm readiness before production activation.</t>
  </si>
  <si>
    <t xml:space="preserve">Launch Plan</t>
  </si>
  <si>
    <t xml:space="preserve">Plan launch date, responsibilities, rollback, client communication.</t>
  </si>
  <si>
    <t xml:space="preserve">Monitoring &amp; Support</t>
  </si>
  <si>
    <t xml:space="preserve">Define what is monitored, frequency, owner, alert route, SLA.</t>
  </si>
  <si>
    <t xml:space="preserve">Operations Log</t>
  </si>
  <si>
    <t xml:space="preserve">Track live issues, failed runs, misclassifications, client requests.</t>
  </si>
  <si>
    <t xml:space="preserve">Monthly Review</t>
  </si>
  <si>
    <t xml:space="preserve">Review performance and decide improvements.</t>
  </si>
  <si>
    <t xml:space="preserve">Improvement Backlog</t>
  </si>
  <si>
    <t xml:space="preserve">Controlled list of changes after go-live.</t>
  </si>
  <si>
    <t xml:space="preserve">Client Handover</t>
  </si>
  <si>
    <t xml:space="preserve">Access, documentation, training, ownership, acceptance.</t>
  </si>
  <si>
    <t xml:space="preserve">Final Phase6 Summary</t>
  </si>
  <si>
    <t xml:space="preserve">Executive summary of launched managed service.</t>
  </si>
  <si>
    <t xml:space="preserve">We planned this PM flow:</t>
  </si>
  <si>
    <t xml:space="preserve">Phase 1 — Discovery / Analysis</t>
  </si>
  <si>
    <t xml:space="preserve">Understand client needs, channels, risks, pain points, possible package direction.</t>
  </si>
  <si>
    <t xml:space="preserve">Phase 2 — Scope Definition / MVP Design</t>
  </si>
  <si>
    <t xml:space="preserve">Convert discovery answers into a clear first project scope.</t>
  </si>
  <si>
    <t xml:space="preserve">Phase 3 — Solution Blueprint</t>
  </si>
  <si>
    <t xml:space="preserve">Design workflow logic, tools, data fields, routing, approvals, security.</t>
  </si>
  <si>
    <t xml:space="preserve">Phase 4 — MVP Build</t>
  </si>
  <si>
    <t xml:space="preserve">Build the first safe automation version.</t>
  </si>
  <si>
    <t xml:space="preserve">Phase 5 — Testing / Validation</t>
  </si>
  <si>
    <t xml:space="preserve">Test real cases, edge cases, errors, wrong classifications, approvals.</t>
  </si>
  <si>
    <t xml:space="preserve">Phase 6 — Go-live / Managed Service</t>
  </si>
  <si>
    <t xml:space="preserve">Launch, monitor, maintain, improve, report.</t>
  </si>
  <si>
    <t xml:space="preserve">Phase 6 Progress (auto-computed)</t>
  </si>
  <si>
    <t xml:space="preserve">Go-live Checklist — by Status</t>
  </si>
  <si>
    <t xml:space="preserve">Status</t>
  </si>
  <si>
    <t xml:space="preserve">Meaning</t>
  </si>
  <si>
    <t xml:space="preserve">Count</t>
  </si>
  <si>
    <t xml:space="preserve">Not Started</t>
  </si>
  <si>
    <t xml:space="preserve">Not begun.</t>
  </si>
  <si>
    <t xml:space="preserve">In Progress</t>
  </si>
  <si>
    <t xml:space="preserve">In progress.</t>
  </si>
  <si>
    <t xml:space="preserve">Done</t>
  </si>
  <si>
    <t xml:space="preserve">Complete.</t>
  </si>
  <si>
    <t xml:space="preserve">Blocked</t>
  </si>
  <si>
    <t xml:space="preserve">Blocked.</t>
  </si>
  <si>
    <t xml:space="preserve">Waiting Client</t>
  </si>
  <si>
    <t xml:space="preserve">Waiting on client action.</t>
  </si>
  <si>
    <t xml:space="preserve">Operations Log — by Status</t>
  </si>
  <si>
    <t xml:space="preserve">Logged but not triaged.</t>
  </si>
  <si>
    <t xml:space="preserve">Being worked.</t>
  </si>
  <si>
    <t xml:space="preserve">Resolved.</t>
  </si>
  <si>
    <t xml:space="preserve">Cannot proceed.</t>
  </si>
  <si>
    <t xml:space="preserve">Waiting on client.</t>
  </si>
  <si>
    <t xml:space="preserve">Improvement Backlog — by Status</t>
  </si>
  <si>
    <t xml:space="preserve">Logged, not triaged.</t>
  </si>
  <si>
    <t xml:space="preserve">Being assessed or built.</t>
  </si>
  <si>
    <t xml:space="preserve">Delivered.</t>
  </si>
  <si>
    <t xml:space="preserve">Monthly Review — by Status</t>
  </si>
  <si>
    <t xml:space="preserve">OK</t>
  </si>
  <si>
    <t xml:space="preserve">Metric in target.</t>
  </si>
  <si>
    <t xml:space="preserve">Watch</t>
  </si>
  <si>
    <t xml:space="preserve">Trending — monitor.</t>
  </si>
  <si>
    <t xml:space="preserve">Action Needed</t>
  </si>
  <si>
    <t xml:space="preserve">Triggered improvement action.</t>
  </si>
  <si>
    <t xml:space="preserve">Not Measured</t>
  </si>
  <si>
    <t xml:space="preserve">Not yet measured.</t>
  </si>
  <si>
    <t xml:space="preserve">Client Handover — by Status</t>
  </si>
  <si>
    <t xml:space="preserve">Managed service is healthy when (a) Go-live Checklist is 'Done', (b) Client Handover is 'Done', (c) Operations Log issues are being resolved within target time, and (d) Monthly Review items are mostly 'OK' or 'Watch', with 'Action Needed' items flowing into Improvement Backlog.</t>
  </si>
  <si>
    <t xml:space="preserve">Operations Issue Triage Helper — one incident or request at a time</t>
  </si>
  <si>
    <t xml:space="preserve">Use this when a live issue, error, misclassification, or client request comes in. Fill the 6 yellow inputs; the blue cells suggest priority, rollback decision, client communication, owner, and top corrective action. Then log the issue in the Operations Log with those values.</t>
  </si>
  <si>
    <t xml:space="preserve">INPUTS — about this one issue</t>
  </si>
  <si>
    <t xml:space="preserve">#</t>
  </si>
  <si>
    <t xml:space="preserve">Question</t>
  </si>
  <si>
    <t xml:space="preserve">Allowed values</t>
  </si>
  <si>
    <t xml:space="preserve">Answer</t>
  </si>
  <si>
    <t xml:space="preserve">Q1</t>
  </si>
  <si>
    <t xml:space="preserve">Q1. Issue type</t>
  </si>
  <si>
    <t xml:space="preserve">Failed Run / Wrong Classification / Wrong Processing Result / Client Request / Security/Access / API/Tool Limit / Enhancement / Other</t>
  </si>
  <si>
    <t xml:space="preserve">Failed Run</t>
  </si>
  <si>
    <t xml:space="preserve">Q2</t>
  </si>
  <si>
    <t xml:space="preserve">Q2. Impact scope</t>
  </si>
  <si>
    <t xml:space="preserve">Single message / Single category / Whole channel / All workflows</t>
  </si>
  <si>
    <t xml:space="preserve">Single message</t>
  </si>
  <si>
    <t xml:space="preserve">Q3</t>
  </si>
  <si>
    <t xml:space="preserve">Q3. Frequency</t>
  </si>
  <si>
    <t xml:space="preserve">One-off / Sporadic / Persistent (repeating)</t>
  </si>
  <si>
    <t xml:space="preserve">One-off</t>
  </si>
  <si>
    <t xml:space="preserve">Q4</t>
  </si>
  <si>
    <t xml:space="preserve">Q4. Safety / data impact</t>
  </si>
  <si>
    <t xml:space="preserve">None / Minor / Major / Critical (legal, sensitive data harm, trust)</t>
  </si>
  <si>
    <t xml:space="preserve">None</t>
  </si>
  <si>
    <t xml:space="preserve">Q5</t>
  </si>
  <si>
    <t xml:space="preserve">Q5. Cause known?</t>
  </si>
  <si>
    <t xml:space="preserve">Yes (root cause clear) / Partially / No (investigating)</t>
  </si>
  <si>
    <t xml:space="preserve">Partially</t>
  </si>
  <si>
    <t xml:space="preserve">Q6</t>
  </si>
  <si>
    <t xml:space="preserve">Q6. Client awareness</t>
  </si>
  <si>
    <t xml:space="preserve">Not noticed / Noticed not complained / Complained / Asked us directly</t>
  </si>
  <si>
    <t xml:space="preserve">Not noticed</t>
  </si>
  <si>
    <t xml:space="preserve">SUGGESTED RESPONSE (auto-calculated)</t>
  </si>
  <si>
    <t xml:space="preserve">Indicator</t>
  </si>
  <si>
    <t xml:space="preserve">Suggested Value (formula)</t>
  </si>
  <si>
    <t xml:space="preserve">Reasoning hint</t>
  </si>
  <si>
    <t xml:space="preserve">O1</t>
  </si>
  <si>
    <t xml:space="preserve">Priority</t>
  </si>
  <si>
    <t xml:space="preserve">Critical safety / all-workflows → P1. Client complained / Major → P2. Sporadic minor → P3.</t>
  </si>
  <si>
    <t xml:space="preserve">O2</t>
  </si>
  <si>
    <t xml:space="preserve">Rollback decision</t>
  </si>
  <si>
    <t xml:space="preserve">Critical → Rollback now. Major + persistent → Consider. Otherwise fix forward.</t>
  </si>
  <si>
    <t xml:space="preserve">O3</t>
  </si>
  <si>
    <t xml:space="preserve">Client communication</t>
  </si>
  <si>
    <t xml:space="preserve">Apologize for Critical/Major or client complaints. Inform if client noticed. Silent for minor one-offs.</t>
  </si>
  <si>
    <t xml:space="preserve">O4</t>
  </si>
  <si>
    <t xml:space="preserve">Owner</t>
  </si>
  <si>
    <t xml:space="preserve">Most operational issues → Service Provider. Client requests/enhancements → Shared.</t>
  </si>
  <si>
    <t xml:space="preserve">O5</t>
  </si>
  <si>
    <t xml:space="preserve">Top corrective action</t>
  </si>
  <si>
    <t xml:space="preserve">Single concrete next step tailored to issue type and cause.</t>
  </si>
  <si>
    <t xml:space="preserve">How to use this with the Operations Log / Improvement Backlog:</t>
  </si>
  <si>
    <t xml:space="preserve">  1) When a live issue, error, or client request comes in, fill the 6 yellow inputs.</t>
  </si>
  <si>
    <t xml:space="preserve">  2) Read the 5 blue suggestions.</t>
  </si>
  <si>
    <t xml:space="preserve">  3) For operational issues → log in Operations Log with the suggested Priority, Owner, Status. Transfer the corrective action.</t>
  </si>
  <si>
    <t xml:space="preserve">  4) For enhancements / client requests → log in Improvement Backlog with the suggested Priority and a note about package impact.</t>
  </si>
  <si>
    <t xml:space="preserve">Caveat: this is decision support. Live judgement may override — e.g., client trust, contract terms, or 'this is the third time this happened' may warrant escalating priority.</t>
  </si>
  <si>
    <t xml:space="preserve">Go Decision</t>
  </si>
  <si>
    <t xml:space="preserve">Risk</t>
  </si>
  <si>
    <t xml:space="preserve">Package</t>
  </si>
  <si>
    <t xml:space="preserve">Frequency</t>
  </si>
  <si>
    <t xml:space="preserve">Owner Role</t>
  </si>
  <si>
    <t xml:space="preserve">Issue Type</t>
  </si>
  <si>
    <t xml:space="preserve">Go</t>
  </si>
  <si>
    <t xml:space="preserve">Low</t>
  </si>
  <si>
    <t xml:space="preserve">Basic</t>
  </si>
  <si>
    <t xml:space="preserve">Real-time</t>
  </si>
  <si>
    <t xml:space="preserve">Client Owner</t>
  </si>
  <si>
    <t xml:space="preserve">Conditional Go</t>
  </si>
  <si>
    <t xml:space="preserve">Medium</t>
  </si>
  <si>
    <t xml:space="preserve">Pro</t>
  </si>
  <si>
    <t xml:space="preserve">Hourly</t>
  </si>
  <si>
    <t xml:space="preserve">Service Provider</t>
  </si>
  <si>
    <t xml:space="preserve">Wrong Classification</t>
  </si>
  <si>
    <t xml:space="preserve">No-Go</t>
  </si>
  <si>
    <t xml:space="preserve">High</t>
  </si>
  <si>
    <t xml:space="preserve">Managed</t>
  </si>
  <si>
    <t xml:space="preserve">Daily</t>
  </si>
  <si>
    <t xml:space="preserve">Shared</t>
  </si>
  <si>
    <t xml:space="preserve">Client Request</t>
  </si>
  <si>
    <t xml:space="preserve">Critical</t>
  </si>
  <si>
    <t xml:space="preserve">Agentic</t>
  </si>
  <si>
    <t xml:space="preserve">Weekly</t>
  </si>
  <si>
    <t xml:space="preserve">External Vendor</t>
  </si>
  <si>
    <t xml:space="preserve">Security/Access</t>
  </si>
  <si>
    <t xml:space="preserve">Mixed</t>
  </si>
  <si>
    <t xml:space="preserve">Monthly</t>
  </si>
  <si>
    <t xml:space="preserve">API/Tool Limit</t>
  </si>
  <si>
    <t xml:space="preserve">On demand</t>
  </si>
  <si>
    <t xml:space="preserve">Enhancement</t>
  </si>
  <si>
    <t xml:space="preserve">Item</t>
  </si>
  <si>
    <t xml:space="preserve">Phase 5 Result / Evidence (EDIT)</t>
  </si>
  <si>
    <t xml:space="preserve">Open Issue? (EDIT)</t>
  </si>
  <si>
    <t xml:space="preserve">Required Before Go-live (EDIT)</t>
  </si>
  <si>
    <t xml:space="preserve">Owner (EDIT)</t>
  </si>
  <si>
    <t xml:space="preserve">Go-live Impact</t>
  </si>
  <si>
    <t xml:space="preserve">PM Decision / Notes (POST)</t>
  </si>
  <si>
    <t xml:space="preserve">Go/No-Go result</t>
  </si>
  <si>
    <t xml:space="preserve">Defines whether launch is possible</t>
  </si>
  <si>
    <t xml:space="preserve">Critical defects</t>
  </si>
  <si>
    <t xml:space="preserve">Critical defects must be closed or accepted</t>
  </si>
  <si>
    <t xml:space="preserve">AI classification quality</t>
  </si>
  <si>
    <t xml:space="preserve">Confirms whether AI route is safe enough</t>
  </si>
  <si>
    <t xml:space="preserve">Approval/escalation tests</t>
  </si>
  <si>
    <t xml:space="preserve">Confirms human-control behavior</t>
  </si>
  <si>
    <t xml:space="preserve">Error monitoring tests</t>
  </si>
  <si>
    <t xml:space="preserve">Confirms failure notifications work</t>
  </si>
  <si>
    <t xml:space="preserve">Client acceptance</t>
  </si>
  <si>
    <t xml:space="preserve">Client confirms tested workflow is acceptable</t>
  </si>
  <si>
    <t xml:space="preserve">Known limitations</t>
  </si>
  <si>
    <t xml:space="preserve">Must be documented before launch</t>
  </si>
  <si>
    <t xml:space="preserve">Rollback requirement</t>
  </si>
  <si>
    <t xml:space="preserve">Needed if production launch fails</t>
  </si>
  <si>
    <t xml:space="preserve">Category</t>
  </si>
  <si>
    <t xml:space="preserve">Checklist Item</t>
  </si>
  <si>
    <t xml:space="preserve">Why it matters</t>
  </si>
  <si>
    <t xml:space="preserve">Status (EDIT)</t>
  </si>
  <si>
    <t xml:space="preserve">Due Date (EDIT)</t>
  </si>
  <si>
    <t xml:space="preserve">Evidence / Link (EDIT)</t>
  </si>
  <si>
    <t xml:space="preserve">Go-live Blocker? (EDIT)</t>
  </si>
  <si>
    <t xml:space="preserve">PM Notes (POST)</t>
  </si>
  <si>
    <t xml:space="preserve">Completeness Status (AUTO)</t>
  </si>
  <si>
    <t xml:space="preserve">Access</t>
  </si>
  <si>
    <t xml:space="preserve">Client-owned accounts connected with approved access</t>
  </si>
  <si>
    <t xml:space="preserve">Avoids dependency on private accounts</t>
  </si>
  <si>
    <t xml:space="preserve">API keys/secrets not hardcoded in scenario</t>
  </si>
  <si>
    <t xml:space="preserve">Prevents exposed credentials</t>
  </si>
  <si>
    <t xml:space="preserve">Revocation/rotation process documented</t>
  </si>
  <si>
    <t xml:space="preserve">Allows emergency access control</t>
  </si>
  <si>
    <t xml:space="preserve">Scenario</t>
  </si>
  <si>
    <t xml:space="preserve">Production scenario duplicated/backed up before launch</t>
  </si>
  <si>
    <t xml:space="preserve">Allows rollback</t>
  </si>
  <si>
    <t xml:space="preserve">Test data removed from production CRM/logs</t>
  </si>
  <si>
    <t xml:space="preserve">Keeps client data clean</t>
  </si>
  <si>
    <t xml:space="preserve">Triggers/schedule configured correctly</t>
  </si>
  <si>
    <t xml:space="preserve">Ensures automation runs as intended</t>
  </si>
  <si>
    <t xml:space="preserve">Safety</t>
  </si>
  <si>
    <t xml:space="preserve">Human approval active where required</t>
  </si>
  <si>
    <t xml:space="preserve">Prevents unsafe auto-replies/actions</t>
  </si>
  <si>
    <t xml:space="preserve">Fallback route for unknown/low-confidence cases active</t>
  </si>
  <si>
    <t xml:space="preserve">Prevents wrong routing</t>
  </si>
  <si>
    <t xml:space="preserve">Sensitive/urgent escalation route active</t>
  </si>
  <si>
    <t xml:space="preserve">Protects high-risk cases</t>
  </si>
  <si>
    <t xml:space="preserve">Monitoring</t>
  </si>
  <si>
    <t xml:space="preserve">Error handler and alerts active</t>
  </si>
  <si>
    <t xml:space="preserve">Enables fast issue response</t>
  </si>
  <si>
    <t xml:space="preserve">Audit log writing correctly</t>
  </si>
  <si>
    <t xml:space="preserve">Enables traceability</t>
  </si>
  <si>
    <t xml:space="preserve">Client</t>
  </si>
  <si>
    <t xml:space="preserve">Client knows how to review/approve items</t>
  </si>
  <si>
    <t xml:space="preserve">Supports adoption</t>
  </si>
  <si>
    <t xml:space="preserve">Client knows what is excluded from MVP</t>
  </si>
  <si>
    <t xml:space="preserve">Prevents scope misunderstanding</t>
  </si>
  <si>
    <t xml:space="preserve">Documentation</t>
  </si>
  <si>
    <t xml:space="preserve">Workflow documentation delivered</t>
  </si>
  <si>
    <t xml:space="preserve">Supports maintenance</t>
  </si>
  <si>
    <t xml:space="preserve">Known limitations documented</t>
  </si>
  <si>
    <t xml:space="preserve">Avoids false expectations</t>
  </si>
  <si>
    <t xml:space="preserve">Launch Element</t>
  </si>
  <si>
    <t xml:space="preserve">Decision / Plan (EDIT)</t>
  </si>
  <si>
    <t xml:space="preserve">Date / Time (EDIT)</t>
  </si>
  <si>
    <t xml:space="preserve">Dependencies</t>
  </si>
  <si>
    <t xml:space="preserve">Rollback Plan (EDIT)</t>
  </si>
  <si>
    <t xml:space="preserve">Client Communication (EDIT)</t>
  </si>
  <si>
    <t xml:space="preserve">Launch date/time</t>
  </si>
  <si>
    <t xml:space="preserve">No critical blockers; client acceptance</t>
  </si>
  <si>
    <t xml:space="preserve">Production activation method</t>
  </si>
  <si>
    <t xml:space="preserve">Scenario schedule/webhook activation defined</t>
  </si>
  <si>
    <t xml:space="preserve">First live monitoring window</t>
  </si>
  <si>
    <t xml:space="preserve">Service provider available during first live run</t>
  </si>
  <si>
    <t xml:space="preserve">Client notification before launch</t>
  </si>
  <si>
    <t xml:space="preserve">Client knows what will happen and when</t>
  </si>
  <si>
    <t xml:space="preserve">Rollback trigger</t>
  </si>
  <si>
    <t xml:space="preserve">Define what failure requires rollback</t>
  </si>
  <si>
    <t xml:space="preserve">Rollback steps</t>
  </si>
  <si>
    <t xml:space="preserve">Backup scenario exists</t>
  </si>
  <si>
    <t xml:space="preserve">Post-launch review meeting</t>
  </si>
  <si>
    <t xml:space="preserve">At least first operational review scheduled</t>
  </si>
  <si>
    <t xml:space="preserve">Monitoring Item</t>
  </si>
  <si>
    <t xml:space="preserve">What to Check</t>
  </si>
  <si>
    <t xml:space="preserve">Frequency (EDIT)</t>
  </si>
  <si>
    <t xml:space="preserve">Owner Role (EDIT)</t>
  </si>
  <si>
    <t xml:space="preserve">Alert Trigger / Threshold (EDIT)</t>
  </si>
  <si>
    <t xml:space="preserve">Alert Channel (EDIT)</t>
  </si>
  <si>
    <t xml:space="preserve">Response Target (EDIT)</t>
  </si>
  <si>
    <t xml:space="preserve">Escalation Rule (EDIT)</t>
  </si>
  <si>
    <t xml:space="preserve">Notes</t>
  </si>
  <si>
    <t xml:space="preserve">Scenario execution</t>
  </si>
  <si>
    <t xml:space="preserve">Failed or incomplete runs</t>
  </si>
  <si>
    <t xml:space="preserve">Any failed run</t>
  </si>
  <si>
    <t xml:space="preserve">Email/Make notification</t>
  </si>
  <si>
    <t xml:space="preserve">Same business day</t>
  </si>
  <si>
    <t xml:space="preserve">Escalate if repeated</t>
  </si>
  <si>
    <t xml:space="preserve">Wrong category or low-confidence pattern</t>
  </si>
  <si>
    <t xml:space="preserve">More than 2 wrong cases/week</t>
  </si>
  <si>
    <t xml:space="preserve">Monthly review / email</t>
  </si>
  <si>
    <t xml:space="preserve">Next review cycle</t>
  </si>
  <si>
    <t xml:space="preserve">Update prompt/rules</t>
  </si>
  <si>
    <t xml:space="preserve">Human approval queue</t>
  </si>
  <si>
    <t xml:space="preserve">Items waiting too long</t>
  </si>
  <si>
    <t xml:space="preserve">Items older than agreed limit</t>
  </si>
  <si>
    <t xml:space="preserve">Email/CRM status</t>
  </si>
  <si>
    <t xml:space="preserve">Client-defined</t>
  </si>
  <si>
    <t xml:space="preserve">Notify client owner</t>
  </si>
  <si>
    <t xml:space="preserve">CRM/logging</t>
  </si>
  <si>
    <t xml:space="preserve">Records created correctly</t>
  </si>
  <si>
    <t xml:space="preserve">Missing records or wrong fields</t>
  </si>
  <si>
    <t xml:space="preserve">Email</t>
  </si>
  <si>
    <t xml:space="preserve">Fix mapping</t>
  </si>
  <si>
    <t xml:space="preserve">Sensitive escalation</t>
  </si>
  <si>
    <t xml:space="preserve">Urgent/sensitive messages routed correctly</t>
  </si>
  <si>
    <t xml:space="preserve">Any missed escalation</t>
  </si>
  <si>
    <t xml:space="preserve">Immediate alert</t>
  </si>
  <si>
    <t xml:space="preserve">Immediate review</t>
  </si>
  <si>
    <t xml:space="preserve">Pause risky route if needed</t>
  </si>
  <si>
    <t xml:space="preserve">API usage/costs</t>
  </si>
  <si>
    <t xml:space="preserve">Unusual usage or credit consumption</t>
  </si>
  <si>
    <t xml:space="preserve">Weekly/Monthly</t>
  </si>
  <si>
    <t xml:space="preserve">Above budget/normal range</t>
  </si>
  <si>
    <t xml:space="preserve">Email/report</t>
  </si>
  <si>
    <t xml:space="preserve">Adjust schedule/model</t>
  </si>
  <si>
    <t xml:space="preserve">Client feedback</t>
  </si>
  <si>
    <t xml:space="preserve">Complaints, confusion, new needs</t>
  </si>
  <si>
    <t xml:space="preserve">Client feedback received</t>
  </si>
  <si>
    <t xml:space="preserve">Meeting/email</t>
  </si>
  <si>
    <t xml:space="preserve">Add to improvement backlog</t>
  </si>
  <si>
    <t xml:space="preserve">Date</t>
  </si>
  <si>
    <t xml:space="preserve">Issue / Event Type</t>
  </si>
  <si>
    <t xml:space="preserve">Description</t>
  </si>
  <si>
    <t xml:space="preserve">Impact</t>
  </si>
  <si>
    <t xml:space="preserve">Root Cause</t>
  </si>
  <si>
    <t xml:space="preserve">Corrective Action</t>
  </si>
  <si>
    <t xml:space="preserve">Preventive Action</t>
  </si>
  <si>
    <t xml:space="preserve">Client Informed?</t>
  </si>
  <si>
    <t xml:space="preserve">Closed Date</t>
  </si>
  <si>
    <t xml:space="preserve">Review Period</t>
  </si>
  <si>
    <t xml:space="preserve">Metric / Topic</t>
  </si>
  <si>
    <t xml:space="preserve">Target / Expectation</t>
  </si>
  <si>
    <t xml:space="preserve">Actual Result (EDIT)</t>
  </si>
  <si>
    <t xml:space="preserve">Insight / Interpretation (POST)</t>
  </si>
  <si>
    <t xml:space="preserve">Decision / Improvement (POST)</t>
  </si>
  <si>
    <t xml:space="preserve">Due Date</t>
  </si>
  <si>
    <t xml:space="preserve">Number of failed runs</t>
  </si>
  <si>
    <t xml:space="preserve">0 critical / low failed-run rate</t>
  </si>
  <si>
    <t xml:space="preserve">Wrong classifications</t>
  </si>
  <si>
    <t xml:space="preserve">Low and decreasing</t>
  </si>
  <si>
    <t xml:space="preserve">Messages routed to human review</t>
  </si>
  <si>
    <t xml:space="preserve">Useful, not excessive</t>
  </si>
  <si>
    <t xml:space="preserve">Average response/approval delay</t>
  </si>
  <si>
    <t xml:space="preserve">Within client expectation</t>
  </si>
  <si>
    <t xml:space="preserve">Client time saved</t>
  </si>
  <si>
    <t xml:space="preserve">Clear positive value</t>
  </si>
  <si>
    <t xml:space="preserve">New recurring request types</t>
  </si>
  <si>
    <t xml:space="preserve">Identify improvement needs</t>
  </si>
  <si>
    <t xml:space="preserve">Cost / API usage</t>
  </si>
  <si>
    <t xml:space="preserve">Within agreed budget</t>
  </si>
  <si>
    <t xml:space="preserve">Positive or actionable</t>
  </si>
  <si>
    <t xml:space="preserve">ID</t>
  </si>
  <si>
    <t xml:space="preserve">Improvement Request</t>
  </si>
  <si>
    <t xml:space="preserve">Source</t>
  </si>
  <si>
    <t xml:space="preserve">Business Value</t>
  </si>
  <si>
    <t xml:space="preserve">Risk / Complexity</t>
  </si>
  <si>
    <t xml:space="preserve">Package Impact</t>
  </si>
  <si>
    <t xml:space="preserve">MVP or Later</t>
  </si>
  <si>
    <t xml:space="preserve">Decision</t>
  </si>
  <si>
    <t xml:space="preserve">IMP-001</t>
  </si>
  <si>
    <t xml:space="preserve">IMP-002</t>
  </si>
  <si>
    <t xml:space="preserve">IMP-003</t>
  </si>
  <si>
    <t xml:space="preserve">IMP-004</t>
  </si>
  <si>
    <t xml:space="preserve">IMP-005</t>
  </si>
  <si>
    <t xml:space="preserve">IMP-006</t>
  </si>
  <si>
    <t xml:space="preserve">IMP-007</t>
  </si>
  <si>
    <t xml:space="preserve">IMP-008</t>
  </si>
  <si>
    <t xml:space="preserve">IMP-009</t>
  </si>
  <si>
    <t xml:space="preserve">IMP-010</t>
  </si>
  <si>
    <t xml:space="preserve">IMP-011</t>
  </si>
  <si>
    <t xml:space="preserve">IMP-012</t>
  </si>
  <si>
    <t xml:space="preserve">IMP-013</t>
  </si>
  <si>
    <t xml:space="preserve">IMP-014</t>
  </si>
  <si>
    <t xml:space="preserve">IMP-015</t>
  </si>
  <si>
    <t xml:space="preserve">IMP-016</t>
  </si>
  <si>
    <t xml:space="preserve">IMP-017</t>
  </si>
  <si>
    <t xml:space="preserve">IMP-018</t>
  </si>
  <si>
    <t xml:space="preserve">IMP-019</t>
  </si>
  <si>
    <t xml:space="preserve">IMP-020</t>
  </si>
  <si>
    <t xml:space="preserve">Handover Area</t>
  </si>
  <si>
    <t xml:space="preserve">What is Delivered / Explained</t>
  </si>
  <si>
    <t xml:space="preserve">Client Owner (EDIT)</t>
  </si>
  <si>
    <t xml:space="preserve">Service Provider Owner (EDIT)</t>
  </si>
  <si>
    <t xml:space="preserve">Workflow overview</t>
  </si>
  <si>
    <t xml:space="preserve">Explain what automation does and does not do</t>
  </si>
  <si>
    <t xml:space="preserve">Review/approval process</t>
  </si>
  <si>
    <t xml:space="preserve">Show where client reviews AI drafts or escalated items</t>
  </si>
  <si>
    <t xml:space="preserve">Access ownership</t>
  </si>
  <si>
    <t xml:space="preserve">Confirm client owns business-critical accounts</t>
  </si>
  <si>
    <t xml:space="preserve">Support process</t>
  </si>
  <si>
    <t xml:space="preserve">Explain how to report issues/change requests</t>
  </si>
  <si>
    <t xml:space="preserve">Monitoring/reporting</t>
  </si>
  <si>
    <t xml:space="preserve">Explain monitoring frequency and monthly review</t>
  </si>
  <si>
    <t xml:space="preserve">Limitations</t>
  </si>
  <si>
    <t xml:space="preserve">Explain exclusions and known limitations</t>
  </si>
  <si>
    <t xml:space="preserve">Emergency fallback</t>
  </si>
  <si>
    <t xml:space="preserve">Explain what happens if automation fails</t>
  </si>
  <si>
    <t xml:space="preserve">Acceptance confirmation</t>
  </si>
  <si>
    <t xml:space="preserve">Client confirms launch acceptance</t>
  </si>
  <si>
    <t xml:space="preserve">Field</t>
  </si>
  <si>
    <t xml:space="preserve">Summary / Decision (EDIT)</t>
  </si>
  <si>
    <t xml:space="preserve">Client / Project</t>
  </si>
  <si>
    <t xml:space="preserve">Package Direction</t>
  </si>
  <si>
    <t xml:space="preserve">Basic / Pro / Managed / Agentic / Mixed</t>
  </si>
  <si>
    <t xml:space="preserve">Go-live Date</t>
  </si>
  <si>
    <t xml:space="preserve">Live Channels</t>
  </si>
  <si>
    <t xml:space="preserve">Live Automations</t>
  </si>
  <si>
    <t xml:space="preserve">Human Approval Points</t>
  </si>
  <si>
    <t xml:space="preserve">Monitoring Model</t>
  </si>
  <si>
    <t xml:space="preserve">Support Model</t>
  </si>
  <si>
    <t xml:space="preserve">Known Limitations</t>
  </si>
  <si>
    <t xml:space="preserve">Next Review Date</t>
  </si>
  <si>
    <t xml:space="preserve">Next Improvement Priorities</t>
  </si>
  <si>
    <t xml:space="preserve">Final Phase 6 Status</t>
  </si>
  <si>
    <t xml:space="preserve">Launched / Conditional / Not Launched</t>
  </si>
  <si>
    <t xml:space="preserve">Phase 6 at a Glance (auto-computed)</t>
  </si>
  <si>
    <t xml:space="preserve">Go-live checklist items — Done</t>
  </si>
  <si>
    <t xml:space="preserve">Go-live blockers — Yes</t>
  </si>
  <si>
    <t xml:space="preserve">Client Handover items — Done</t>
  </si>
  <si>
    <t xml:space="preserve">Operations Log — issues recorded</t>
  </si>
  <si>
    <t xml:space="preserve">Operations Log — open (Not Started + In Progress)</t>
  </si>
  <si>
    <t xml:space="preserve">Operations Log — closed (Done)</t>
  </si>
  <si>
    <t xml:space="preserve">Improvement Backlog — recorded</t>
  </si>
  <si>
    <t xml:space="preserve">Improvement Backlog — Done</t>
  </si>
  <si>
    <t xml:space="preserve">Improvement Backlog — MVP scope</t>
  </si>
  <si>
    <t xml:space="preserve">Improvement Backlog — Later</t>
  </si>
  <si>
    <t xml:space="preserve">Monthly Review — Action Needed items</t>
  </si>
</sst>
</file>

<file path=xl/styles.xml><?xml version="1.0" encoding="utf-8"?>
<styleSheet xmlns="http://schemas.openxmlformats.org/spreadsheetml/2006/main">
  <numFmts count="2">
    <numFmt numFmtId="164" formatCode="General"/>
    <numFmt numFmtId="165" formatCode="General"/>
  </numFmts>
  <fonts count="12">
    <font>
      <sz val="11"/>
      <name val="Calibri"/>
      <family val="0"/>
      <charset val="1"/>
    </font>
    <font>
      <sz val="10"/>
      <name val="Arial"/>
      <family val="0"/>
    </font>
    <font>
      <sz val="10"/>
      <name val="Arial"/>
      <family val="0"/>
    </font>
    <font>
      <sz val="10"/>
      <name val="Arial"/>
      <family val="0"/>
    </font>
    <font>
      <b val="true"/>
      <sz val="14"/>
      <color rgb="FFFFFFFF"/>
      <name val="Calibri"/>
      <family val="2"/>
      <charset val="1"/>
    </font>
    <font>
      <b val="true"/>
      <sz val="11"/>
      <color rgb="FF1F4E78"/>
      <name val="Calibri"/>
      <family val="2"/>
      <charset val="1"/>
    </font>
    <font>
      <b val="true"/>
      <sz val="11"/>
      <color rgb="FFFFFFFF"/>
      <name val="Calibri"/>
      <family val="2"/>
      <charset val="1"/>
    </font>
    <font>
      <sz val="11"/>
      <color rgb="FF000000"/>
      <name val="Calibri"/>
      <family val="2"/>
      <charset val="1"/>
    </font>
    <font>
      <b val="true"/>
      <sz val="11"/>
      <name val="Calibri"/>
      <family val="2"/>
      <charset val="1"/>
    </font>
    <font>
      <b val="true"/>
      <sz val="11"/>
      <color rgb="FF000000"/>
      <name val="Calibri"/>
      <family val="2"/>
      <charset val="1"/>
    </font>
    <font>
      <i val="true"/>
      <sz val="11"/>
      <color rgb="FF000000"/>
      <name val="Calibri"/>
      <family val="2"/>
      <charset val="1"/>
    </font>
    <font>
      <b val="true"/>
      <sz val="14"/>
      <color rgb="FF000000"/>
      <name val="Calibri"/>
      <family val="2"/>
      <charset val="1"/>
    </font>
  </fonts>
  <fills count="9">
    <fill>
      <patternFill patternType="none"/>
    </fill>
    <fill>
      <patternFill patternType="gray125"/>
    </fill>
    <fill>
      <patternFill patternType="solid">
        <fgColor rgb="FF17365D"/>
        <bgColor rgb="FF333333"/>
      </patternFill>
    </fill>
    <fill>
      <patternFill patternType="solid">
        <fgColor rgb="FFD9EAF7"/>
        <bgColor rgb="FFDDEBF7"/>
      </patternFill>
    </fill>
    <fill>
      <patternFill patternType="solid">
        <fgColor rgb="FFE2F0D9"/>
        <bgColor rgb="FFE7E6E6"/>
      </patternFill>
    </fill>
    <fill>
      <patternFill patternType="solid">
        <fgColor rgb="FF1F4E78"/>
        <bgColor rgb="FF17365D"/>
      </patternFill>
    </fill>
    <fill>
      <patternFill patternType="solid">
        <fgColor rgb="FFE7E6E6"/>
        <bgColor rgb="FFDDEBF7"/>
      </patternFill>
    </fill>
    <fill>
      <patternFill patternType="solid">
        <fgColor rgb="FFFFF2CC"/>
        <bgColor rgb="FFE2F0D9"/>
      </patternFill>
    </fill>
    <fill>
      <patternFill patternType="solid">
        <fgColor rgb="FFDDEBF7"/>
        <bgColor rgb="FFD9EA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true" applyAlignment="true" applyProtection="false">
      <alignment horizontal="center" vertical="center" textRotation="0" wrapText="true" indent="0" shrinkToFit="false"/>
      <protection locked="true" hidden="false"/>
    </xf>
    <xf numFmtId="164" fontId="9" fillId="6" borderId="0"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false" indent="0" shrinkToFit="false"/>
      <protection locked="true" hidden="false"/>
    </xf>
    <xf numFmtId="164" fontId="0" fillId="8" borderId="0" xfId="0" applyFont="false" applyBorder="false" applyAlignment="true" applyProtection="false">
      <alignment horizontal="general" vertical="top" textRotation="0" wrapText="false" indent="0" shrinkToFit="false"/>
      <protection locked="true" hidden="false"/>
    </xf>
    <xf numFmtId="164" fontId="0" fillId="4" borderId="0" xfId="0" applyFont="false" applyBorder="fals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4" fontId="0" fillId="8" borderId="0" xfId="0" applyFont="fals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AF7"/>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DDEBF7"/>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3" activeCellId="0" sqref="A3"/>
    </sheetView>
  </sheetViews>
  <sheetFormatPr defaultColWidth="8.83203125" defaultRowHeight="15" zeroHeight="false" outlineLevelRow="0" outlineLevelCol="0"/>
  <cols>
    <col collapsed="false" customWidth="true" hidden="false" outlineLevel="0" max="1" min="1" style="0" width="35"/>
    <col collapsed="false" customWidth="true" hidden="false" outlineLevel="0" max="2" min="2" style="0" width="90"/>
    <col collapsed="false" customWidth="true" hidden="false" outlineLevel="0" max="3" min="3" style="0" width="13"/>
  </cols>
  <sheetData>
    <row r="1" customFormat="false" ht="45" hidden="false" customHeight="true" outlineLevel="0" collapsed="false">
      <c r="A1" s="1" t="s">
        <v>0</v>
      </c>
      <c r="B1" s="1"/>
      <c r="C1" s="1"/>
      <c r="D1" s="1"/>
      <c r="E1" s="1"/>
      <c r="F1" s="1"/>
      <c r="G1" s="1"/>
      <c r="H1" s="1"/>
      <c r="I1" s="2"/>
      <c r="J1" s="2"/>
      <c r="K1" s="2"/>
      <c r="L1" s="2"/>
    </row>
    <row r="2" customFormat="false" ht="15" hidden="false" customHeight="false" outlineLevel="0" collapsed="false">
      <c r="A2" s="2"/>
      <c r="B2" s="2"/>
      <c r="C2" s="2"/>
      <c r="D2" s="2"/>
      <c r="E2" s="2"/>
      <c r="F2" s="2"/>
      <c r="G2" s="2"/>
      <c r="H2" s="2"/>
      <c r="I2" s="2"/>
      <c r="J2" s="2"/>
      <c r="K2" s="2"/>
      <c r="L2" s="2"/>
    </row>
    <row r="3" customFormat="false" ht="15" hidden="false" customHeight="false" outlineLevel="0" collapsed="false">
      <c r="A3" s="3" t="s">
        <v>1</v>
      </c>
      <c r="B3" s="4" t="s">
        <v>2</v>
      </c>
      <c r="C3" s="2"/>
      <c r="D3" s="2"/>
      <c r="E3" s="2"/>
      <c r="F3" s="2"/>
      <c r="G3" s="2"/>
      <c r="H3" s="2"/>
      <c r="I3" s="2"/>
      <c r="J3" s="2"/>
      <c r="K3" s="2"/>
      <c r="L3" s="2"/>
    </row>
    <row r="4" customFormat="false" ht="15" hidden="false" customHeight="false" outlineLevel="0" collapsed="false">
      <c r="A4" s="3" t="s">
        <v>3</v>
      </c>
      <c r="B4" s="4" t="s">
        <v>4</v>
      </c>
      <c r="C4" s="2"/>
      <c r="D4" s="2"/>
      <c r="E4" s="2"/>
      <c r="F4" s="2"/>
      <c r="G4" s="2"/>
      <c r="H4" s="2"/>
      <c r="I4" s="2"/>
      <c r="J4" s="2"/>
      <c r="K4" s="2"/>
      <c r="L4" s="2"/>
    </row>
    <row r="5" customFormat="false" ht="15.75" hidden="false" customHeight="true" outlineLevel="0" collapsed="false">
      <c r="A5" s="3" t="s">
        <v>5</v>
      </c>
      <c r="B5" s="4" t="s">
        <v>6</v>
      </c>
      <c r="C5" s="2"/>
      <c r="D5" s="2"/>
      <c r="E5" s="2"/>
      <c r="F5" s="2"/>
      <c r="G5" s="2"/>
      <c r="H5" s="2"/>
      <c r="I5" s="2"/>
      <c r="J5" s="2"/>
      <c r="K5" s="2"/>
      <c r="L5" s="2"/>
    </row>
    <row r="6" customFormat="false" ht="15" hidden="false" customHeight="false" outlineLevel="0" collapsed="false">
      <c r="A6" s="3" t="s">
        <v>7</v>
      </c>
      <c r="B6" s="4" t="s">
        <v>8</v>
      </c>
      <c r="C6" s="2"/>
      <c r="D6" s="2"/>
      <c r="E6" s="2"/>
      <c r="F6" s="2"/>
      <c r="G6" s="2"/>
      <c r="H6" s="2"/>
      <c r="I6" s="2"/>
      <c r="J6" s="2"/>
      <c r="K6" s="2"/>
      <c r="L6" s="2"/>
    </row>
    <row r="7" customFormat="false" ht="15" hidden="false" customHeight="false" outlineLevel="0" collapsed="false">
      <c r="A7" s="3" t="s">
        <v>9</v>
      </c>
      <c r="B7" s="4" t="s">
        <v>10</v>
      </c>
      <c r="C7" s="2"/>
      <c r="D7" s="2"/>
      <c r="E7" s="2"/>
      <c r="F7" s="2"/>
      <c r="G7" s="2"/>
      <c r="H7" s="2"/>
      <c r="I7" s="2"/>
      <c r="J7" s="2"/>
      <c r="K7" s="2"/>
      <c r="L7" s="2"/>
    </row>
    <row r="8" customFormat="false" ht="15" hidden="false" customHeight="false" outlineLevel="0" collapsed="false">
      <c r="A8" s="3" t="s">
        <v>11</v>
      </c>
      <c r="B8" s="4" t="s">
        <v>12</v>
      </c>
      <c r="C8" s="2"/>
      <c r="D8" s="2"/>
      <c r="E8" s="2"/>
      <c r="F8" s="2"/>
      <c r="G8" s="2"/>
      <c r="H8" s="2"/>
      <c r="I8" s="2"/>
      <c r="J8" s="2"/>
      <c r="K8" s="2"/>
      <c r="L8" s="2"/>
    </row>
    <row r="9" customFormat="false" ht="15" hidden="false" customHeight="false" outlineLevel="0" collapsed="false">
      <c r="A9" s="2"/>
      <c r="B9" s="2"/>
      <c r="C9" s="2"/>
      <c r="D9" s="2"/>
      <c r="E9" s="2"/>
      <c r="F9" s="2"/>
      <c r="G9" s="2"/>
      <c r="H9" s="2"/>
      <c r="I9" s="2"/>
      <c r="J9" s="2"/>
      <c r="K9" s="2"/>
      <c r="L9" s="2"/>
    </row>
    <row r="10" customFormat="false" ht="15" hidden="false" customHeight="true" outlineLevel="0" collapsed="false">
      <c r="A10" s="5" t="s">
        <v>13</v>
      </c>
      <c r="B10" s="5"/>
      <c r="C10" s="5"/>
      <c r="D10" s="5"/>
      <c r="E10" s="5"/>
      <c r="F10" s="5"/>
      <c r="G10" s="5"/>
      <c r="H10" s="5"/>
      <c r="I10" s="2"/>
      <c r="J10" s="2"/>
      <c r="K10" s="2"/>
      <c r="L10" s="2"/>
    </row>
    <row r="11" customFormat="false" ht="15.75" hidden="false" customHeight="true" outlineLevel="0" collapsed="false">
      <c r="A11" s="6" t="s">
        <v>14</v>
      </c>
      <c r="B11" s="6" t="s">
        <v>15</v>
      </c>
      <c r="C11" s="2"/>
      <c r="D11" s="2"/>
      <c r="E11" s="2"/>
      <c r="F11" s="2"/>
      <c r="G11" s="2"/>
      <c r="H11" s="2"/>
      <c r="I11" s="2"/>
      <c r="J11" s="2"/>
      <c r="K11" s="2"/>
      <c r="L11" s="2"/>
    </row>
    <row r="12" customFormat="false" ht="15.75" hidden="false" customHeight="true" outlineLevel="0" collapsed="false">
      <c r="A12" s="7" t="s">
        <v>16</v>
      </c>
      <c r="B12" s="7" t="s">
        <v>17</v>
      </c>
      <c r="C12" s="2"/>
      <c r="D12" s="2"/>
      <c r="E12" s="2"/>
      <c r="F12" s="2"/>
      <c r="G12" s="2"/>
      <c r="H12" s="2"/>
      <c r="I12" s="2"/>
      <c r="J12" s="2"/>
      <c r="K12" s="2"/>
      <c r="L12" s="2"/>
    </row>
    <row r="13" customFormat="false" ht="15.75" hidden="false" customHeight="true" outlineLevel="0" collapsed="false">
      <c r="A13" s="7" t="s">
        <v>18</v>
      </c>
      <c r="B13" s="7" t="s">
        <v>19</v>
      </c>
      <c r="C13" s="2"/>
      <c r="D13" s="2"/>
      <c r="E13" s="2"/>
      <c r="F13" s="2"/>
      <c r="G13" s="2"/>
      <c r="H13" s="2"/>
      <c r="I13" s="2"/>
      <c r="J13" s="2"/>
      <c r="K13" s="2"/>
      <c r="L13" s="2"/>
    </row>
    <row r="14" customFormat="false" ht="15.75" hidden="false" customHeight="true" outlineLevel="0" collapsed="false">
      <c r="A14" s="7" t="s">
        <v>20</v>
      </c>
      <c r="B14" s="7" t="s">
        <v>21</v>
      </c>
      <c r="C14" s="2"/>
      <c r="D14" s="2"/>
      <c r="E14" s="2"/>
      <c r="F14" s="2"/>
      <c r="G14" s="2"/>
      <c r="H14" s="2"/>
      <c r="I14" s="2"/>
      <c r="J14" s="2"/>
      <c r="K14" s="2"/>
      <c r="L14" s="2"/>
    </row>
    <row r="15" customFormat="false" ht="15.75" hidden="false" customHeight="true" outlineLevel="0" collapsed="false">
      <c r="A15" s="7" t="s">
        <v>22</v>
      </c>
      <c r="B15" s="7" t="s">
        <v>23</v>
      </c>
      <c r="C15" s="2"/>
      <c r="D15" s="2"/>
      <c r="E15" s="2"/>
      <c r="F15" s="2"/>
      <c r="G15" s="2"/>
      <c r="H15" s="2"/>
      <c r="I15" s="2"/>
      <c r="J15" s="2"/>
      <c r="K15" s="2"/>
      <c r="L15" s="2"/>
    </row>
    <row r="16" customFormat="false" ht="15.75" hidden="false" customHeight="true" outlineLevel="0" collapsed="false">
      <c r="A16" s="7" t="s">
        <v>24</v>
      </c>
      <c r="B16" s="7" t="s">
        <v>25</v>
      </c>
      <c r="C16" s="2"/>
      <c r="D16" s="2"/>
      <c r="E16" s="2"/>
      <c r="F16" s="2"/>
      <c r="G16" s="2"/>
      <c r="H16" s="2"/>
      <c r="I16" s="2"/>
      <c r="J16" s="2"/>
      <c r="K16" s="2"/>
      <c r="L16" s="2"/>
    </row>
    <row r="17" customFormat="false" ht="15.75" hidden="false" customHeight="true" outlineLevel="0" collapsed="false">
      <c r="A17" s="7" t="s">
        <v>26</v>
      </c>
      <c r="B17" s="7" t="s">
        <v>27</v>
      </c>
      <c r="C17" s="2"/>
      <c r="D17" s="2"/>
      <c r="E17" s="2"/>
      <c r="F17" s="2"/>
      <c r="G17" s="2"/>
      <c r="H17" s="2"/>
      <c r="I17" s="2"/>
      <c r="J17" s="2"/>
      <c r="K17" s="2"/>
      <c r="L17" s="2"/>
    </row>
    <row r="18" customFormat="false" ht="15.75" hidden="false" customHeight="true" outlineLevel="0" collapsed="false">
      <c r="A18" s="7" t="s">
        <v>28</v>
      </c>
      <c r="B18" s="7" t="s">
        <v>29</v>
      </c>
      <c r="C18" s="2"/>
      <c r="D18" s="2"/>
      <c r="E18" s="2"/>
      <c r="F18" s="2"/>
      <c r="G18" s="2"/>
      <c r="H18" s="2"/>
      <c r="I18" s="2"/>
      <c r="J18" s="2"/>
      <c r="K18" s="2"/>
      <c r="L18" s="2"/>
    </row>
    <row r="19" customFormat="false" ht="15.75" hidden="false" customHeight="true" outlineLevel="0" collapsed="false">
      <c r="A19" s="7" t="s">
        <v>30</v>
      </c>
      <c r="B19" s="7" t="s">
        <v>31</v>
      </c>
      <c r="C19" s="2"/>
      <c r="D19" s="2"/>
      <c r="E19" s="2"/>
      <c r="F19" s="2"/>
      <c r="G19" s="2"/>
      <c r="H19" s="2"/>
      <c r="I19" s="2"/>
      <c r="J19" s="2"/>
      <c r="K19" s="2"/>
      <c r="L19" s="2"/>
    </row>
    <row r="20" customFormat="false" ht="15.75" hidden="false" customHeight="true" outlineLevel="0" collapsed="false">
      <c r="A20" s="7" t="s">
        <v>32</v>
      </c>
      <c r="B20" s="7" t="s">
        <v>33</v>
      </c>
      <c r="C20" s="2"/>
      <c r="D20" s="2"/>
      <c r="E20" s="2"/>
      <c r="F20" s="2"/>
      <c r="G20" s="2"/>
      <c r="H20" s="2"/>
      <c r="I20" s="2"/>
      <c r="J20" s="2"/>
      <c r="K20" s="2"/>
      <c r="L20" s="2"/>
    </row>
    <row r="21" customFormat="false" ht="15" hidden="false" customHeight="false" outlineLevel="0" collapsed="false">
      <c r="A21" s="2"/>
      <c r="B21" s="2"/>
      <c r="C21" s="2"/>
      <c r="D21" s="2"/>
      <c r="E21" s="2"/>
      <c r="F21" s="2"/>
      <c r="G21" s="2"/>
      <c r="H21" s="2"/>
      <c r="I21" s="2"/>
      <c r="J21" s="2"/>
      <c r="K21" s="2"/>
      <c r="L21" s="2"/>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
      <c r="B23" s="2"/>
      <c r="C23" s="2"/>
      <c r="D23" s="2"/>
      <c r="E23" s="2"/>
      <c r="F23" s="2"/>
      <c r="G23" s="2"/>
      <c r="H23" s="2"/>
      <c r="I23" s="2"/>
      <c r="J23" s="2"/>
      <c r="K23" s="2"/>
      <c r="L23" s="2"/>
    </row>
    <row r="24" customFormat="false" ht="15" hidden="false" customHeight="false" outlineLevel="0" collapsed="false">
      <c r="A24" s="0" t="s">
        <v>34</v>
      </c>
      <c r="B24" s="2"/>
      <c r="C24" s="2"/>
      <c r="D24" s="2"/>
      <c r="E24" s="2"/>
      <c r="F24" s="2"/>
      <c r="G24" s="2"/>
      <c r="H24" s="2"/>
      <c r="I24" s="2"/>
      <c r="J24" s="2"/>
      <c r="K24" s="2"/>
      <c r="L24" s="2"/>
    </row>
    <row r="25" customFormat="false" ht="15" hidden="false" customHeight="false" outlineLevel="0" collapsed="false">
      <c r="B25" s="2"/>
      <c r="C25" s="2"/>
      <c r="D25" s="2"/>
      <c r="E25" s="2"/>
      <c r="F25" s="2"/>
      <c r="G25" s="2"/>
      <c r="H25" s="2"/>
      <c r="I25" s="2"/>
      <c r="J25" s="2"/>
      <c r="K25" s="2"/>
      <c r="L25" s="2"/>
    </row>
    <row r="26" customFormat="false" ht="15" hidden="false" customHeight="false" outlineLevel="0" collapsed="false">
      <c r="A26" s="8" t="s">
        <v>35</v>
      </c>
      <c r="B26" s="2"/>
      <c r="C26" s="2"/>
      <c r="D26" s="2"/>
      <c r="E26" s="2"/>
      <c r="F26" s="2"/>
      <c r="G26" s="2"/>
      <c r="H26" s="2"/>
      <c r="I26" s="2"/>
      <c r="J26" s="2"/>
      <c r="K26" s="2"/>
      <c r="L26" s="2"/>
    </row>
    <row r="27" customFormat="false" ht="15" hidden="false" customHeight="false" outlineLevel="0" collapsed="false">
      <c r="A27" s="0" t="s">
        <v>36</v>
      </c>
      <c r="B27" s="2"/>
      <c r="C27" s="2"/>
      <c r="D27" s="2"/>
      <c r="E27" s="2"/>
      <c r="F27" s="2"/>
      <c r="G27" s="2"/>
      <c r="H27" s="2"/>
      <c r="I27" s="2"/>
      <c r="J27" s="2"/>
      <c r="K27" s="2"/>
      <c r="L27" s="2"/>
    </row>
    <row r="28" customFormat="false" ht="15" hidden="false" customHeight="false" outlineLevel="0" collapsed="false">
      <c r="B28" s="2"/>
      <c r="C28" s="2"/>
      <c r="D28" s="2"/>
      <c r="E28" s="2"/>
      <c r="F28" s="2"/>
      <c r="G28" s="2"/>
      <c r="H28" s="2"/>
      <c r="I28" s="2"/>
      <c r="J28" s="2"/>
      <c r="K28" s="2"/>
      <c r="L28" s="2"/>
    </row>
    <row r="29" customFormat="false" ht="15" hidden="false" customHeight="false" outlineLevel="0" collapsed="false">
      <c r="A29" s="8" t="s">
        <v>37</v>
      </c>
      <c r="B29" s="2"/>
      <c r="C29" s="2"/>
      <c r="D29" s="2"/>
      <c r="E29" s="2"/>
      <c r="F29" s="2"/>
      <c r="G29" s="2"/>
      <c r="H29" s="2"/>
      <c r="I29" s="2"/>
      <c r="J29" s="2"/>
      <c r="K29" s="2"/>
      <c r="L29" s="2"/>
    </row>
    <row r="30" customFormat="false" ht="15" hidden="false" customHeight="false" outlineLevel="0" collapsed="false">
      <c r="A30" s="0" t="s">
        <v>38</v>
      </c>
      <c r="B30" s="2"/>
      <c r="C30" s="2"/>
      <c r="D30" s="2"/>
      <c r="E30" s="2"/>
      <c r="F30" s="2"/>
      <c r="G30" s="2"/>
      <c r="H30" s="2"/>
      <c r="I30" s="2"/>
      <c r="J30" s="2"/>
      <c r="K30" s="2"/>
      <c r="L30" s="2"/>
    </row>
    <row r="31" customFormat="false" ht="15" hidden="false" customHeight="false" outlineLevel="0" collapsed="false">
      <c r="B31" s="2"/>
      <c r="C31" s="2"/>
      <c r="D31" s="2"/>
      <c r="E31" s="2"/>
      <c r="F31" s="2"/>
      <c r="G31" s="2"/>
      <c r="H31" s="2"/>
      <c r="I31" s="2"/>
      <c r="J31" s="2"/>
      <c r="K31" s="2"/>
      <c r="L31" s="2"/>
    </row>
    <row r="32" customFormat="false" ht="15" hidden="false" customHeight="false" outlineLevel="0" collapsed="false">
      <c r="A32" s="8" t="s">
        <v>39</v>
      </c>
      <c r="B32" s="2"/>
      <c r="C32" s="2"/>
      <c r="D32" s="2"/>
      <c r="E32" s="2"/>
      <c r="F32" s="2"/>
      <c r="G32" s="2"/>
      <c r="H32" s="2"/>
      <c r="I32" s="2"/>
      <c r="J32" s="2"/>
      <c r="K32" s="2"/>
      <c r="L32" s="2"/>
    </row>
    <row r="33" customFormat="false" ht="15" hidden="false" customHeight="false" outlineLevel="0" collapsed="false">
      <c r="A33" s="0" t="s">
        <v>40</v>
      </c>
      <c r="B33" s="2"/>
      <c r="C33" s="2"/>
      <c r="D33" s="2"/>
      <c r="E33" s="2"/>
      <c r="F33" s="2"/>
      <c r="G33" s="2"/>
      <c r="H33" s="2"/>
      <c r="I33" s="2"/>
      <c r="J33" s="2"/>
      <c r="K33" s="2"/>
      <c r="L33" s="2"/>
    </row>
    <row r="34" customFormat="false" ht="15" hidden="false" customHeight="false" outlineLevel="0" collapsed="false">
      <c r="B34" s="2"/>
      <c r="C34" s="2"/>
      <c r="D34" s="2"/>
      <c r="E34" s="2"/>
      <c r="F34" s="2"/>
      <c r="G34" s="2"/>
      <c r="H34" s="2"/>
      <c r="I34" s="2"/>
      <c r="J34" s="2"/>
      <c r="K34" s="2"/>
      <c r="L34" s="2"/>
    </row>
    <row r="35" customFormat="false" ht="15" hidden="false" customHeight="false" outlineLevel="0" collapsed="false">
      <c r="A35" s="8" t="s">
        <v>41</v>
      </c>
      <c r="B35" s="2"/>
      <c r="C35" s="2"/>
      <c r="D35" s="2"/>
      <c r="E35" s="2"/>
      <c r="F35" s="2"/>
      <c r="G35" s="2"/>
      <c r="H35" s="2"/>
      <c r="I35" s="2"/>
      <c r="J35" s="2"/>
      <c r="K35" s="2"/>
      <c r="L35" s="2"/>
    </row>
    <row r="36" customFormat="false" ht="15" hidden="false" customHeight="false" outlineLevel="0" collapsed="false">
      <c r="A36" s="0" t="s">
        <v>42</v>
      </c>
      <c r="B36" s="2"/>
      <c r="C36" s="2"/>
      <c r="D36" s="2"/>
      <c r="E36" s="2"/>
      <c r="F36" s="2"/>
      <c r="G36" s="2"/>
      <c r="H36" s="2"/>
      <c r="I36" s="2"/>
      <c r="J36" s="2"/>
      <c r="K36" s="2"/>
      <c r="L36" s="2"/>
    </row>
    <row r="37" customFormat="false" ht="15" hidden="false" customHeight="false" outlineLevel="0" collapsed="false">
      <c r="B37" s="2"/>
      <c r="C37" s="2"/>
      <c r="D37" s="2"/>
      <c r="E37" s="2"/>
      <c r="F37" s="2"/>
      <c r="G37" s="2"/>
      <c r="H37" s="2"/>
      <c r="I37" s="2"/>
      <c r="J37" s="2"/>
      <c r="K37" s="2"/>
      <c r="L37" s="2"/>
    </row>
    <row r="38" customFormat="false" ht="15" hidden="false" customHeight="false" outlineLevel="0" collapsed="false">
      <c r="A38" s="8" t="s">
        <v>43</v>
      </c>
      <c r="B38" s="2"/>
      <c r="C38" s="2"/>
      <c r="D38" s="2"/>
      <c r="E38" s="2"/>
      <c r="F38" s="2"/>
      <c r="G38" s="2"/>
      <c r="H38" s="2"/>
      <c r="I38" s="2"/>
      <c r="J38" s="2"/>
      <c r="K38" s="2"/>
      <c r="L38" s="2"/>
    </row>
    <row r="39" customFormat="false" ht="15" hidden="false" customHeight="false" outlineLevel="0" collapsed="false">
      <c r="A39" s="0" t="s">
        <v>44</v>
      </c>
      <c r="B39" s="2"/>
      <c r="C39" s="2"/>
      <c r="D39" s="2"/>
      <c r="E39" s="2"/>
      <c r="F39" s="2"/>
      <c r="G39" s="2"/>
      <c r="H39" s="2"/>
      <c r="I39" s="2"/>
      <c r="J39" s="2"/>
      <c r="K39" s="2"/>
      <c r="L39" s="2"/>
    </row>
    <row r="40" customFormat="false" ht="15" hidden="false" customHeight="false" outlineLevel="0" collapsed="false">
      <c r="B40" s="2"/>
      <c r="C40" s="2"/>
      <c r="D40" s="2"/>
      <c r="E40" s="2"/>
      <c r="F40" s="2"/>
      <c r="G40" s="2"/>
      <c r="H40" s="2"/>
      <c r="I40" s="2"/>
      <c r="J40" s="2"/>
      <c r="K40" s="2"/>
      <c r="L40" s="2"/>
    </row>
    <row r="41" customFormat="false" ht="15" hidden="false" customHeight="false" outlineLevel="0" collapsed="false">
      <c r="A41" s="8" t="s">
        <v>45</v>
      </c>
      <c r="B41" s="2"/>
      <c r="C41" s="2"/>
      <c r="D41" s="2"/>
      <c r="E41" s="2"/>
      <c r="F41" s="2"/>
      <c r="G41" s="2"/>
      <c r="H41" s="2"/>
      <c r="I41" s="2"/>
      <c r="J41" s="2"/>
      <c r="K41" s="2"/>
      <c r="L41" s="2"/>
    </row>
    <row r="42" customFormat="false" ht="15" hidden="false" customHeight="false" outlineLevel="0" collapsed="false">
      <c r="A42" s="0" t="s">
        <v>46</v>
      </c>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21.75" hidden="false" customHeight="true" outlineLevel="0" collapsed="false">
      <c r="A44" s="9" t="s">
        <v>47</v>
      </c>
      <c r="B44" s="9"/>
      <c r="C44" s="9"/>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true" outlineLevel="0" collapsed="false">
      <c r="A46" s="10" t="s">
        <v>48</v>
      </c>
      <c r="B46" s="10"/>
      <c r="C46" s="10"/>
      <c r="D46" s="2"/>
      <c r="E46" s="2"/>
      <c r="F46" s="2"/>
      <c r="G46" s="2"/>
      <c r="H46" s="2"/>
      <c r="I46" s="2"/>
      <c r="J46" s="2"/>
      <c r="K46" s="2"/>
      <c r="L46" s="2"/>
    </row>
    <row r="47" customFormat="false" ht="15.75" hidden="false" customHeight="true" outlineLevel="0" collapsed="false">
      <c r="A47" s="11" t="s">
        <v>49</v>
      </c>
      <c r="B47" s="11" t="s">
        <v>50</v>
      </c>
      <c r="C47" s="11" t="s">
        <v>51</v>
      </c>
      <c r="D47" s="2"/>
      <c r="E47" s="2"/>
      <c r="F47" s="2"/>
      <c r="G47" s="2"/>
      <c r="H47" s="2"/>
      <c r="I47" s="2"/>
      <c r="J47" s="2"/>
      <c r="K47" s="2"/>
      <c r="L47" s="2"/>
    </row>
    <row r="48" customFormat="false" ht="15.75" hidden="false" customHeight="true" outlineLevel="0" collapsed="false">
      <c r="A48" s="12" t="s">
        <v>52</v>
      </c>
      <c r="B48" s="13" t="s">
        <v>53</v>
      </c>
      <c r="C48" s="14" t="n">
        <f aca="false">COUNTIF('Go-live Checklist'!D2:D50,"Not Started")</f>
        <v>15</v>
      </c>
      <c r="D48" s="2"/>
      <c r="E48" s="2"/>
      <c r="F48" s="2"/>
      <c r="G48" s="2"/>
      <c r="H48" s="2"/>
      <c r="I48" s="2"/>
      <c r="J48" s="2"/>
      <c r="K48" s="2"/>
      <c r="L48" s="2"/>
    </row>
    <row r="49" customFormat="false" ht="15.75" hidden="false" customHeight="true" outlineLevel="0" collapsed="false">
      <c r="A49" s="12" t="s">
        <v>54</v>
      </c>
      <c r="B49" s="13" t="s">
        <v>55</v>
      </c>
      <c r="C49" s="14" t="n">
        <f aca="false">COUNTIF('Go-live Checklist'!D2:D50,"In Progress")</f>
        <v>0</v>
      </c>
      <c r="D49" s="2"/>
      <c r="E49" s="2"/>
      <c r="F49" s="2"/>
      <c r="G49" s="2"/>
      <c r="H49" s="2"/>
      <c r="I49" s="2"/>
      <c r="J49" s="2"/>
      <c r="K49" s="2"/>
      <c r="L49" s="2"/>
    </row>
    <row r="50" customFormat="false" ht="15.75" hidden="false" customHeight="true" outlineLevel="0" collapsed="false">
      <c r="A50" s="12" t="s">
        <v>56</v>
      </c>
      <c r="B50" s="13" t="s">
        <v>57</v>
      </c>
      <c r="C50" s="14" t="n">
        <f aca="false">COUNTIF('Go-live Checklist'!D2:D50,"Done")</f>
        <v>0</v>
      </c>
      <c r="D50" s="2"/>
      <c r="E50" s="2"/>
      <c r="F50" s="2"/>
      <c r="G50" s="2"/>
      <c r="H50" s="2"/>
      <c r="I50" s="2"/>
      <c r="J50" s="2"/>
      <c r="K50" s="2"/>
      <c r="L50" s="2"/>
    </row>
    <row r="51" customFormat="false" ht="15.75" hidden="false" customHeight="true" outlineLevel="0" collapsed="false">
      <c r="A51" s="12" t="s">
        <v>58</v>
      </c>
      <c r="B51" s="13" t="s">
        <v>59</v>
      </c>
      <c r="C51" s="14" t="n">
        <f aca="false">COUNTIF('Go-live Checklist'!D2:D50,"Blocked")</f>
        <v>0</v>
      </c>
      <c r="D51" s="2"/>
      <c r="E51" s="2"/>
      <c r="F51" s="2"/>
      <c r="G51" s="2"/>
      <c r="H51" s="2"/>
      <c r="I51" s="2"/>
      <c r="J51" s="2"/>
      <c r="K51" s="2"/>
      <c r="L51" s="2"/>
    </row>
    <row r="52" customFormat="false" ht="15.75" hidden="false" customHeight="true" outlineLevel="0" collapsed="false">
      <c r="A52" s="12" t="s">
        <v>60</v>
      </c>
      <c r="B52" s="13" t="s">
        <v>61</v>
      </c>
      <c r="C52" s="14" t="n">
        <f aca="false">COUNTIF('Go-live Checklist'!D2:D50,"Waiting Client")</f>
        <v>0</v>
      </c>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true" outlineLevel="0" collapsed="false">
      <c r="A54" s="10" t="s">
        <v>62</v>
      </c>
      <c r="B54" s="10"/>
      <c r="C54" s="10"/>
      <c r="D54" s="2"/>
      <c r="E54" s="2"/>
      <c r="F54" s="2"/>
      <c r="G54" s="2"/>
      <c r="H54" s="2"/>
      <c r="I54" s="2"/>
      <c r="J54" s="2"/>
      <c r="K54" s="2"/>
      <c r="L54" s="2"/>
    </row>
    <row r="55" customFormat="false" ht="15.75" hidden="false" customHeight="true" outlineLevel="0" collapsed="false">
      <c r="A55" s="11" t="s">
        <v>49</v>
      </c>
      <c r="B55" s="11" t="s">
        <v>50</v>
      </c>
      <c r="C55" s="11" t="s">
        <v>51</v>
      </c>
      <c r="D55" s="2"/>
      <c r="E55" s="2"/>
      <c r="F55" s="2"/>
      <c r="G55" s="2"/>
      <c r="H55" s="2"/>
      <c r="I55" s="2"/>
      <c r="J55" s="2"/>
      <c r="K55" s="2"/>
      <c r="L55" s="2"/>
    </row>
    <row r="56" customFormat="false" ht="15.75" hidden="false" customHeight="true" outlineLevel="0" collapsed="false">
      <c r="A56" s="12" t="s">
        <v>52</v>
      </c>
      <c r="B56" s="13" t="s">
        <v>63</v>
      </c>
      <c r="C56" s="14" t="n">
        <f aca="false">COUNTIF('Operations Log'!G2:G200,"Not Started")</f>
        <v>0</v>
      </c>
      <c r="D56" s="2"/>
      <c r="E56" s="2"/>
      <c r="F56" s="2"/>
      <c r="G56" s="2"/>
      <c r="H56" s="2"/>
      <c r="I56" s="2"/>
      <c r="J56" s="2"/>
      <c r="K56" s="2"/>
      <c r="L56" s="2"/>
    </row>
    <row r="57" customFormat="false" ht="15.75" hidden="false" customHeight="true" outlineLevel="0" collapsed="false">
      <c r="A57" s="12" t="s">
        <v>54</v>
      </c>
      <c r="B57" s="13" t="s">
        <v>64</v>
      </c>
      <c r="C57" s="14" t="n">
        <f aca="false">COUNTIF('Operations Log'!G2:G200,"In Progress")</f>
        <v>0</v>
      </c>
      <c r="D57" s="2"/>
      <c r="E57" s="2"/>
      <c r="F57" s="2"/>
      <c r="G57" s="2"/>
      <c r="H57" s="2"/>
      <c r="I57" s="2"/>
      <c r="J57" s="2"/>
      <c r="K57" s="2"/>
      <c r="L57" s="2"/>
    </row>
    <row r="58" customFormat="false" ht="15.75" hidden="false" customHeight="true" outlineLevel="0" collapsed="false">
      <c r="A58" s="12" t="s">
        <v>56</v>
      </c>
      <c r="B58" s="13" t="s">
        <v>65</v>
      </c>
      <c r="C58" s="14" t="n">
        <f aca="false">COUNTIF('Operations Log'!G2:G200,"Done")</f>
        <v>0</v>
      </c>
      <c r="D58" s="2"/>
      <c r="E58" s="2"/>
      <c r="F58" s="2"/>
      <c r="G58" s="2"/>
      <c r="H58" s="2"/>
      <c r="I58" s="2"/>
      <c r="J58" s="2"/>
      <c r="K58" s="2"/>
      <c r="L58" s="2"/>
    </row>
    <row r="59" customFormat="false" ht="15.75" hidden="false" customHeight="true" outlineLevel="0" collapsed="false">
      <c r="A59" s="12" t="s">
        <v>58</v>
      </c>
      <c r="B59" s="13" t="s">
        <v>66</v>
      </c>
      <c r="C59" s="14" t="n">
        <f aca="false">COUNTIF('Operations Log'!G2:G200,"Blocked")</f>
        <v>0</v>
      </c>
      <c r="D59" s="2"/>
      <c r="E59" s="2"/>
      <c r="F59" s="2"/>
      <c r="G59" s="2"/>
      <c r="H59" s="2"/>
      <c r="I59" s="2"/>
      <c r="J59" s="2"/>
      <c r="K59" s="2"/>
      <c r="L59" s="2"/>
    </row>
    <row r="60" customFormat="false" ht="15.75" hidden="false" customHeight="true" outlineLevel="0" collapsed="false">
      <c r="A60" s="12" t="s">
        <v>60</v>
      </c>
      <c r="B60" s="13" t="s">
        <v>67</v>
      </c>
      <c r="C60" s="14" t="n">
        <f aca="false">COUNTIF('Operations Log'!G2:G200,"Waiting Client")</f>
        <v>0</v>
      </c>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true" outlineLevel="0" collapsed="false">
      <c r="A62" s="10" t="s">
        <v>68</v>
      </c>
      <c r="B62" s="10"/>
      <c r="C62" s="10"/>
      <c r="D62" s="2"/>
      <c r="E62" s="2"/>
      <c r="F62" s="2"/>
      <c r="G62" s="2"/>
      <c r="H62" s="2"/>
      <c r="I62" s="2"/>
      <c r="J62" s="2"/>
      <c r="K62" s="2"/>
      <c r="L62" s="2"/>
    </row>
    <row r="63" customFormat="false" ht="15.75" hidden="false" customHeight="true" outlineLevel="0" collapsed="false">
      <c r="A63" s="11" t="s">
        <v>49</v>
      </c>
      <c r="B63" s="11" t="s">
        <v>50</v>
      </c>
      <c r="C63" s="11" t="s">
        <v>51</v>
      </c>
      <c r="D63" s="2"/>
      <c r="E63" s="2"/>
      <c r="F63" s="2"/>
      <c r="G63" s="2"/>
      <c r="H63" s="2"/>
      <c r="I63" s="2"/>
      <c r="J63" s="2"/>
      <c r="K63" s="2"/>
      <c r="L63" s="2"/>
    </row>
    <row r="64" customFormat="false" ht="15.75" hidden="false" customHeight="true" outlineLevel="0" collapsed="false">
      <c r="A64" s="12" t="s">
        <v>52</v>
      </c>
      <c r="B64" s="13" t="s">
        <v>69</v>
      </c>
      <c r="C64" s="14" t="n">
        <f aca="false">COUNTIF('Improvement Backlog'!H2:H100,"Not Started")</f>
        <v>0</v>
      </c>
      <c r="D64" s="2"/>
      <c r="E64" s="2"/>
      <c r="F64" s="2"/>
      <c r="G64" s="2"/>
      <c r="H64" s="2"/>
      <c r="I64" s="2"/>
      <c r="J64" s="2"/>
      <c r="K64" s="2"/>
      <c r="L64" s="2"/>
    </row>
    <row r="65" customFormat="false" ht="15.75" hidden="false" customHeight="true" outlineLevel="0" collapsed="false">
      <c r="A65" s="12" t="s">
        <v>54</v>
      </c>
      <c r="B65" s="13" t="s">
        <v>70</v>
      </c>
      <c r="C65" s="14" t="n">
        <f aca="false">COUNTIF('Improvement Backlog'!H2:H100,"In Progress")</f>
        <v>0</v>
      </c>
      <c r="D65" s="2"/>
      <c r="E65" s="2"/>
      <c r="F65" s="2"/>
      <c r="G65" s="2"/>
      <c r="H65" s="2"/>
      <c r="I65" s="2"/>
      <c r="J65" s="2"/>
      <c r="K65" s="2"/>
      <c r="L65" s="2"/>
    </row>
    <row r="66" customFormat="false" ht="15.75" hidden="false" customHeight="true" outlineLevel="0" collapsed="false">
      <c r="A66" s="12" t="s">
        <v>56</v>
      </c>
      <c r="B66" s="13" t="s">
        <v>71</v>
      </c>
      <c r="C66" s="14" t="n">
        <f aca="false">COUNTIF('Improvement Backlog'!H2:H100,"Done")</f>
        <v>0</v>
      </c>
      <c r="D66" s="2"/>
      <c r="E66" s="2"/>
      <c r="F66" s="2"/>
      <c r="G66" s="2"/>
      <c r="H66" s="2"/>
      <c r="I66" s="2"/>
      <c r="J66" s="2"/>
      <c r="K66" s="2"/>
      <c r="L66" s="2"/>
    </row>
    <row r="67" customFormat="false" ht="15.75" hidden="false" customHeight="true" outlineLevel="0" collapsed="false">
      <c r="A67" s="12" t="s">
        <v>58</v>
      </c>
      <c r="B67" s="13" t="s">
        <v>66</v>
      </c>
      <c r="C67" s="14" t="n">
        <f aca="false">COUNTIF('Improvement Backlog'!H2:H100,"Blocked")</f>
        <v>0</v>
      </c>
      <c r="D67" s="2"/>
      <c r="E67" s="2"/>
      <c r="F67" s="2"/>
      <c r="G67" s="2"/>
      <c r="H67" s="2"/>
      <c r="I67" s="2"/>
      <c r="J67" s="2"/>
      <c r="K67" s="2"/>
      <c r="L67" s="2"/>
    </row>
    <row r="68" customFormat="false" ht="15.75" hidden="false" customHeight="true" outlineLevel="0" collapsed="false">
      <c r="A68" s="12" t="s">
        <v>60</v>
      </c>
      <c r="B68" s="13" t="s">
        <v>67</v>
      </c>
      <c r="C68" s="14" t="n">
        <f aca="false">COUNTIF('Improvement Backlog'!H2:H100,"Waiting Client")</f>
        <v>0</v>
      </c>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true" outlineLevel="0" collapsed="false">
      <c r="A70" s="10" t="s">
        <v>72</v>
      </c>
      <c r="B70" s="10"/>
      <c r="C70" s="10"/>
      <c r="D70" s="2"/>
      <c r="E70" s="2"/>
      <c r="F70" s="2"/>
      <c r="G70" s="2"/>
      <c r="H70" s="2"/>
      <c r="I70" s="2"/>
      <c r="J70" s="2"/>
      <c r="K70" s="2"/>
      <c r="L70" s="2"/>
    </row>
    <row r="71" customFormat="false" ht="15.75" hidden="false" customHeight="true" outlineLevel="0" collapsed="false">
      <c r="A71" s="11" t="s">
        <v>49</v>
      </c>
      <c r="B71" s="11" t="s">
        <v>50</v>
      </c>
      <c r="C71" s="11" t="s">
        <v>51</v>
      </c>
      <c r="D71" s="2"/>
      <c r="E71" s="2"/>
      <c r="F71" s="2"/>
      <c r="G71" s="2"/>
      <c r="H71" s="2"/>
      <c r="I71" s="2"/>
      <c r="J71" s="2"/>
      <c r="K71" s="2"/>
      <c r="L71" s="2"/>
    </row>
    <row r="72" customFormat="false" ht="15.75" hidden="false" customHeight="true" outlineLevel="0" collapsed="false">
      <c r="A72" s="12" t="s">
        <v>73</v>
      </c>
      <c r="B72" s="13" t="s">
        <v>74</v>
      </c>
      <c r="C72" s="14" t="n">
        <f aca="false">COUNTIF('Monthly Review'!E2:E100,"OK")</f>
        <v>0</v>
      </c>
      <c r="D72" s="2"/>
      <c r="E72" s="2"/>
      <c r="F72" s="2"/>
      <c r="G72" s="2"/>
      <c r="H72" s="2"/>
      <c r="I72" s="2"/>
      <c r="J72" s="2"/>
      <c r="K72" s="2"/>
      <c r="L72" s="2"/>
    </row>
    <row r="73" customFormat="false" ht="15.75" hidden="false" customHeight="true" outlineLevel="0" collapsed="false">
      <c r="A73" s="12" t="s">
        <v>75</v>
      </c>
      <c r="B73" s="13" t="s">
        <v>76</v>
      </c>
      <c r="C73" s="14" t="n">
        <f aca="false">COUNTIF('Monthly Review'!E2:E100,"Watch")</f>
        <v>0</v>
      </c>
      <c r="D73" s="2"/>
      <c r="E73" s="2"/>
      <c r="F73" s="2"/>
      <c r="G73" s="2"/>
      <c r="H73" s="2"/>
      <c r="I73" s="2"/>
      <c r="J73" s="2"/>
      <c r="K73" s="2"/>
      <c r="L73" s="2"/>
    </row>
    <row r="74" customFormat="false" ht="15.75" hidden="false" customHeight="true" outlineLevel="0" collapsed="false">
      <c r="A74" s="12" t="s">
        <v>77</v>
      </c>
      <c r="B74" s="13" t="s">
        <v>78</v>
      </c>
      <c r="C74" s="14" t="n">
        <f aca="false">COUNTIF('Monthly Review'!E2:E100,"Action Needed")</f>
        <v>0</v>
      </c>
      <c r="D74" s="2"/>
      <c r="E74" s="2"/>
      <c r="F74" s="2"/>
      <c r="G74" s="2"/>
      <c r="H74" s="2"/>
      <c r="I74" s="2"/>
      <c r="J74" s="2"/>
      <c r="K74" s="2"/>
      <c r="L74" s="2"/>
    </row>
    <row r="75" customFormat="false" ht="15.75" hidden="false" customHeight="true" outlineLevel="0" collapsed="false">
      <c r="A75" s="12" t="s">
        <v>79</v>
      </c>
      <c r="B75" s="13" t="s">
        <v>80</v>
      </c>
      <c r="C75" s="14" t="n">
        <f aca="false">COUNTIF('Monthly Review'!E2:E100,"Not Measured")</f>
        <v>0</v>
      </c>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true" outlineLevel="0" collapsed="false">
      <c r="A77" s="10" t="s">
        <v>81</v>
      </c>
      <c r="B77" s="10"/>
      <c r="C77" s="10"/>
      <c r="D77" s="2"/>
      <c r="E77" s="2"/>
      <c r="F77" s="2"/>
      <c r="G77" s="2"/>
      <c r="H77" s="2"/>
      <c r="I77" s="2"/>
      <c r="J77" s="2"/>
      <c r="K77" s="2"/>
      <c r="L77" s="2"/>
    </row>
    <row r="78" customFormat="false" ht="15.75" hidden="false" customHeight="true" outlineLevel="0" collapsed="false">
      <c r="A78" s="11" t="s">
        <v>49</v>
      </c>
      <c r="B78" s="11" t="s">
        <v>50</v>
      </c>
      <c r="C78" s="11" t="s">
        <v>51</v>
      </c>
      <c r="D78" s="2"/>
      <c r="E78" s="2"/>
      <c r="F78" s="2"/>
      <c r="G78" s="2"/>
      <c r="H78" s="2"/>
      <c r="I78" s="2"/>
      <c r="J78" s="2"/>
      <c r="K78" s="2"/>
      <c r="L78" s="2"/>
    </row>
    <row r="79" customFormat="false" ht="15.75" hidden="false" customHeight="true" outlineLevel="0" collapsed="false">
      <c r="A79" s="12" t="s">
        <v>52</v>
      </c>
      <c r="B79" s="13" t="s">
        <v>53</v>
      </c>
      <c r="C79" s="14" t="n">
        <f aca="false">COUNTIF('Client Handover'!E2:E100,"Not Started")</f>
        <v>8</v>
      </c>
      <c r="D79" s="2"/>
      <c r="E79" s="2"/>
      <c r="F79" s="2"/>
      <c r="G79" s="2"/>
      <c r="H79" s="2"/>
      <c r="I79" s="2"/>
      <c r="J79" s="2"/>
      <c r="K79" s="2"/>
      <c r="L79" s="2"/>
    </row>
    <row r="80" customFormat="false" ht="15.75" hidden="false" customHeight="true" outlineLevel="0" collapsed="false">
      <c r="A80" s="12" t="s">
        <v>54</v>
      </c>
      <c r="B80" s="13" t="s">
        <v>55</v>
      </c>
      <c r="C80" s="14" t="n">
        <f aca="false">COUNTIF('Client Handover'!E2:E100,"In Progress")</f>
        <v>0</v>
      </c>
      <c r="D80" s="2"/>
      <c r="E80" s="2"/>
      <c r="F80" s="2"/>
      <c r="G80" s="2"/>
      <c r="H80" s="2"/>
      <c r="I80" s="2"/>
      <c r="J80" s="2"/>
      <c r="K80" s="2"/>
      <c r="L80" s="2"/>
    </row>
    <row r="81" customFormat="false" ht="15.75" hidden="false" customHeight="true" outlineLevel="0" collapsed="false">
      <c r="A81" s="12" t="s">
        <v>56</v>
      </c>
      <c r="B81" s="13" t="s">
        <v>57</v>
      </c>
      <c r="C81" s="14" t="n">
        <f aca="false">COUNTIF('Client Handover'!E2:E100,"Done")</f>
        <v>0</v>
      </c>
      <c r="D81" s="2"/>
      <c r="E81" s="2"/>
      <c r="F81" s="2"/>
      <c r="G81" s="2"/>
      <c r="H81" s="2"/>
      <c r="I81" s="2"/>
      <c r="J81" s="2"/>
      <c r="K81" s="2"/>
      <c r="L81" s="2"/>
    </row>
    <row r="82" customFormat="false" ht="15.75" hidden="false" customHeight="true" outlineLevel="0" collapsed="false">
      <c r="A82" s="12" t="s">
        <v>58</v>
      </c>
      <c r="B82" s="13" t="s">
        <v>59</v>
      </c>
      <c r="C82" s="14" t="n">
        <f aca="false">COUNTIF('Client Handover'!E2:E100,"Blocked")</f>
        <v>0</v>
      </c>
      <c r="D82" s="2"/>
      <c r="E82" s="2"/>
      <c r="F82" s="2"/>
      <c r="G82" s="2"/>
      <c r="H82" s="2"/>
      <c r="I82" s="2"/>
      <c r="J82" s="2"/>
      <c r="K82" s="2"/>
      <c r="L82" s="2"/>
    </row>
    <row r="83" customFormat="false" ht="15.75" hidden="false" customHeight="true" outlineLevel="0" collapsed="false">
      <c r="A83" s="12" t="s">
        <v>60</v>
      </c>
      <c r="B83" s="13" t="s">
        <v>67</v>
      </c>
      <c r="C83" s="14" t="n">
        <f aca="false">COUNTIF('Client Handover'!E2:E100,"Waiting Client")</f>
        <v>0</v>
      </c>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27.75" hidden="false" customHeight="true" outlineLevel="0" collapsed="false">
      <c r="A86" s="15" t="s">
        <v>82</v>
      </c>
      <c r="B86" s="15"/>
      <c r="C86" s="15"/>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mergeCells count="9">
    <mergeCell ref="A1:H1"/>
    <mergeCell ref="A10:H10"/>
    <mergeCell ref="A44:C44"/>
    <mergeCell ref="A46:C46"/>
    <mergeCell ref="A54:C54"/>
    <mergeCell ref="A62:C62"/>
    <mergeCell ref="A70:C70"/>
    <mergeCell ref="A77:C77"/>
    <mergeCell ref="A86:C8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5" activeCellId="0" sqref="A5"/>
    </sheetView>
  </sheetViews>
  <sheetFormatPr defaultColWidth="8.6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3" min="3" style="0" width="55"/>
    <col collapsed="false" customWidth="true" hidden="false" outlineLevel="0" max="4" min="4" style="0" width="48"/>
  </cols>
  <sheetData>
    <row r="1" customFormat="false" ht="18.75" hidden="false" customHeight="true" outlineLevel="0" collapsed="false">
      <c r="A1" s="16" t="s">
        <v>83</v>
      </c>
      <c r="B1" s="16"/>
      <c r="C1" s="16"/>
      <c r="D1" s="16"/>
    </row>
    <row r="2" customFormat="false" ht="54.75" hidden="false" customHeight="true" outlineLevel="0" collapsed="false">
      <c r="A2" s="15" t="s">
        <v>84</v>
      </c>
      <c r="B2" s="15"/>
      <c r="C2" s="15"/>
      <c r="D2" s="15"/>
    </row>
    <row r="4" customFormat="false" ht="24" hidden="false" customHeight="true" outlineLevel="0" collapsed="false">
      <c r="A4" s="10" t="s">
        <v>85</v>
      </c>
      <c r="B4" s="10"/>
      <c r="C4" s="10"/>
      <c r="D4" s="10"/>
    </row>
    <row r="5" customFormat="false" ht="25.5" hidden="false" customHeight="true" outlineLevel="0" collapsed="false">
      <c r="A5" s="11" t="s">
        <v>86</v>
      </c>
      <c r="B5" s="11" t="s">
        <v>87</v>
      </c>
      <c r="C5" s="11" t="s">
        <v>88</v>
      </c>
      <c r="D5" s="17" t="s">
        <v>89</v>
      </c>
    </row>
    <row r="6" customFormat="false" ht="33.75" hidden="false" customHeight="true" outlineLevel="0" collapsed="false">
      <c r="A6" s="12" t="s">
        <v>90</v>
      </c>
      <c r="B6" s="12" t="s">
        <v>91</v>
      </c>
      <c r="C6" s="13" t="s">
        <v>92</v>
      </c>
      <c r="D6" s="18" t="s">
        <v>93</v>
      </c>
    </row>
    <row r="7" customFormat="false" ht="33.75" hidden="false" customHeight="true" outlineLevel="0" collapsed="false">
      <c r="A7" s="12" t="s">
        <v>94</v>
      </c>
      <c r="B7" s="12" t="s">
        <v>95</v>
      </c>
      <c r="C7" s="13" t="s">
        <v>96</v>
      </c>
      <c r="D7" s="18" t="s">
        <v>97</v>
      </c>
    </row>
    <row r="8" customFormat="false" ht="33.75" hidden="false" customHeight="true" outlineLevel="0" collapsed="false">
      <c r="A8" s="12" t="s">
        <v>98</v>
      </c>
      <c r="B8" s="12" t="s">
        <v>99</v>
      </c>
      <c r="C8" s="13" t="s">
        <v>100</v>
      </c>
      <c r="D8" s="18" t="s">
        <v>101</v>
      </c>
    </row>
    <row r="9" customFormat="false" ht="33.75" hidden="false" customHeight="true" outlineLevel="0" collapsed="false">
      <c r="A9" s="12" t="s">
        <v>102</v>
      </c>
      <c r="B9" s="12" t="s">
        <v>103</v>
      </c>
      <c r="C9" s="13" t="s">
        <v>104</v>
      </c>
      <c r="D9" s="18" t="s">
        <v>105</v>
      </c>
    </row>
    <row r="10" customFormat="false" ht="33.75" hidden="false" customHeight="true" outlineLevel="0" collapsed="false">
      <c r="A10" s="12" t="s">
        <v>106</v>
      </c>
      <c r="B10" s="12" t="s">
        <v>107</v>
      </c>
      <c r="C10" s="13" t="s">
        <v>108</v>
      </c>
      <c r="D10" s="18" t="s">
        <v>109</v>
      </c>
    </row>
    <row r="11" customFormat="false" ht="33.75" hidden="false" customHeight="true" outlineLevel="0" collapsed="false">
      <c r="A11" s="12" t="s">
        <v>110</v>
      </c>
      <c r="B11" s="12" t="s">
        <v>111</v>
      </c>
      <c r="C11" s="13" t="s">
        <v>112</v>
      </c>
      <c r="D11" s="18" t="s">
        <v>113</v>
      </c>
    </row>
    <row r="13" customFormat="false" ht="24" hidden="false" customHeight="true" outlineLevel="0" collapsed="false">
      <c r="A13" s="19" t="s">
        <v>114</v>
      </c>
      <c r="B13" s="19"/>
      <c r="C13" s="19"/>
      <c r="D13" s="19"/>
    </row>
    <row r="14" customFormat="false" ht="27.75" hidden="false" customHeight="true" outlineLevel="0" collapsed="false">
      <c r="A14" s="20" t="s">
        <v>86</v>
      </c>
      <c r="B14" s="20" t="s">
        <v>115</v>
      </c>
      <c r="C14" s="20" t="s">
        <v>116</v>
      </c>
      <c r="D14" s="20" t="s">
        <v>117</v>
      </c>
    </row>
    <row r="15" customFormat="false" ht="33.75" hidden="false" customHeight="true" outlineLevel="0" collapsed="false">
      <c r="A15" s="21" t="s">
        <v>118</v>
      </c>
      <c r="B15" s="21" t="s">
        <v>119</v>
      </c>
      <c r="C15" s="21" t="str">
        <f aca="false">IF(OR(D9="Critical",D7="All workflows"),"P1 (immediate)",IF(AND(D9="Major",D8="Persistent"),"P1 (immediate)",IF(AND(D8="Persistent",D7="Whole channel"),"P1 (immediate)",IF(OR(D9="Major",D11="Complained",D11="Asked us"),"P2 (within 24 hours)",IF(AND(D8="Sporadic",D9="Minor"),"P3 (this week)",IF(AND(D8="One-off",D9="None"),"P4 (next monthly review)","P3 (this week)"))))))</f>
        <v>P4 (next monthly review)</v>
      </c>
      <c r="D15" s="13" t="s">
        <v>120</v>
      </c>
    </row>
    <row r="16" customFormat="false" ht="33.75" hidden="false" customHeight="true" outlineLevel="0" collapsed="false">
      <c r="A16" s="21" t="s">
        <v>121</v>
      </c>
      <c r="B16" s="21" t="s">
        <v>122</v>
      </c>
      <c r="C16" s="21" t="str">
        <f aca="false">IF(D9="Critical","ROLLBACK now — pause production until safe.",IF(AND(D9="Major",D8="Persistent"),"Consider rollback — isolate impact while fixing.",IF(D7="All workflows","Consider rollback — broad impact justifies pause.","Not needed — fix forward.")))</f>
        <v>Not needed — fix forward.</v>
      </c>
      <c r="D16" s="13" t="s">
        <v>123</v>
      </c>
    </row>
    <row r="17" customFormat="false" ht="33.75" hidden="false" customHeight="true" outlineLevel="0" collapsed="false">
      <c r="A17" s="21" t="s">
        <v>124</v>
      </c>
      <c r="B17" s="21" t="s">
        <v>125</v>
      </c>
      <c r="C17" s="21" t="str">
        <f aca="false">IF(OR(D9="Critical",D11="Complained"),"Apologize + remediation plan + timeline.",IF(D9="Major","Apologize + remediation plan; explain impact.",IF(D11="Asked us","Inform — answer their question with what you know so far.",IF(D11="Noticed not complained","Inform proactively — explain the fix and timeline.",IF(AND(D9="None",D8="One-off"),"None needed — fix silently and log.","Optional — note in next monthly review.")))))</f>
        <v>None needed — fix silently and log.</v>
      </c>
      <c r="D17" s="13" t="s">
        <v>126</v>
      </c>
    </row>
    <row r="18" customFormat="false" ht="33.75" hidden="false" customHeight="true" outlineLevel="0" collapsed="false">
      <c r="A18" s="21" t="s">
        <v>127</v>
      </c>
      <c r="B18" s="21" t="s">
        <v>128</v>
      </c>
      <c r="C18" s="21" t="str">
        <f aca="false">IF(OR(D6="Security/Access",D6="API/Tool Limit",D6="Wrong Classification / Wrong Processing Result",D6="Failed Run"),"Service Provider",IF(OR(D6="Client Request",D6="Enhancement"),"Shared (PM + Client owner)","Service Provider (review with client)"))</f>
        <v>Service Provider</v>
      </c>
      <c r="D18" s="13" t="s">
        <v>129</v>
      </c>
    </row>
    <row r="19" customFormat="false" ht="33.75" hidden="false" customHeight="true" outlineLevel="0" collapsed="false">
      <c r="A19" s="21" t="s">
        <v>130</v>
      </c>
      <c r="B19" s="21" t="s">
        <v>131</v>
      </c>
      <c r="C19" s="21" t="str">
        <f aca="false">IF(D9="Critical","Pause affected route; document incident; client comms within 1 hour; root-cause analysis before resume.",IF(AND(D10="No",D8="Persistent"),"Investigate before acting — log occurrences, capture payload/audit, replicate in test.",IF(D6="Wrong Classification / Wrong Processing Result","Capture the message + AI response; tune prompt or add fallback rule; retest before deploy.",IF(D6="Failed Run","Check audit log + error route; confirm retry safe; ensure no duplicate or wrong action.",IF(D6="Security/Access","Rotate or revoke credential; verify no exposure; document new process.",IF(D6="API/Tool Limit","Check usage report; adjust schedule/model/budget; notify client if package change needed.",IF(OR(D6="Client Request",D6="Enhancement"),"Log in Improvement Backlog with business value, risk, package impact; decide at next monthly review.","Log in Operations Log; assign owner; schedule fix and retest.")))))))</f>
        <v>Check audit log + error route; confirm retry safe; ensure no duplicate or wrong action.</v>
      </c>
      <c r="D19" s="13" t="s">
        <v>132</v>
      </c>
    </row>
    <row r="22" customFormat="false" ht="15" hidden="false" customHeight="true" outlineLevel="0" collapsed="false">
      <c r="A22" s="22" t="s">
        <v>133</v>
      </c>
      <c r="B22" s="22"/>
      <c r="C22" s="22"/>
      <c r="D22" s="22"/>
    </row>
    <row r="23" customFormat="false" ht="15" hidden="false" customHeight="true" outlineLevel="0" collapsed="false">
      <c r="A23" s="15" t="s">
        <v>134</v>
      </c>
      <c r="B23" s="15"/>
      <c r="C23" s="15"/>
      <c r="D23" s="15"/>
    </row>
    <row r="24" customFormat="false" ht="15" hidden="false" customHeight="true" outlineLevel="0" collapsed="false">
      <c r="A24" s="15" t="s">
        <v>135</v>
      </c>
      <c r="B24" s="15"/>
      <c r="C24" s="15"/>
      <c r="D24" s="15"/>
    </row>
    <row r="25" customFormat="false" ht="15" hidden="false" customHeight="true" outlineLevel="0" collapsed="false">
      <c r="A25" s="15" t="s">
        <v>136</v>
      </c>
      <c r="B25" s="15"/>
      <c r="C25" s="15"/>
      <c r="D25" s="15"/>
    </row>
    <row r="26" customFormat="false" ht="15" hidden="false" customHeight="true" outlineLevel="0" collapsed="false">
      <c r="A26" s="15" t="s">
        <v>137</v>
      </c>
      <c r="B26" s="15"/>
      <c r="C26" s="15"/>
      <c r="D26" s="15"/>
    </row>
    <row r="27" customFormat="false" ht="15" hidden="false" customHeight="false" outlineLevel="0" collapsed="false">
      <c r="A27" s="15"/>
      <c r="B27" s="15"/>
      <c r="C27" s="15"/>
      <c r="D27" s="15"/>
    </row>
    <row r="28" customFormat="false" ht="15" hidden="false" customHeight="true" outlineLevel="0" collapsed="false">
      <c r="A28" s="15" t="s">
        <v>138</v>
      </c>
      <c r="B28" s="15"/>
      <c r="C28" s="15"/>
      <c r="D28" s="15"/>
    </row>
  </sheetData>
  <mergeCells count="11">
    <mergeCell ref="A1:D1"/>
    <mergeCell ref="A2:D2"/>
    <mergeCell ref="A4:D4"/>
    <mergeCell ref="A13:D13"/>
    <mergeCell ref="A22:D22"/>
    <mergeCell ref="A23:D23"/>
    <mergeCell ref="A24:D24"/>
    <mergeCell ref="A25:D25"/>
    <mergeCell ref="A26:D26"/>
    <mergeCell ref="A27:D27"/>
    <mergeCell ref="A28:D28"/>
  </mergeCells>
  <dataValidations count="6">
    <dataValidation allowBlank="true" errorStyle="stop" operator="between" showDropDown="false" showErrorMessage="false" showInputMessage="false" sqref="D6" type="list">
      <formula1>"Failed Run,Wrong Classification,Client Request,Security/Access,API/Tool Limit,Enhancement,Other"</formula1>
      <formula2>0</formula2>
    </dataValidation>
    <dataValidation allowBlank="true" errorStyle="stop" operator="between" showDropDown="false" showErrorMessage="false" showInputMessage="false" sqref="D7" type="list">
      <formula1>"Single message,Single category,Whole channel,All workflows"</formula1>
      <formula2>0</formula2>
    </dataValidation>
    <dataValidation allowBlank="true" errorStyle="stop" operator="between" showDropDown="false" showErrorMessage="false" showInputMessage="false" sqref="D8" type="list">
      <formula1>"One-off,Sporadic,Persistent"</formula1>
      <formula2>0</formula2>
    </dataValidation>
    <dataValidation allowBlank="true" errorStyle="stop" operator="between" showDropDown="false" showErrorMessage="false" showInputMessage="false" sqref="D9" type="list">
      <formula1>"None,Minor,Major,Critical"</formula1>
      <formula2>0</formula2>
    </dataValidation>
    <dataValidation allowBlank="true" errorStyle="stop" operator="between" showDropDown="false" showErrorMessage="false" showInputMessage="false" sqref="D10" type="list">
      <formula1>"Yes,Partially,No"</formula1>
      <formula2>0</formula2>
    </dataValidation>
    <dataValidation allowBlank="true" errorStyle="stop" operator="between" showDropDown="false" showErrorMessage="false" showInputMessage="false" sqref="D11" type="list">
      <formula1>"Not noticed,Noticed not complained,Complained,Asked 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8" min="1" style="0" width="20"/>
  </cols>
  <sheetData>
    <row r="1" customFormat="false" ht="45" hidden="false" customHeight="true" outlineLevel="0" collapsed="false">
      <c r="A1" s="6" t="s">
        <v>49</v>
      </c>
      <c r="B1" s="6" t="s">
        <v>139</v>
      </c>
      <c r="C1" s="6" t="s">
        <v>119</v>
      </c>
      <c r="D1" s="6" t="s">
        <v>140</v>
      </c>
      <c r="E1" s="6" t="s">
        <v>141</v>
      </c>
      <c r="F1" s="6" t="s">
        <v>142</v>
      </c>
      <c r="G1" s="6" t="s">
        <v>143</v>
      </c>
      <c r="H1" s="6" t="s">
        <v>144</v>
      </c>
      <c r="I1" s="2"/>
      <c r="J1" s="2"/>
      <c r="K1" s="2"/>
      <c r="L1" s="2"/>
    </row>
    <row r="2" customFormat="false" ht="15.75" hidden="false" customHeight="true" outlineLevel="0" collapsed="false">
      <c r="A2" s="7" t="s">
        <v>52</v>
      </c>
      <c r="B2" s="7" t="s">
        <v>145</v>
      </c>
      <c r="C2" s="7" t="s">
        <v>146</v>
      </c>
      <c r="D2" s="7" t="s">
        <v>146</v>
      </c>
      <c r="E2" s="7" t="s">
        <v>147</v>
      </c>
      <c r="F2" s="7" t="s">
        <v>148</v>
      </c>
      <c r="G2" s="7" t="s">
        <v>149</v>
      </c>
      <c r="H2" s="7" t="s">
        <v>93</v>
      </c>
      <c r="I2" s="2"/>
      <c r="J2" s="2"/>
      <c r="K2" s="2"/>
      <c r="L2" s="2"/>
    </row>
    <row r="3" customFormat="false" ht="15.75" hidden="false" customHeight="true" outlineLevel="0" collapsed="false">
      <c r="A3" s="7" t="s">
        <v>54</v>
      </c>
      <c r="B3" s="7" t="s">
        <v>150</v>
      </c>
      <c r="C3" s="7" t="s">
        <v>151</v>
      </c>
      <c r="D3" s="7" t="s">
        <v>151</v>
      </c>
      <c r="E3" s="7" t="s">
        <v>152</v>
      </c>
      <c r="F3" s="7" t="s">
        <v>153</v>
      </c>
      <c r="G3" s="7" t="s">
        <v>154</v>
      </c>
      <c r="H3" s="7" t="s">
        <v>155</v>
      </c>
      <c r="I3" s="2"/>
      <c r="J3" s="2"/>
      <c r="K3" s="2"/>
      <c r="L3" s="2"/>
    </row>
    <row r="4" customFormat="false" ht="15.75" hidden="false" customHeight="true" outlineLevel="0" collapsed="false">
      <c r="A4" s="7" t="s">
        <v>56</v>
      </c>
      <c r="B4" s="7" t="s">
        <v>156</v>
      </c>
      <c r="C4" s="7" t="s">
        <v>157</v>
      </c>
      <c r="D4" s="7" t="s">
        <v>157</v>
      </c>
      <c r="E4" s="7" t="s">
        <v>158</v>
      </c>
      <c r="F4" s="7" t="s">
        <v>159</v>
      </c>
      <c r="G4" s="7" t="s">
        <v>160</v>
      </c>
      <c r="H4" s="7" t="s">
        <v>161</v>
      </c>
      <c r="I4" s="2"/>
      <c r="J4" s="2"/>
      <c r="K4" s="2"/>
      <c r="L4" s="2"/>
    </row>
    <row r="5" customFormat="false" ht="15.75" hidden="false" customHeight="true" outlineLevel="0" collapsed="false">
      <c r="A5" s="7" t="s">
        <v>58</v>
      </c>
      <c r="B5" s="7"/>
      <c r="C5" s="7" t="s">
        <v>162</v>
      </c>
      <c r="D5" s="7" t="s">
        <v>162</v>
      </c>
      <c r="E5" s="7" t="s">
        <v>163</v>
      </c>
      <c r="F5" s="7" t="s">
        <v>164</v>
      </c>
      <c r="G5" s="7" t="s">
        <v>165</v>
      </c>
      <c r="H5" s="7" t="s">
        <v>166</v>
      </c>
      <c r="I5" s="2"/>
      <c r="J5" s="2"/>
      <c r="K5" s="2"/>
      <c r="L5" s="2"/>
    </row>
    <row r="6" customFormat="false" ht="15.75" hidden="false" customHeight="true" outlineLevel="0" collapsed="false">
      <c r="A6" s="7" t="s">
        <v>60</v>
      </c>
      <c r="B6" s="7"/>
      <c r="C6" s="7"/>
      <c r="D6" s="7"/>
      <c r="E6" s="7" t="s">
        <v>167</v>
      </c>
      <c r="F6" s="7" t="s">
        <v>168</v>
      </c>
      <c r="G6" s="7"/>
      <c r="H6" s="7" t="s">
        <v>169</v>
      </c>
      <c r="I6" s="2"/>
      <c r="J6" s="2"/>
      <c r="K6" s="2"/>
      <c r="L6" s="2"/>
    </row>
    <row r="7" customFormat="false" ht="15.75" hidden="false" customHeight="true" outlineLevel="0" collapsed="false">
      <c r="A7" s="7"/>
      <c r="B7" s="7"/>
      <c r="C7" s="7"/>
      <c r="D7" s="7"/>
      <c r="E7" s="7"/>
      <c r="F7" s="7" t="s">
        <v>170</v>
      </c>
      <c r="G7" s="7"/>
      <c r="H7" s="7" t="s">
        <v>171</v>
      </c>
      <c r="I7" s="2"/>
      <c r="J7" s="2"/>
      <c r="K7" s="2"/>
      <c r="L7" s="2"/>
    </row>
    <row r="8" customFormat="false" ht="15" hidden="false" customHeight="false" outlineLevel="0" collapsed="false">
      <c r="A8" s="2"/>
      <c r="B8" s="2"/>
      <c r="C8" s="2"/>
      <c r="D8" s="2"/>
      <c r="E8" s="2"/>
      <c r="F8" s="2"/>
      <c r="G8" s="2"/>
      <c r="H8" s="2"/>
      <c r="I8" s="2"/>
      <c r="J8" s="2"/>
      <c r="K8" s="2"/>
      <c r="L8" s="2"/>
    </row>
    <row r="9" customFormat="false" ht="15" hidden="false" customHeight="false" outlineLevel="0" collapsed="false">
      <c r="A9" s="2"/>
      <c r="B9" s="2"/>
      <c r="C9" s="2"/>
      <c r="D9" s="2"/>
      <c r="E9" s="2"/>
      <c r="F9" s="2"/>
      <c r="G9" s="2"/>
      <c r="H9" s="2"/>
      <c r="I9" s="2"/>
      <c r="J9" s="2"/>
      <c r="K9" s="2"/>
      <c r="L9" s="2"/>
    </row>
    <row r="10" customFormat="false" ht="15" hidden="false" customHeight="false" outlineLevel="0" collapsed="false">
      <c r="A10" s="2"/>
      <c r="B10" s="2"/>
      <c r="C10" s="2"/>
      <c r="D10" s="2"/>
      <c r="E10" s="2"/>
      <c r="F10" s="2"/>
      <c r="G10" s="2"/>
      <c r="H10" s="2"/>
      <c r="I10" s="2"/>
      <c r="J10" s="2"/>
      <c r="K10" s="2"/>
      <c r="L10" s="2"/>
    </row>
    <row r="11" customFormat="false" ht="15" hidden="false" customHeight="false" outlineLevel="0" collapsed="false">
      <c r="A11" s="2"/>
      <c r="B11" s="2"/>
      <c r="C11" s="2"/>
      <c r="D11" s="2"/>
      <c r="E11" s="2"/>
      <c r="F11" s="2"/>
      <c r="G11" s="2"/>
      <c r="H11" s="2"/>
      <c r="I11" s="2"/>
      <c r="J11" s="2"/>
      <c r="K11" s="2"/>
      <c r="L11" s="2"/>
    </row>
    <row r="12" customFormat="false" ht="15" hidden="false" customHeight="false" outlineLevel="0" collapsed="false">
      <c r="A12" s="2"/>
      <c r="B12" s="2"/>
      <c r="C12" s="2"/>
      <c r="D12" s="2"/>
      <c r="E12" s="2"/>
      <c r="F12" s="2"/>
      <c r="G12" s="2"/>
      <c r="H12" s="2"/>
      <c r="I12" s="2"/>
      <c r="J12" s="2"/>
      <c r="K12" s="2"/>
      <c r="L12" s="2"/>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
      <c r="B14" s="2"/>
      <c r="C14" s="2"/>
      <c r="D14" s="2"/>
      <c r="E14" s="2"/>
      <c r="F14" s="2"/>
      <c r="G14" s="2"/>
      <c r="H14" s="2"/>
      <c r="I14" s="2"/>
      <c r="J14" s="2"/>
      <c r="K14" s="2"/>
      <c r="L14" s="2"/>
    </row>
    <row r="15" customFormat="false" ht="15" hidden="false" customHeight="false" outlineLevel="0" collapsed="false">
      <c r="A15" s="2"/>
      <c r="B15" s="2"/>
      <c r="C15" s="2"/>
      <c r="D15" s="2"/>
      <c r="E15" s="2"/>
      <c r="F15" s="2"/>
      <c r="G15" s="2"/>
      <c r="H15" s="2"/>
      <c r="I15" s="2"/>
      <c r="J15" s="2"/>
      <c r="K15" s="2"/>
      <c r="L15" s="2"/>
    </row>
    <row r="16" customFormat="false" ht="15" hidden="false" customHeight="false" outlineLevel="0" collapsed="false">
      <c r="A16" s="2"/>
      <c r="B16" s="2"/>
      <c r="C16" s="2"/>
      <c r="D16" s="2"/>
      <c r="E16" s="2"/>
      <c r="F16" s="2"/>
      <c r="G16" s="2"/>
      <c r="H16" s="2"/>
      <c r="I16" s="2"/>
      <c r="J16" s="2"/>
      <c r="K16" s="2"/>
      <c r="L16" s="2"/>
    </row>
    <row r="17" customFormat="false" ht="15" hidden="false" customHeight="false" outlineLevel="0" collapsed="false">
      <c r="A17" s="2"/>
      <c r="B17" s="2"/>
      <c r="C17" s="2"/>
      <c r="D17" s="2"/>
      <c r="E17" s="2"/>
      <c r="F17" s="2"/>
      <c r="G17" s="2"/>
      <c r="H17" s="2"/>
      <c r="I17" s="2"/>
      <c r="J17" s="2"/>
      <c r="K17" s="2"/>
      <c r="L17" s="2"/>
    </row>
    <row r="18" customFormat="false" ht="15" hidden="false" customHeight="false" outlineLevel="0" collapsed="false">
      <c r="A18" s="2"/>
      <c r="B18" s="2"/>
      <c r="C18" s="2"/>
      <c r="D18" s="2"/>
      <c r="E18" s="2"/>
      <c r="F18" s="2"/>
      <c r="G18" s="2"/>
      <c r="H18" s="2"/>
      <c r="I18" s="2"/>
      <c r="J18" s="2"/>
      <c r="K18" s="2"/>
      <c r="L18" s="2"/>
    </row>
    <row r="19" customFormat="false" ht="15" hidden="false" customHeight="false" outlineLevel="0" collapsed="false">
      <c r="A19" s="2"/>
      <c r="B19" s="2"/>
      <c r="C19" s="2"/>
      <c r="D19" s="2"/>
      <c r="E19" s="2"/>
      <c r="F19" s="2"/>
      <c r="G19" s="2"/>
      <c r="H19" s="2"/>
      <c r="I19" s="2"/>
      <c r="J19" s="2"/>
      <c r="K19" s="2"/>
      <c r="L19" s="2"/>
    </row>
    <row r="20" customFormat="false" ht="15" hidden="false" customHeight="false" outlineLevel="0" collapsed="false">
      <c r="A20" s="2"/>
      <c r="B20" s="2"/>
      <c r="C20" s="2"/>
      <c r="D20" s="2"/>
      <c r="E20" s="2"/>
      <c r="F20" s="2"/>
      <c r="G20" s="2"/>
      <c r="H20" s="2"/>
      <c r="I20" s="2"/>
      <c r="J20" s="2"/>
      <c r="K20" s="2"/>
      <c r="L20" s="2"/>
    </row>
    <row r="21" customFormat="false" ht="15" hidden="false" customHeight="false" outlineLevel="0" collapsed="false">
      <c r="A21" s="2"/>
      <c r="B21" s="2"/>
      <c r="C21" s="2"/>
      <c r="D21" s="2"/>
      <c r="E21" s="2"/>
      <c r="F21" s="2"/>
      <c r="G21" s="2"/>
      <c r="H21" s="2"/>
      <c r="I21" s="2"/>
      <c r="J21" s="2"/>
      <c r="K21" s="2"/>
      <c r="L21" s="2"/>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
      <c r="B23" s="2"/>
      <c r="C23" s="2"/>
      <c r="D23" s="2"/>
      <c r="E23" s="2"/>
      <c r="F23" s="2"/>
      <c r="G23" s="2"/>
      <c r="H23" s="2"/>
      <c r="I23" s="2"/>
      <c r="J23" s="2"/>
      <c r="K23" s="2"/>
      <c r="L23" s="2"/>
    </row>
    <row r="24" customFormat="false" ht="15" hidden="false" customHeight="false" outlineLevel="0" collapsed="false">
      <c r="A24" s="2"/>
      <c r="B24" s="2"/>
      <c r="C24" s="2"/>
      <c r="D24" s="2"/>
      <c r="E24" s="2"/>
      <c r="F24" s="2"/>
      <c r="G24" s="2"/>
      <c r="H24" s="2"/>
      <c r="I24" s="2"/>
      <c r="J24" s="2"/>
      <c r="K24" s="2"/>
      <c r="L24" s="2"/>
    </row>
    <row r="25" customFormat="false" ht="15" hidden="false" customHeight="false" outlineLevel="0" collapsed="false">
      <c r="A25" s="2"/>
      <c r="B25" s="2"/>
      <c r="C25" s="2"/>
      <c r="D25" s="2"/>
      <c r="E25" s="2"/>
      <c r="F25" s="2"/>
      <c r="G25" s="2"/>
      <c r="H25" s="2"/>
      <c r="I25" s="2"/>
      <c r="J25" s="2"/>
      <c r="K25" s="2"/>
      <c r="L25" s="2"/>
    </row>
    <row r="26" customFormat="false" ht="15" hidden="false" customHeight="false" outlineLevel="0" collapsed="false">
      <c r="A26" s="2"/>
      <c r="B26" s="2"/>
      <c r="C26" s="2"/>
      <c r="D26" s="2"/>
      <c r="E26" s="2"/>
      <c r="F26" s="2"/>
      <c r="G26" s="2"/>
      <c r="H26" s="2"/>
      <c r="I26" s="2"/>
      <c r="J26" s="2"/>
      <c r="K26" s="2"/>
      <c r="L26" s="2"/>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8"/>
    <col collapsed="false" customWidth="true" hidden="false" outlineLevel="0" max="5" min="2" style="0" width="21.83"/>
    <col collapsed="false" customWidth="true" hidden="false" outlineLevel="0" max="6" min="6" style="0" width="35"/>
    <col collapsed="false" customWidth="true" hidden="false" outlineLevel="0" max="7" min="7" style="0" width="38"/>
  </cols>
  <sheetData>
    <row r="1" customFormat="false" ht="45" hidden="false" customHeight="true" outlineLevel="0" collapsed="false">
      <c r="A1" s="6" t="s">
        <v>172</v>
      </c>
      <c r="B1" s="6" t="s">
        <v>173</v>
      </c>
      <c r="C1" s="6" t="s">
        <v>174</v>
      </c>
      <c r="D1" s="6" t="s">
        <v>175</v>
      </c>
      <c r="E1" s="6" t="s">
        <v>176</v>
      </c>
      <c r="F1" s="6" t="s">
        <v>177</v>
      </c>
      <c r="G1" s="6" t="s">
        <v>178</v>
      </c>
      <c r="H1" s="2"/>
      <c r="I1" s="2"/>
      <c r="J1" s="2"/>
      <c r="K1" s="2"/>
      <c r="L1" s="2"/>
    </row>
    <row r="2" customFormat="false" ht="15.75" hidden="false" customHeight="true" outlineLevel="0" collapsed="false">
      <c r="A2" s="23" t="s">
        <v>179</v>
      </c>
      <c r="B2" s="4"/>
      <c r="C2" s="4"/>
      <c r="D2" s="4"/>
      <c r="E2" s="4"/>
      <c r="F2" s="23" t="s">
        <v>180</v>
      </c>
      <c r="G2" s="24"/>
      <c r="H2" s="2"/>
      <c r="I2" s="2"/>
      <c r="J2" s="2"/>
      <c r="K2" s="2"/>
      <c r="L2" s="2"/>
    </row>
    <row r="3" customFormat="false" ht="15" hidden="false" customHeight="false" outlineLevel="0" collapsed="false">
      <c r="A3" s="23" t="s">
        <v>181</v>
      </c>
      <c r="B3" s="4"/>
      <c r="C3" s="4"/>
      <c r="D3" s="4"/>
      <c r="E3" s="4"/>
      <c r="F3" s="23" t="s">
        <v>182</v>
      </c>
      <c r="G3" s="24"/>
      <c r="H3" s="2"/>
      <c r="I3" s="2"/>
      <c r="J3" s="2"/>
      <c r="K3" s="2"/>
      <c r="L3" s="2"/>
    </row>
    <row r="4" customFormat="false" ht="15" hidden="false" customHeight="false" outlineLevel="0" collapsed="false">
      <c r="A4" s="23" t="s">
        <v>183</v>
      </c>
      <c r="B4" s="4"/>
      <c r="C4" s="4"/>
      <c r="D4" s="4"/>
      <c r="E4" s="4"/>
      <c r="F4" s="23" t="s">
        <v>184</v>
      </c>
      <c r="G4" s="24"/>
      <c r="H4" s="2"/>
      <c r="I4" s="2"/>
      <c r="J4" s="2"/>
      <c r="K4" s="2"/>
      <c r="L4" s="2"/>
    </row>
    <row r="5" customFormat="false" ht="15.75" hidden="false" customHeight="true" outlineLevel="0" collapsed="false">
      <c r="A5" s="23" t="s">
        <v>185</v>
      </c>
      <c r="B5" s="4"/>
      <c r="C5" s="4"/>
      <c r="D5" s="4"/>
      <c r="E5" s="4"/>
      <c r="F5" s="23" t="s">
        <v>186</v>
      </c>
      <c r="G5" s="24"/>
      <c r="H5" s="2"/>
      <c r="I5" s="2"/>
      <c r="J5" s="2"/>
      <c r="K5" s="2"/>
      <c r="L5" s="2"/>
    </row>
    <row r="6" customFormat="false" ht="15.75" hidden="false" customHeight="true" outlineLevel="0" collapsed="false">
      <c r="A6" s="23" t="s">
        <v>187</v>
      </c>
      <c r="B6" s="4"/>
      <c r="C6" s="4"/>
      <c r="D6" s="4"/>
      <c r="E6" s="4"/>
      <c r="F6" s="23" t="s">
        <v>188</v>
      </c>
      <c r="G6" s="24"/>
      <c r="H6" s="2"/>
      <c r="I6" s="2"/>
      <c r="J6" s="2"/>
      <c r="K6" s="2"/>
      <c r="L6" s="2"/>
    </row>
    <row r="7" customFormat="false" ht="15" hidden="false" customHeight="false" outlineLevel="0" collapsed="false">
      <c r="A7" s="23" t="s">
        <v>189</v>
      </c>
      <c r="B7" s="4"/>
      <c r="C7" s="4"/>
      <c r="D7" s="4"/>
      <c r="E7" s="4"/>
      <c r="F7" s="23" t="s">
        <v>190</v>
      </c>
      <c r="G7" s="24"/>
      <c r="H7" s="2"/>
      <c r="I7" s="2"/>
      <c r="J7" s="2"/>
      <c r="K7" s="2"/>
      <c r="L7" s="2"/>
    </row>
    <row r="8" customFormat="false" ht="15.75" hidden="false" customHeight="true" outlineLevel="0" collapsed="false">
      <c r="A8" s="23" t="s">
        <v>191</v>
      </c>
      <c r="B8" s="4"/>
      <c r="C8" s="4"/>
      <c r="D8" s="4"/>
      <c r="E8" s="4"/>
      <c r="F8" s="23" t="s">
        <v>192</v>
      </c>
      <c r="G8" s="24"/>
      <c r="H8" s="2"/>
      <c r="I8" s="2"/>
      <c r="J8" s="2"/>
      <c r="K8" s="2"/>
      <c r="L8" s="2"/>
    </row>
    <row r="9" customFormat="false" ht="15.75" hidden="false" customHeight="true" outlineLevel="0" collapsed="false">
      <c r="A9" s="23" t="s">
        <v>193</v>
      </c>
      <c r="B9" s="4"/>
      <c r="C9" s="4"/>
      <c r="D9" s="4"/>
      <c r="E9" s="4"/>
      <c r="F9" s="23" t="s">
        <v>194</v>
      </c>
      <c r="G9" s="24"/>
      <c r="H9" s="2"/>
      <c r="I9" s="2"/>
      <c r="J9" s="2"/>
      <c r="K9" s="2"/>
      <c r="L9" s="2"/>
    </row>
    <row r="10" customFormat="false" ht="15" hidden="false" customHeight="false" outlineLevel="0" collapsed="false">
      <c r="A10" s="2"/>
      <c r="B10" s="2"/>
      <c r="C10" s="2"/>
      <c r="D10" s="2"/>
      <c r="E10" s="2"/>
      <c r="F10" s="2"/>
      <c r="G10" s="2"/>
      <c r="H10" s="2"/>
      <c r="I10" s="2"/>
      <c r="J10" s="2"/>
      <c r="K10" s="2"/>
      <c r="L10" s="2"/>
    </row>
    <row r="11" customFormat="false" ht="15" hidden="false" customHeight="false" outlineLevel="0" collapsed="false">
      <c r="A11" s="2"/>
      <c r="B11" s="2"/>
      <c r="C11" s="2"/>
      <c r="D11" s="2"/>
      <c r="E11" s="2"/>
      <c r="F11" s="2"/>
      <c r="G11" s="2"/>
      <c r="H11" s="2"/>
      <c r="I11" s="2"/>
      <c r="J11" s="2"/>
      <c r="K11" s="2"/>
      <c r="L11" s="2"/>
    </row>
    <row r="12" customFormat="false" ht="15" hidden="false" customHeight="false" outlineLevel="0" collapsed="false">
      <c r="A12" s="2"/>
      <c r="B12" s="2"/>
      <c r="C12" s="2"/>
      <c r="D12" s="2"/>
      <c r="E12" s="2"/>
      <c r="F12" s="2"/>
      <c r="G12" s="2"/>
      <c r="H12" s="2"/>
      <c r="I12" s="2"/>
      <c r="J12" s="2"/>
      <c r="K12" s="2"/>
      <c r="L12" s="2"/>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
      <c r="B14" s="2"/>
      <c r="C14" s="2"/>
      <c r="D14" s="2"/>
      <c r="E14" s="2"/>
      <c r="F14" s="2"/>
      <c r="G14" s="2"/>
      <c r="H14" s="2"/>
      <c r="I14" s="2"/>
      <c r="J14" s="2"/>
      <c r="K14" s="2"/>
      <c r="L14" s="2"/>
    </row>
    <row r="15" customFormat="false" ht="15" hidden="false" customHeight="false" outlineLevel="0" collapsed="false">
      <c r="A15" s="2"/>
      <c r="B15" s="2"/>
      <c r="C15" s="2"/>
      <c r="D15" s="2"/>
      <c r="E15" s="2"/>
      <c r="F15" s="2"/>
      <c r="G15" s="2"/>
      <c r="H15" s="2"/>
      <c r="I15" s="2"/>
      <c r="J15" s="2"/>
      <c r="K15" s="2"/>
      <c r="L15" s="2"/>
    </row>
    <row r="16" customFormat="false" ht="15" hidden="false" customHeight="false" outlineLevel="0" collapsed="false">
      <c r="A16" s="2"/>
      <c r="B16" s="2"/>
      <c r="C16" s="2"/>
      <c r="D16" s="2"/>
      <c r="E16" s="2"/>
      <c r="F16" s="2"/>
      <c r="G16" s="2"/>
      <c r="H16" s="2"/>
      <c r="I16" s="2"/>
      <c r="J16" s="2"/>
      <c r="K16" s="2"/>
      <c r="L16" s="2"/>
    </row>
    <row r="17" customFormat="false" ht="15" hidden="false" customHeight="false" outlineLevel="0" collapsed="false">
      <c r="A17" s="2"/>
      <c r="B17" s="2"/>
      <c r="C17" s="2"/>
      <c r="D17" s="2"/>
      <c r="E17" s="2"/>
      <c r="F17" s="2"/>
      <c r="G17" s="2"/>
      <c r="H17" s="2"/>
      <c r="I17" s="2"/>
      <c r="J17" s="2"/>
      <c r="K17" s="2"/>
      <c r="L17" s="2"/>
    </row>
    <row r="18" customFormat="false" ht="15" hidden="false" customHeight="false" outlineLevel="0" collapsed="false">
      <c r="A18" s="2"/>
      <c r="B18" s="2"/>
      <c r="C18" s="2"/>
      <c r="D18" s="2"/>
      <c r="E18" s="2"/>
      <c r="F18" s="2"/>
      <c r="G18" s="2"/>
      <c r="H18" s="2"/>
      <c r="I18" s="2"/>
      <c r="J18" s="2"/>
      <c r="K18" s="2"/>
      <c r="L18" s="2"/>
    </row>
    <row r="19" customFormat="false" ht="15" hidden="false" customHeight="false" outlineLevel="0" collapsed="false">
      <c r="A19" s="2"/>
      <c r="B19" s="2"/>
      <c r="C19" s="2"/>
      <c r="D19" s="2"/>
      <c r="E19" s="2"/>
      <c r="F19" s="2"/>
      <c r="G19" s="2"/>
      <c r="H19" s="2"/>
      <c r="I19" s="2"/>
      <c r="J19" s="2"/>
      <c r="K19" s="2"/>
      <c r="L19" s="2"/>
    </row>
    <row r="20" customFormat="false" ht="15" hidden="false" customHeight="false" outlineLevel="0" collapsed="false">
      <c r="A20" s="2"/>
      <c r="B20" s="2"/>
      <c r="C20" s="2"/>
      <c r="D20" s="2"/>
      <c r="E20" s="2"/>
      <c r="F20" s="2"/>
      <c r="G20" s="2"/>
      <c r="H20" s="2"/>
      <c r="I20" s="2"/>
      <c r="J20" s="2"/>
      <c r="K20" s="2"/>
      <c r="L20" s="2"/>
    </row>
    <row r="21" customFormat="false" ht="15" hidden="false" customHeight="false" outlineLevel="0" collapsed="false">
      <c r="A21" s="2"/>
      <c r="B21" s="2"/>
      <c r="C21" s="2"/>
      <c r="D21" s="2"/>
      <c r="E21" s="2"/>
      <c r="F21" s="2"/>
      <c r="G21" s="2"/>
      <c r="H21" s="2"/>
      <c r="I21" s="2"/>
      <c r="J21" s="2"/>
      <c r="K21" s="2"/>
      <c r="L21" s="2"/>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
      <c r="B23" s="2"/>
      <c r="C23" s="2"/>
      <c r="D23" s="2"/>
      <c r="E23" s="2"/>
      <c r="F23" s="2"/>
      <c r="G23" s="2"/>
      <c r="H23" s="2"/>
      <c r="I23" s="2"/>
      <c r="J23" s="2"/>
      <c r="K23" s="2"/>
      <c r="L23" s="2"/>
    </row>
    <row r="24" customFormat="false" ht="15" hidden="false" customHeight="false" outlineLevel="0" collapsed="false">
      <c r="A24" s="2"/>
      <c r="B24" s="2"/>
      <c r="C24" s="2"/>
      <c r="D24" s="2"/>
      <c r="E24" s="2"/>
      <c r="F24" s="2"/>
      <c r="G24" s="2"/>
      <c r="H24" s="2"/>
      <c r="I24" s="2"/>
      <c r="J24" s="2"/>
      <c r="K24" s="2"/>
      <c r="L24" s="2"/>
    </row>
    <row r="25" customFormat="false" ht="15" hidden="false" customHeight="false" outlineLevel="0" collapsed="false">
      <c r="A25" s="2"/>
      <c r="B25" s="2"/>
      <c r="C25" s="2"/>
      <c r="D25" s="2"/>
      <c r="E25" s="2"/>
      <c r="F25" s="2"/>
      <c r="G25" s="2"/>
      <c r="H25" s="2"/>
      <c r="I25" s="2"/>
      <c r="J25" s="2"/>
      <c r="K25" s="2"/>
      <c r="L25" s="2"/>
    </row>
    <row r="26" customFormat="false" ht="15" hidden="false" customHeight="false" outlineLevel="0" collapsed="false">
      <c r="A26" s="2"/>
      <c r="B26" s="2"/>
      <c r="C26" s="2"/>
      <c r="D26" s="2"/>
      <c r="E26" s="2"/>
      <c r="F26" s="2"/>
      <c r="G26" s="2"/>
      <c r="H26" s="2"/>
      <c r="I26" s="2"/>
      <c r="J26" s="2"/>
      <c r="K26" s="2"/>
      <c r="L26" s="2"/>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38"/>
    <col collapsed="false" customWidth="true" hidden="false" outlineLevel="0" max="4" min="4" style="0" width="18"/>
    <col collapsed="false" customWidth="true" hidden="false" outlineLevel="0" max="5" min="5" style="0" width="20"/>
    <col collapsed="false" customWidth="true" hidden="false" outlineLevel="0" max="6" min="6" style="0" width="16"/>
    <col collapsed="false" customWidth="true" hidden="false" outlineLevel="0" max="7" min="7" style="0" width="30"/>
    <col collapsed="false" customWidth="true" hidden="false" outlineLevel="0" max="8" min="8" style="0" width="18"/>
    <col collapsed="false" customWidth="true" hidden="false" outlineLevel="0" max="9" min="9" style="0" width="35"/>
    <col collapsed="false" customWidth="true" hidden="false" outlineLevel="0" max="10" min="10" style="0" width="22"/>
  </cols>
  <sheetData>
    <row r="1" customFormat="false" ht="45" hidden="false" customHeight="true" outlineLevel="0" collapsed="false">
      <c r="A1" s="6" t="s">
        <v>195</v>
      </c>
      <c r="B1" s="6" t="s">
        <v>196</v>
      </c>
      <c r="C1" s="6" t="s">
        <v>197</v>
      </c>
      <c r="D1" s="6" t="s">
        <v>198</v>
      </c>
      <c r="E1" s="6" t="s">
        <v>176</v>
      </c>
      <c r="F1" s="6" t="s">
        <v>199</v>
      </c>
      <c r="G1" s="6" t="s">
        <v>200</v>
      </c>
      <c r="H1" s="6" t="s">
        <v>201</v>
      </c>
      <c r="I1" s="6" t="s">
        <v>202</v>
      </c>
      <c r="J1" s="11" t="s">
        <v>203</v>
      </c>
      <c r="K1" s="2"/>
      <c r="L1" s="2"/>
    </row>
    <row r="2" customFormat="false" ht="15.75" hidden="false" customHeight="true" outlineLevel="0" collapsed="false">
      <c r="A2" s="23" t="s">
        <v>204</v>
      </c>
      <c r="B2" s="23" t="s">
        <v>205</v>
      </c>
      <c r="C2" s="23" t="s">
        <v>206</v>
      </c>
      <c r="D2" s="4" t="s">
        <v>52</v>
      </c>
      <c r="E2" s="4"/>
      <c r="F2" s="4"/>
      <c r="G2" s="4"/>
      <c r="H2" s="25"/>
      <c r="I2" s="24"/>
      <c r="J2" s="26" t="str">
        <f aca="false">IF(COUNTA(A2,B2,D2,E2,F2,H2)=0,"Empty",IF(COUNTA(A2,B2,D2,E2,F2,H2)&lt;6,"Partial","Complete"))</f>
        <v>Partial</v>
      </c>
      <c r="K2" s="2"/>
      <c r="L2" s="2"/>
    </row>
    <row r="3" customFormat="false" ht="15.75" hidden="false" customHeight="true" outlineLevel="0" collapsed="false">
      <c r="A3" s="23" t="s">
        <v>204</v>
      </c>
      <c r="B3" s="23" t="s">
        <v>207</v>
      </c>
      <c r="C3" s="23" t="s">
        <v>208</v>
      </c>
      <c r="D3" s="4" t="s">
        <v>52</v>
      </c>
      <c r="E3" s="4"/>
      <c r="F3" s="4"/>
      <c r="G3" s="4"/>
      <c r="H3" s="25"/>
      <c r="I3" s="24"/>
      <c r="J3" s="26" t="str">
        <f aca="false">IF(COUNTA(A3,B3,D3,E3,F3,H3)=0,"Empty",IF(COUNTA(A3,B3,D3,E3,F3,H3)&lt;6,"Partial","Complete"))</f>
        <v>Partial</v>
      </c>
      <c r="K3" s="2"/>
      <c r="L3" s="2"/>
    </row>
    <row r="4" customFormat="false" ht="15.75" hidden="false" customHeight="true" outlineLevel="0" collapsed="false">
      <c r="A4" s="23" t="s">
        <v>204</v>
      </c>
      <c r="B4" s="23" t="s">
        <v>209</v>
      </c>
      <c r="C4" s="23" t="s">
        <v>210</v>
      </c>
      <c r="D4" s="4" t="s">
        <v>52</v>
      </c>
      <c r="E4" s="4"/>
      <c r="F4" s="4"/>
      <c r="G4" s="4"/>
      <c r="H4" s="25"/>
      <c r="I4" s="24"/>
      <c r="J4" s="26" t="str">
        <f aca="false">IF(COUNTA(A4,B4,D4,E4,F4,H4)=0,"Empty",IF(COUNTA(A4,B4,D4,E4,F4,H4)&lt;6,"Partial","Complete"))</f>
        <v>Partial</v>
      </c>
      <c r="K4" s="2"/>
      <c r="L4" s="2"/>
    </row>
    <row r="5" customFormat="false" ht="15.75" hidden="false" customHeight="true" outlineLevel="0" collapsed="false">
      <c r="A5" s="23" t="s">
        <v>211</v>
      </c>
      <c r="B5" s="23" t="s">
        <v>212</v>
      </c>
      <c r="C5" s="23" t="s">
        <v>213</v>
      </c>
      <c r="D5" s="4" t="s">
        <v>52</v>
      </c>
      <c r="E5" s="4"/>
      <c r="F5" s="4"/>
      <c r="G5" s="4"/>
      <c r="H5" s="25"/>
      <c r="I5" s="24"/>
      <c r="J5" s="26" t="str">
        <f aca="false">IF(COUNTA(A5,B5,D5,E5,F5,H5)=0,"Empty",IF(COUNTA(A5,B5,D5,E5,F5,H5)&lt;6,"Partial","Complete"))</f>
        <v>Partial</v>
      </c>
      <c r="K5" s="2"/>
      <c r="L5" s="2"/>
    </row>
    <row r="6" customFormat="false" ht="15.75" hidden="false" customHeight="true" outlineLevel="0" collapsed="false">
      <c r="A6" s="23" t="s">
        <v>211</v>
      </c>
      <c r="B6" s="23" t="s">
        <v>214</v>
      </c>
      <c r="C6" s="23" t="s">
        <v>215</v>
      </c>
      <c r="D6" s="4" t="s">
        <v>52</v>
      </c>
      <c r="E6" s="4"/>
      <c r="F6" s="4"/>
      <c r="G6" s="4"/>
      <c r="H6" s="25"/>
      <c r="I6" s="24"/>
      <c r="J6" s="26" t="str">
        <f aca="false">IF(COUNTA(A6,B6,D6,E6,F6,H6)=0,"Empty",IF(COUNTA(A6,B6,D6,E6,F6,H6)&lt;6,"Partial","Complete"))</f>
        <v>Partial</v>
      </c>
      <c r="K6" s="2"/>
      <c r="L6" s="2"/>
    </row>
    <row r="7" customFormat="false" ht="15.75" hidden="false" customHeight="true" outlineLevel="0" collapsed="false">
      <c r="A7" s="23" t="s">
        <v>211</v>
      </c>
      <c r="B7" s="23" t="s">
        <v>216</v>
      </c>
      <c r="C7" s="23" t="s">
        <v>217</v>
      </c>
      <c r="D7" s="4" t="s">
        <v>52</v>
      </c>
      <c r="E7" s="4"/>
      <c r="F7" s="4"/>
      <c r="G7" s="4"/>
      <c r="H7" s="25"/>
      <c r="I7" s="24"/>
      <c r="J7" s="26" t="str">
        <f aca="false">IF(COUNTA(A7,B7,D7,E7,F7,H7)=0,"Empty",IF(COUNTA(A7,B7,D7,E7,F7,H7)&lt;6,"Partial","Complete"))</f>
        <v>Partial</v>
      </c>
      <c r="K7" s="2"/>
      <c r="L7" s="2"/>
    </row>
    <row r="8" customFormat="false" ht="15.75" hidden="false" customHeight="true" outlineLevel="0" collapsed="false">
      <c r="A8" s="23" t="s">
        <v>218</v>
      </c>
      <c r="B8" s="23" t="s">
        <v>219</v>
      </c>
      <c r="C8" s="23" t="s">
        <v>220</v>
      </c>
      <c r="D8" s="4" t="s">
        <v>52</v>
      </c>
      <c r="E8" s="4"/>
      <c r="F8" s="4"/>
      <c r="G8" s="4"/>
      <c r="H8" s="25"/>
      <c r="I8" s="24"/>
      <c r="J8" s="26" t="str">
        <f aca="false">IF(COUNTA(A8,B8,D8,E8,F8,H8)=0,"Empty",IF(COUNTA(A8,B8,D8,E8,F8,H8)&lt;6,"Partial","Complete"))</f>
        <v>Partial</v>
      </c>
      <c r="K8" s="2"/>
      <c r="L8" s="2"/>
    </row>
    <row r="9" customFormat="false" ht="15.75" hidden="false" customHeight="true" outlineLevel="0" collapsed="false">
      <c r="A9" s="23" t="s">
        <v>218</v>
      </c>
      <c r="B9" s="23" t="s">
        <v>221</v>
      </c>
      <c r="C9" s="23" t="s">
        <v>222</v>
      </c>
      <c r="D9" s="4" t="s">
        <v>52</v>
      </c>
      <c r="E9" s="4"/>
      <c r="F9" s="4"/>
      <c r="G9" s="4"/>
      <c r="H9" s="25"/>
      <c r="I9" s="24"/>
      <c r="J9" s="26" t="str">
        <f aca="false">IF(COUNTA(A9,B9,D9,E9,F9,H9)=0,"Empty",IF(COUNTA(A9,B9,D9,E9,F9,H9)&lt;6,"Partial","Complete"))</f>
        <v>Partial</v>
      </c>
      <c r="K9" s="2"/>
      <c r="L9" s="2"/>
    </row>
    <row r="10" customFormat="false" ht="15.75" hidden="false" customHeight="true" outlineLevel="0" collapsed="false">
      <c r="A10" s="23" t="s">
        <v>218</v>
      </c>
      <c r="B10" s="23" t="s">
        <v>223</v>
      </c>
      <c r="C10" s="23" t="s">
        <v>224</v>
      </c>
      <c r="D10" s="4" t="s">
        <v>52</v>
      </c>
      <c r="E10" s="4"/>
      <c r="F10" s="4"/>
      <c r="G10" s="4"/>
      <c r="H10" s="25"/>
      <c r="I10" s="24"/>
      <c r="J10" s="26" t="str">
        <f aca="false">IF(COUNTA(A10,B10,D10,E10,F10,H10)=0,"Empty",IF(COUNTA(A10,B10,D10,E10,F10,H10)&lt;6,"Partial","Complete"))</f>
        <v>Partial</v>
      </c>
      <c r="K10" s="2"/>
      <c r="L10" s="2"/>
    </row>
    <row r="11" customFormat="false" ht="15.75" hidden="false" customHeight="true" outlineLevel="0" collapsed="false">
      <c r="A11" s="23" t="s">
        <v>225</v>
      </c>
      <c r="B11" s="23" t="s">
        <v>226</v>
      </c>
      <c r="C11" s="23" t="s">
        <v>227</v>
      </c>
      <c r="D11" s="4" t="s">
        <v>52</v>
      </c>
      <c r="E11" s="4"/>
      <c r="F11" s="4"/>
      <c r="G11" s="4"/>
      <c r="H11" s="25"/>
      <c r="I11" s="24"/>
      <c r="J11" s="26" t="str">
        <f aca="false">IF(COUNTA(A11,B11,D11,E11,F11,H11)=0,"Empty",IF(COUNTA(A11,B11,D11,E11,F11,H11)&lt;6,"Partial","Complete"))</f>
        <v>Partial</v>
      </c>
      <c r="K11" s="2"/>
      <c r="L11" s="2"/>
    </row>
    <row r="12" customFormat="false" ht="15.75" hidden="false" customHeight="true" outlineLevel="0" collapsed="false">
      <c r="A12" s="23" t="s">
        <v>225</v>
      </c>
      <c r="B12" s="23" t="s">
        <v>228</v>
      </c>
      <c r="C12" s="23" t="s">
        <v>229</v>
      </c>
      <c r="D12" s="4" t="s">
        <v>52</v>
      </c>
      <c r="E12" s="4"/>
      <c r="F12" s="4"/>
      <c r="G12" s="4"/>
      <c r="H12" s="25"/>
      <c r="I12" s="24"/>
      <c r="J12" s="26" t="str">
        <f aca="false">IF(COUNTA(A12,B12,D12,E12,F12,H12)=0,"Empty",IF(COUNTA(A12,B12,D12,E12,F12,H12)&lt;6,"Partial","Complete"))</f>
        <v>Partial</v>
      </c>
      <c r="K12" s="2"/>
      <c r="L12" s="2"/>
    </row>
    <row r="13" customFormat="false" ht="15.75" hidden="false" customHeight="true" outlineLevel="0" collapsed="false">
      <c r="A13" s="23" t="s">
        <v>230</v>
      </c>
      <c r="B13" s="23" t="s">
        <v>231</v>
      </c>
      <c r="C13" s="23" t="s">
        <v>232</v>
      </c>
      <c r="D13" s="4" t="s">
        <v>52</v>
      </c>
      <c r="E13" s="4"/>
      <c r="F13" s="4"/>
      <c r="G13" s="4"/>
      <c r="H13" s="25"/>
      <c r="I13" s="24"/>
      <c r="J13" s="26" t="str">
        <f aca="false">IF(COUNTA(A13,B13,D13,E13,F13,H13)=0,"Empty",IF(COUNTA(A13,B13,D13,E13,F13,H13)&lt;6,"Partial","Complete"))</f>
        <v>Partial</v>
      </c>
      <c r="K13" s="2"/>
      <c r="L13" s="2"/>
    </row>
    <row r="14" customFormat="false" ht="15.75" hidden="false" customHeight="true" outlineLevel="0" collapsed="false">
      <c r="A14" s="23" t="s">
        <v>230</v>
      </c>
      <c r="B14" s="23" t="s">
        <v>233</v>
      </c>
      <c r="C14" s="23" t="s">
        <v>234</v>
      </c>
      <c r="D14" s="4" t="s">
        <v>52</v>
      </c>
      <c r="E14" s="4"/>
      <c r="F14" s="4"/>
      <c r="G14" s="4"/>
      <c r="H14" s="25"/>
      <c r="I14" s="24"/>
      <c r="J14" s="26" t="str">
        <f aca="false">IF(COUNTA(A14,B14,D14,E14,F14,H14)=0,"Empty",IF(COUNTA(A14,B14,D14,E14,F14,H14)&lt;6,"Partial","Complete"))</f>
        <v>Partial</v>
      </c>
      <c r="K14" s="2"/>
      <c r="L14" s="2"/>
    </row>
    <row r="15" customFormat="false" ht="15.75" hidden="false" customHeight="true" outlineLevel="0" collapsed="false">
      <c r="A15" s="23" t="s">
        <v>235</v>
      </c>
      <c r="B15" s="23" t="s">
        <v>236</v>
      </c>
      <c r="C15" s="23" t="s">
        <v>237</v>
      </c>
      <c r="D15" s="4" t="s">
        <v>52</v>
      </c>
      <c r="E15" s="4"/>
      <c r="F15" s="4"/>
      <c r="G15" s="4"/>
      <c r="H15" s="25"/>
      <c r="I15" s="24"/>
      <c r="J15" s="26" t="str">
        <f aca="false">IF(COUNTA(A15,B15,D15,E15,F15,H15)=0,"Empty",IF(COUNTA(A15,B15,D15,E15,F15,H15)&lt;6,"Partial","Complete"))</f>
        <v>Partial</v>
      </c>
      <c r="K15" s="2"/>
      <c r="L15" s="2"/>
    </row>
    <row r="16" customFormat="false" ht="15.75" hidden="false" customHeight="true" outlineLevel="0" collapsed="false">
      <c r="A16" s="23" t="s">
        <v>235</v>
      </c>
      <c r="B16" s="23" t="s">
        <v>238</v>
      </c>
      <c r="C16" s="23" t="s">
        <v>239</v>
      </c>
      <c r="D16" s="4" t="s">
        <v>52</v>
      </c>
      <c r="E16" s="4"/>
      <c r="F16" s="4"/>
      <c r="G16" s="4"/>
      <c r="H16" s="25"/>
      <c r="I16" s="24"/>
      <c r="J16" s="26" t="str">
        <f aca="false">IF(COUNTA(A16,B16,D16,E16,F16,H16)=0,"Empty",IF(COUNTA(A16,B16,D16,E16,F16,H16)&lt;6,"Partial","Complete"))</f>
        <v>Partial</v>
      </c>
      <c r="K16" s="2"/>
      <c r="L16" s="2"/>
    </row>
    <row r="17" customFormat="false" ht="15.75" hidden="false" customHeight="true" outlineLevel="0" collapsed="false">
      <c r="J17" s="26" t="str">
        <f aca="false">IF(COUNTA(A17,B17,D17,E17,F17,H17)=0,"Empty",IF(COUNTA(A17,B17,D17,E17,F17,H17)&lt;6,"Partial","Complete"))</f>
        <v>Empty</v>
      </c>
      <c r="K17" s="2"/>
      <c r="L17" s="2"/>
    </row>
    <row r="18" customFormat="false" ht="15.75" hidden="false" customHeight="true" outlineLevel="0" collapsed="false">
      <c r="J18" s="26" t="str">
        <f aca="false">IF(COUNTA(A18,B18,D18,E18,F18,H18)=0,"Empty",IF(COUNTA(A18,B18,D18,E18,F18,H18)&lt;6,"Partial","Complete"))</f>
        <v>Empty</v>
      </c>
      <c r="K18" s="2"/>
      <c r="L18" s="2"/>
    </row>
    <row r="19" customFormat="false" ht="15.75" hidden="false" customHeight="true" outlineLevel="0" collapsed="false">
      <c r="J19" s="26" t="str">
        <f aca="false">IF(COUNTA(A19,B19,D19,E19,F19,H19)=0,"Empty",IF(COUNTA(A19,B19,D19,E19,F19,H19)&lt;6,"Partial","Complete"))</f>
        <v>Empty</v>
      </c>
      <c r="K19" s="2"/>
      <c r="L19" s="2"/>
    </row>
    <row r="20" customFormat="false" ht="15.75" hidden="false" customHeight="true" outlineLevel="0" collapsed="false">
      <c r="J20" s="26" t="str">
        <f aca="false">IF(COUNTA(A20,B20,D20,E20,F20,H20)=0,"Empty",IF(COUNTA(A20,B20,D20,E20,F20,H20)&lt;6,"Partial","Complete"))</f>
        <v>Empty</v>
      </c>
      <c r="K20" s="2"/>
      <c r="L20" s="2"/>
    </row>
    <row r="21" customFormat="false" ht="15.75" hidden="false" customHeight="true" outlineLevel="0" collapsed="false">
      <c r="J21" s="26" t="str">
        <f aca="false">IF(COUNTA(A21,B21,D21,E21,F21,H21)=0,"Empty",IF(COUNTA(A21,B21,D21,E21,F21,H21)&lt;6,"Partial","Complete"))</f>
        <v>Empty</v>
      </c>
      <c r="K21" s="2"/>
      <c r="L21" s="2"/>
    </row>
    <row r="22" customFormat="false" ht="15.75" hidden="false" customHeight="true" outlineLevel="0" collapsed="false">
      <c r="J22" s="26" t="str">
        <f aca="false">IF(COUNTA(A22,B22,D22,E22,F22,H22)=0,"Empty",IF(COUNTA(A22,B22,D22,E22,F22,H22)&lt;6,"Partial","Complete"))</f>
        <v>Empty</v>
      </c>
      <c r="K22" s="2"/>
      <c r="L22" s="2"/>
    </row>
    <row r="23" customFormat="false" ht="15.75" hidden="false" customHeight="true" outlineLevel="0" collapsed="false">
      <c r="J23" s="26" t="str">
        <f aca="false">IF(COUNTA(A23,B23,D23,E23,F23,H23)=0,"Empty",IF(COUNTA(A23,B23,D23,E23,F23,H23)&lt;6,"Partial","Complete"))</f>
        <v>Empty</v>
      </c>
      <c r="K23" s="2"/>
      <c r="L23" s="2"/>
    </row>
    <row r="24" customFormat="false" ht="15.75" hidden="false" customHeight="true" outlineLevel="0" collapsed="false">
      <c r="J24" s="26" t="str">
        <f aca="false">IF(COUNTA(A24,B24,D24,E24,F24,H24)=0,"Empty",IF(COUNTA(A24,B24,D24,E24,F24,H24)&lt;6,"Partial","Complete"))</f>
        <v>Empty</v>
      </c>
      <c r="K24" s="2"/>
      <c r="L24" s="2"/>
    </row>
    <row r="25" customFormat="false" ht="15.75" hidden="false" customHeight="true" outlineLevel="0" collapsed="false">
      <c r="J25" s="26" t="str">
        <f aca="false">IF(COUNTA(A25,B25,D25,E25,F25,H25)=0,"Empty",IF(COUNTA(A25,B25,D25,E25,F25,H25)&lt;6,"Partial","Complete"))</f>
        <v>Empty</v>
      </c>
      <c r="K25" s="2"/>
      <c r="L25" s="2"/>
    </row>
    <row r="26" customFormat="false" ht="15.75" hidden="false" customHeight="true" outlineLevel="0" collapsed="false">
      <c r="J26" s="26" t="str">
        <f aca="false">IF(COUNTA(A26,B26,D26,E26,F26,H26)=0,"Empty",IF(COUNTA(A26,B26,D26,E26,F26,H26)&lt;6,"Partial","Complete"))</f>
        <v>Empty</v>
      </c>
      <c r="K26" s="2"/>
      <c r="L26" s="2"/>
    </row>
    <row r="27" customFormat="false" ht="15.75" hidden="false" customHeight="true" outlineLevel="0" collapsed="false">
      <c r="J27" s="26" t="str">
        <f aca="false">IF(COUNTA(A27,B27,D27,E27,F27,H27)=0,"Empty",IF(COUNTA(A27,B27,D27,E27,F27,H27)&lt;6,"Partial","Complete"))</f>
        <v>Empty</v>
      </c>
      <c r="K27" s="2"/>
      <c r="L27" s="2"/>
    </row>
    <row r="28" customFormat="false" ht="15.75" hidden="false" customHeight="true" outlineLevel="0" collapsed="false">
      <c r="J28" s="26" t="str">
        <f aca="false">IF(COUNTA(A28,B28,D28,E28,F28,H28)=0,"Empty",IF(COUNTA(A28,B28,D28,E28,F28,H28)&lt;6,"Partial","Complete"))</f>
        <v>Empty</v>
      </c>
      <c r="K28" s="2"/>
      <c r="L28" s="2"/>
    </row>
    <row r="29" customFormat="false" ht="15.75" hidden="false" customHeight="true" outlineLevel="0" collapsed="false">
      <c r="J29" s="26" t="str">
        <f aca="false">IF(COUNTA(A29,B29,D29,E29,F29,H29)=0,"Empty",IF(COUNTA(A29,B29,D29,E29,F29,H29)&lt;6,"Partial","Complete"))</f>
        <v>Empty</v>
      </c>
      <c r="K29" s="2"/>
      <c r="L29" s="2"/>
    </row>
    <row r="30" customFormat="false" ht="15.75" hidden="false" customHeight="true" outlineLevel="0" collapsed="false">
      <c r="J30" s="26" t="str">
        <f aca="false">IF(COUNTA(A30,B30,D30,E30,F30,H30)=0,"Empty",IF(COUNTA(A30,B30,D30,E30,F30,H30)&lt;6,"Partial","Complete"))</f>
        <v>Empty</v>
      </c>
      <c r="K30" s="2"/>
      <c r="L30" s="2"/>
    </row>
    <row r="31" customFormat="false" ht="15.75" hidden="false" customHeight="true" outlineLevel="0" collapsed="false">
      <c r="J31" s="26" t="str">
        <f aca="false">IF(COUNTA(A31,B31,D31,E31,F31,H31)=0,"Empty",IF(COUNTA(A31,B31,D31,E31,F31,H31)&lt;6,"Partial","Complete"))</f>
        <v>Empty</v>
      </c>
      <c r="K31" s="2"/>
      <c r="L31" s="2"/>
    </row>
    <row r="32" customFormat="false" ht="15.75" hidden="false" customHeight="true" outlineLevel="0" collapsed="false">
      <c r="J32" s="26" t="str">
        <f aca="false">IF(COUNTA(A32,B32,D32,E32,F32,H32)=0,"Empty",IF(COUNTA(A32,B32,D32,E32,F32,H32)&lt;6,"Partial","Complete"))</f>
        <v>Empty</v>
      </c>
      <c r="K32" s="2"/>
      <c r="L32" s="2"/>
    </row>
    <row r="33" customFormat="false" ht="15.75" hidden="false" customHeight="true" outlineLevel="0" collapsed="false">
      <c r="J33" s="26" t="str">
        <f aca="false">IF(COUNTA(A33,B33,D33,E33,F33,H33)=0,"Empty",IF(COUNTA(A33,B33,D33,E33,F33,H33)&lt;6,"Partial","Complete"))</f>
        <v>Empty</v>
      </c>
      <c r="K33" s="2"/>
      <c r="L33" s="2"/>
    </row>
    <row r="34" customFormat="false" ht="15.75" hidden="false" customHeight="true" outlineLevel="0" collapsed="false">
      <c r="J34" s="26" t="str">
        <f aca="false">IF(COUNTA(A34,B34,D34,E34,F34,H34)=0,"Empty",IF(COUNTA(A34,B34,D34,E34,F34,H34)&lt;6,"Partial","Complete"))</f>
        <v>Empty</v>
      </c>
      <c r="K34" s="2"/>
      <c r="L34" s="2"/>
    </row>
    <row r="35" customFormat="false" ht="15.75" hidden="false" customHeight="true" outlineLevel="0" collapsed="false">
      <c r="J35" s="26" t="str">
        <f aca="false">IF(COUNTA(A35,B35,D35,E35,F35,H35)=0,"Empty",IF(COUNTA(A35,B35,D35,E35,F35,H35)&lt;6,"Partial","Complete"))</f>
        <v>Empty</v>
      </c>
      <c r="K35" s="2"/>
      <c r="L35" s="2"/>
    </row>
    <row r="36" customFormat="false" ht="15.75" hidden="false" customHeight="true" outlineLevel="0" collapsed="false">
      <c r="J36" s="26" t="str">
        <f aca="false">IF(COUNTA(A36,B36,D36,E36,F36,H36)=0,"Empty",IF(COUNTA(A36,B36,D36,E36,F36,H36)&lt;6,"Partial","Complete"))</f>
        <v>Empty</v>
      </c>
      <c r="K36" s="2"/>
      <c r="L36" s="2"/>
    </row>
    <row r="37" customFormat="false" ht="15.75" hidden="false" customHeight="true" outlineLevel="0" collapsed="false">
      <c r="J37" s="26" t="str">
        <f aca="false">IF(COUNTA(A37,B37,D37,E37,F37,H37)=0,"Empty",IF(COUNTA(A37,B37,D37,E37,F37,H37)&lt;6,"Partial","Complete"))</f>
        <v>Empty</v>
      </c>
      <c r="K37" s="2"/>
      <c r="L37" s="2"/>
    </row>
    <row r="38" customFormat="false" ht="15.75" hidden="false" customHeight="true" outlineLevel="0" collapsed="false">
      <c r="J38" s="26" t="str">
        <f aca="false">IF(COUNTA(A38,B38,D38,E38,F38,H38)=0,"Empty",IF(COUNTA(A38,B38,D38,E38,F38,H38)&lt;6,"Partial","Complete"))</f>
        <v>Empty</v>
      </c>
      <c r="K38" s="2"/>
      <c r="L38" s="2"/>
    </row>
    <row r="39" customFormat="false" ht="15.75" hidden="false" customHeight="true" outlineLevel="0" collapsed="false">
      <c r="J39" s="26" t="str">
        <f aca="false">IF(COUNTA(A39,B39,D39,E39,F39,H39)=0,"Empty",IF(COUNTA(A39,B39,D39,E39,F39,H39)&lt;6,"Partial","Complete"))</f>
        <v>Empty</v>
      </c>
      <c r="K39" s="2"/>
      <c r="L39" s="2"/>
    </row>
    <row r="40" customFormat="false" ht="15.75" hidden="false" customHeight="true" outlineLevel="0" collapsed="false">
      <c r="J40" s="26" t="str">
        <f aca="false">IF(COUNTA(A40,B40,D40,E40,F40,H40)=0,"Empty",IF(COUNTA(A40,B40,D40,E40,F40,H40)&lt;6,"Partial","Complete"))</f>
        <v>Empty</v>
      </c>
      <c r="K40" s="2"/>
      <c r="L40" s="2"/>
    </row>
    <row r="41" customFormat="false" ht="15.75" hidden="false" customHeight="true" outlineLevel="0" collapsed="false">
      <c r="J41" s="26" t="str">
        <f aca="false">IF(COUNTA(A41,B41,D41,E41,F41,H41)=0,"Empty",IF(COUNTA(A41,B41,D41,E41,F41,H41)&lt;6,"Partial","Complete"))</f>
        <v>Empty</v>
      </c>
      <c r="K41" s="2"/>
      <c r="L41" s="2"/>
    </row>
    <row r="42" customFormat="false" ht="15.75" hidden="false" customHeight="true" outlineLevel="0" collapsed="false">
      <c r="J42" s="26" t="str">
        <f aca="false">IF(COUNTA(A42,B42,D42,E42,F42,H42)=0,"Empty",IF(COUNTA(A42,B42,D42,E42,F42,H42)&lt;6,"Partial","Complete"))</f>
        <v>Empty</v>
      </c>
      <c r="K42" s="2"/>
      <c r="L42" s="2"/>
    </row>
    <row r="43" customFormat="false" ht="15.75" hidden="false" customHeight="true" outlineLevel="0" collapsed="false">
      <c r="J43" s="26" t="str">
        <f aca="false">IF(COUNTA(A43,B43,D43,E43,F43,H43)=0,"Empty",IF(COUNTA(A43,B43,D43,E43,F43,H43)&lt;6,"Partial","Complete"))</f>
        <v>Empty</v>
      </c>
      <c r="K43" s="2"/>
      <c r="L43" s="2"/>
    </row>
    <row r="44" customFormat="false" ht="15.75" hidden="false" customHeight="true" outlineLevel="0" collapsed="false">
      <c r="J44" s="26" t="str">
        <f aca="false">IF(COUNTA(A44,B44,D44,E44,F44,H44)=0,"Empty",IF(COUNTA(A44,B44,D44,E44,F44,H44)&lt;6,"Partial","Complete"))</f>
        <v>Empty</v>
      </c>
      <c r="K44" s="2"/>
      <c r="L44" s="2"/>
    </row>
    <row r="45" customFormat="false" ht="15.75" hidden="false" customHeight="true" outlineLevel="0" collapsed="false">
      <c r="J45" s="26" t="str">
        <f aca="false">IF(COUNTA(A45,B45,D45,E45,F45,H45)=0,"Empty",IF(COUNTA(A45,B45,D45,E45,F45,H45)&lt;6,"Partial","Complete"))</f>
        <v>Empty</v>
      </c>
      <c r="K45" s="2"/>
      <c r="L45" s="2"/>
    </row>
    <row r="46" customFormat="false" ht="15.75" hidden="false" customHeight="true" outlineLevel="0" collapsed="false">
      <c r="J46" s="26" t="str">
        <f aca="false">IF(COUNTA(A46,B46,D46,E46,F46,H46)=0,"Empty",IF(COUNTA(A46,B46,D46,E46,F46,H46)&lt;6,"Partial","Complete"))</f>
        <v>Empty</v>
      </c>
      <c r="K46" s="2"/>
      <c r="L46" s="2"/>
    </row>
    <row r="47" customFormat="false" ht="15.75" hidden="false" customHeight="true" outlineLevel="0" collapsed="false">
      <c r="J47" s="26" t="str">
        <f aca="false">IF(COUNTA(A47,B47,D47,E47,F47,H47)=0,"Empty",IF(COUNTA(A47,B47,D47,E47,F47,H47)&lt;6,"Partial","Complete"))</f>
        <v>Empty</v>
      </c>
      <c r="K47" s="2"/>
      <c r="L47" s="2"/>
    </row>
    <row r="48" customFormat="false" ht="15.75" hidden="false" customHeight="true" outlineLevel="0" collapsed="false">
      <c r="J48" s="26" t="str">
        <f aca="false">IF(COUNTA(A48,B48,D48,E48,F48,H48)=0,"Empty",IF(COUNTA(A48,B48,D48,E48,F48,H48)&lt;6,"Partial","Complete"))</f>
        <v>Empty</v>
      </c>
      <c r="K48" s="2"/>
      <c r="L48" s="2"/>
    </row>
    <row r="49" customFormat="false" ht="15.75" hidden="false" customHeight="true" outlineLevel="0" collapsed="false">
      <c r="J49" s="26" t="str">
        <f aca="false">IF(COUNTA(A49,B49,D49,E49,F49,H49)=0,"Empty",IF(COUNTA(A49,B49,D49,E49,F49,H49)&lt;6,"Partial","Complete"))</f>
        <v>Empty</v>
      </c>
      <c r="K49" s="2"/>
      <c r="L49" s="2"/>
    </row>
    <row r="50" customFormat="false" ht="15.75" hidden="false" customHeight="true" outlineLevel="0" collapsed="false">
      <c r="J50" s="26" t="str">
        <f aca="false">IF(COUNTA(A50,B50,D50,E50,F50,H50)=0,"Empty",IF(COUNTA(A50,B50,D50,E50,F50,H50)&lt;6,"Partial","Complete"))</f>
        <v>Empty</v>
      </c>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dataValidations count="1">
    <dataValidation allowBlank="false" errorStyle="stop" operator="between" showDropDown="false" showErrorMessage="false" showInputMessage="false" sqref="H2:H50"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8"/>
    <col collapsed="false" customWidth="true" hidden="false" outlineLevel="0" max="4" min="2" style="0" width="21.83"/>
    <col collapsed="false" customWidth="true" hidden="false" outlineLevel="0" max="5" min="5" style="0" width="42"/>
    <col collapsed="false" customWidth="true" hidden="false" outlineLevel="0" max="7" min="6" style="0" width="38"/>
    <col collapsed="false" customWidth="true" hidden="false" outlineLevel="0" max="8" min="8" style="0" width="35"/>
  </cols>
  <sheetData>
    <row r="1" customFormat="false" ht="45" hidden="false" customHeight="true" outlineLevel="0" collapsed="false">
      <c r="A1" s="6" t="s">
        <v>240</v>
      </c>
      <c r="B1" s="6" t="s">
        <v>241</v>
      </c>
      <c r="C1" s="6" t="s">
        <v>176</v>
      </c>
      <c r="D1" s="6" t="s">
        <v>242</v>
      </c>
      <c r="E1" s="6" t="s">
        <v>243</v>
      </c>
      <c r="F1" s="6" t="s">
        <v>244</v>
      </c>
      <c r="G1" s="6" t="s">
        <v>245</v>
      </c>
      <c r="H1" s="6" t="s">
        <v>202</v>
      </c>
      <c r="I1" s="2"/>
      <c r="J1" s="2"/>
      <c r="K1" s="2"/>
      <c r="L1" s="2"/>
    </row>
    <row r="2" customFormat="false" ht="15.75" hidden="false" customHeight="true" outlineLevel="0" collapsed="false">
      <c r="A2" s="7" t="s">
        <v>246</v>
      </c>
      <c r="B2" s="27"/>
      <c r="C2" s="27"/>
      <c r="D2" s="27"/>
      <c r="E2" s="7" t="s">
        <v>247</v>
      </c>
      <c r="F2" s="27"/>
      <c r="G2" s="27"/>
      <c r="H2" s="28"/>
      <c r="I2" s="2"/>
      <c r="J2" s="2"/>
      <c r="K2" s="2"/>
      <c r="L2" s="2"/>
    </row>
    <row r="3" customFormat="false" ht="15.75" hidden="false" customHeight="true" outlineLevel="0" collapsed="false">
      <c r="A3" s="7" t="s">
        <v>248</v>
      </c>
      <c r="B3" s="27"/>
      <c r="C3" s="27"/>
      <c r="D3" s="27"/>
      <c r="E3" s="7" t="s">
        <v>249</v>
      </c>
      <c r="F3" s="27"/>
      <c r="G3" s="27"/>
      <c r="H3" s="28"/>
      <c r="I3" s="2"/>
      <c r="J3" s="2"/>
      <c r="K3" s="2"/>
      <c r="L3" s="2"/>
    </row>
    <row r="4" customFormat="false" ht="15.75" hidden="false" customHeight="true" outlineLevel="0" collapsed="false">
      <c r="A4" s="7" t="s">
        <v>250</v>
      </c>
      <c r="B4" s="27"/>
      <c r="C4" s="27"/>
      <c r="D4" s="27"/>
      <c r="E4" s="7" t="s">
        <v>251</v>
      </c>
      <c r="F4" s="27"/>
      <c r="G4" s="27"/>
      <c r="H4" s="28"/>
      <c r="I4" s="2"/>
      <c r="J4" s="2"/>
      <c r="K4" s="2"/>
      <c r="L4" s="2"/>
    </row>
    <row r="5" customFormat="false" ht="15.75" hidden="false" customHeight="true" outlineLevel="0" collapsed="false">
      <c r="A5" s="7" t="s">
        <v>252</v>
      </c>
      <c r="B5" s="27"/>
      <c r="C5" s="27"/>
      <c r="D5" s="27"/>
      <c r="E5" s="7" t="s">
        <v>253</v>
      </c>
      <c r="F5" s="27"/>
      <c r="G5" s="27"/>
      <c r="H5" s="28"/>
      <c r="I5" s="2"/>
      <c r="J5" s="2"/>
      <c r="K5" s="2"/>
      <c r="L5" s="2"/>
    </row>
    <row r="6" customFormat="false" ht="15.75" hidden="false" customHeight="true" outlineLevel="0" collapsed="false">
      <c r="A6" s="7" t="s">
        <v>254</v>
      </c>
      <c r="B6" s="27"/>
      <c r="C6" s="27"/>
      <c r="D6" s="27"/>
      <c r="E6" s="7" t="s">
        <v>255</v>
      </c>
      <c r="F6" s="27"/>
      <c r="G6" s="27"/>
      <c r="H6" s="28"/>
      <c r="I6" s="2"/>
      <c r="J6" s="2"/>
      <c r="K6" s="2"/>
      <c r="L6" s="2"/>
    </row>
    <row r="7" customFormat="false" ht="15.75" hidden="false" customHeight="true" outlineLevel="0" collapsed="false">
      <c r="A7" s="7" t="s">
        <v>256</v>
      </c>
      <c r="B7" s="27"/>
      <c r="C7" s="27"/>
      <c r="D7" s="27"/>
      <c r="E7" s="7" t="s">
        <v>257</v>
      </c>
      <c r="F7" s="27"/>
      <c r="G7" s="27"/>
      <c r="H7" s="28"/>
      <c r="I7" s="2"/>
      <c r="J7" s="2"/>
      <c r="K7" s="2"/>
      <c r="L7" s="2"/>
    </row>
    <row r="8" customFormat="false" ht="15.75" hidden="false" customHeight="true" outlineLevel="0" collapsed="false">
      <c r="A8" s="7" t="s">
        <v>258</v>
      </c>
      <c r="B8" s="27"/>
      <c r="C8" s="27"/>
      <c r="D8" s="27"/>
      <c r="E8" s="7" t="s">
        <v>259</v>
      </c>
      <c r="F8" s="27"/>
      <c r="G8" s="27"/>
      <c r="H8" s="28"/>
      <c r="I8" s="2"/>
      <c r="J8" s="2"/>
      <c r="K8" s="2"/>
      <c r="L8" s="2"/>
    </row>
    <row r="9" customFormat="false" ht="15" hidden="false" customHeight="false" outlineLevel="0" collapsed="false">
      <c r="A9" s="2"/>
      <c r="B9" s="2"/>
      <c r="C9" s="2"/>
      <c r="D9" s="2"/>
      <c r="E9" s="2"/>
      <c r="F9" s="2"/>
      <c r="G9" s="2"/>
      <c r="H9" s="2"/>
      <c r="I9" s="2"/>
      <c r="J9" s="2"/>
      <c r="K9" s="2"/>
      <c r="L9" s="2"/>
    </row>
    <row r="10" customFormat="false" ht="15" hidden="false" customHeight="false" outlineLevel="0" collapsed="false">
      <c r="A10" s="2"/>
      <c r="B10" s="2"/>
      <c r="C10" s="2"/>
      <c r="D10" s="2"/>
      <c r="E10" s="2"/>
      <c r="F10" s="2"/>
      <c r="G10" s="2"/>
      <c r="H10" s="2"/>
      <c r="I10" s="2"/>
      <c r="J10" s="2"/>
      <c r="K10" s="2"/>
      <c r="L10" s="2"/>
    </row>
    <row r="11" customFormat="false" ht="15" hidden="false" customHeight="false" outlineLevel="0" collapsed="false">
      <c r="A11" s="2"/>
      <c r="B11" s="2"/>
      <c r="C11" s="2"/>
      <c r="D11" s="2"/>
      <c r="E11" s="2"/>
      <c r="F11" s="2"/>
      <c r="G11" s="2"/>
      <c r="H11" s="2"/>
      <c r="I11" s="2"/>
      <c r="J11" s="2"/>
      <c r="K11" s="2"/>
      <c r="L11" s="2"/>
    </row>
    <row r="12" customFormat="false" ht="15" hidden="false" customHeight="false" outlineLevel="0" collapsed="false">
      <c r="A12" s="2"/>
      <c r="B12" s="2"/>
      <c r="C12" s="2"/>
      <c r="D12" s="2"/>
      <c r="E12" s="2"/>
      <c r="F12" s="2"/>
      <c r="G12" s="2"/>
      <c r="H12" s="2"/>
      <c r="I12" s="2"/>
      <c r="J12" s="2"/>
      <c r="K12" s="2"/>
      <c r="L12" s="2"/>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
      <c r="B14" s="2"/>
      <c r="C14" s="2"/>
      <c r="D14" s="2"/>
      <c r="E14" s="2"/>
      <c r="F14" s="2"/>
      <c r="G14" s="2"/>
      <c r="H14" s="2"/>
      <c r="I14" s="2"/>
      <c r="J14" s="2"/>
      <c r="K14" s="2"/>
      <c r="L14" s="2"/>
    </row>
    <row r="15" customFormat="false" ht="15" hidden="false" customHeight="false" outlineLevel="0" collapsed="false">
      <c r="A15" s="2"/>
      <c r="B15" s="2"/>
      <c r="C15" s="2"/>
      <c r="D15" s="2"/>
      <c r="E15" s="2"/>
      <c r="F15" s="2"/>
      <c r="G15" s="2"/>
      <c r="H15" s="2"/>
      <c r="I15" s="2"/>
      <c r="J15" s="2"/>
      <c r="K15" s="2"/>
      <c r="L15" s="2"/>
    </row>
    <row r="16" customFormat="false" ht="15" hidden="false" customHeight="false" outlineLevel="0" collapsed="false">
      <c r="A16" s="2"/>
      <c r="B16" s="2"/>
      <c r="C16" s="2"/>
      <c r="D16" s="2"/>
      <c r="E16" s="2"/>
      <c r="F16" s="2"/>
      <c r="G16" s="2"/>
      <c r="H16" s="2"/>
      <c r="I16" s="2"/>
      <c r="J16" s="2"/>
      <c r="K16" s="2"/>
      <c r="L16" s="2"/>
    </row>
    <row r="17" customFormat="false" ht="15" hidden="false" customHeight="false" outlineLevel="0" collapsed="false">
      <c r="A17" s="2"/>
      <c r="B17" s="2"/>
      <c r="C17" s="2"/>
      <c r="D17" s="2"/>
      <c r="E17" s="2"/>
      <c r="F17" s="2"/>
      <c r="G17" s="2"/>
      <c r="H17" s="2"/>
      <c r="I17" s="2"/>
      <c r="J17" s="2"/>
      <c r="K17" s="2"/>
      <c r="L17" s="2"/>
    </row>
    <row r="18" customFormat="false" ht="15" hidden="false" customHeight="false" outlineLevel="0" collapsed="false">
      <c r="A18" s="2"/>
      <c r="B18" s="2"/>
      <c r="C18" s="2"/>
      <c r="D18" s="2"/>
      <c r="E18" s="2"/>
      <c r="F18" s="2"/>
      <c r="G18" s="2"/>
      <c r="H18" s="2"/>
      <c r="I18" s="2"/>
      <c r="J18" s="2"/>
      <c r="K18" s="2"/>
      <c r="L18" s="2"/>
    </row>
    <row r="19" customFormat="false" ht="15" hidden="false" customHeight="false" outlineLevel="0" collapsed="false">
      <c r="A19" s="2"/>
      <c r="B19" s="2"/>
      <c r="C19" s="2"/>
      <c r="D19" s="2"/>
      <c r="E19" s="2"/>
      <c r="F19" s="2"/>
      <c r="G19" s="2"/>
      <c r="H19" s="2"/>
      <c r="I19" s="2"/>
      <c r="J19" s="2"/>
      <c r="K19" s="2"/>
      <c r="L19" s="2"/>
    </row>
    <row r="20" customFormat="false" ht="15" hidden="false" customHeight="false" outlineLevel="0" collapsed="false">
      <c r="A20" s="2"/>
      <c r="B20" s="2"/>
      <c r="C20" s="2"/>
      <c r="D20" s="2"/>
      <c r="E20" s="2"/>
      <c r="F20" s="2"/>
      <c r="G20" s="2"/>
      <c r="H20" s="2"/>
      <c r="I20" s="2"/>
      <c r="J20" s="2"/>
      <c r="K20" s="2"/>
      <c r="L20" s="2"/>
    </row>
    <row r="21" customFormat="false" ht="15" hidden="false" customHeight="false" outlineLevel="0" collapsed="false">
      <c r="A21" s="2"/>
      <c r="B21" s="2"/>
      <c r="C21" s="2"/>
      <c r="D21" s="2"/>
      <c r="E21" s="2"/>
      <c r="F21" s="2"/>
      <c r="G21" s="2"/>
      <c r="H21" s="2"/>
      <c r="I21" s="2"/>
      <c r="J21" s="2"/>
      <c r="K21" s="2"/>
      <c r="L21" s="2"/>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
      <c r="B23" s="2"/>
      <c r="C23" s="2"/>
      <c r="D23" s="2"/>
      <c r="E23" s="2"/>
      <c r="F23" s="2"/>
      <c r="G23" s="2"/>
      <c r="H23" s="2"/>
      <c r="I23" s="2"/>
      <c r="J23" s="2"/>
      <c r="K23" s="2"/>
      <c r="L23" s="2"/>
    </row>
    <row r="24" customFormat="false" ht="15" hidden="false" customHeight="false" outlineLevel="0" collapsed="false">
      <c r="A24" s="2"/>
      <c r="B24" s="2"/>
      <c r="C24" s="2"/>
      <c r="D24" s="2"/>
      <c r="E24" s="2"/>
      <c r="F24" s="2"/>
      <c r="G24" s="2"/>
      <c r="H24" s="2"/>
      <c r="I24" s="2"/>
      <c r="J24" s="2"/>
      <c r="K24" s="2"/>
      <c r="L24" s="2"/>
    </row>
    <row r="25" customFormat="false" ht="15" hidden="false" customHeight="false" outlineLevel="0" collapsed="false">
      <c r="A25" s="2"/>
      <c r="B25" s="2"/>
      <c r="C25" s="2"/>
      <c r="D25" s="2"/>
      <c r="E25" s="2"/>
      <c r="F25" s="2"/>
      <c r="G25" s="2"/>
      <c r="H25" s="2"/>
      <c r="I25" s="2"/>
      <c r="J25" s="2"/>
      <c r="K25" s="2"/>
      <c r="L25" s="2"/>
    </row>
    <row r="26" customFormat="false" ht="15" hidden="false" customHeight="false" outlineLevel="0" collapsed="false">
      <c r="A26" s="2"/>
      <c r="B26" s="2"/>
      <c r="C26" s="2"/>
      <c r="D26" s="2"/>
      <c r="E26" s="2"/>
      <c r="F26" s="2"/>
      <c r="G26" s="2"/>
      <c r="H26" s="2"/>
      <c r="I26" s="2"/>
      <c r="J26" s="2"/>
      <c r="K26" s="2"/>
      <c r="L26" s="2"/>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18"/>
    <col collapsed="false" customWidth="true" hidden="false" outlineLevel="0" max="4" min="4" style="0" width="20"/>
    <col collapsed="false" customWidth="true" hidden="false" outlineLevel="0" max="5" min="5" style="0" width="35"/>
    <col collapsed="false" customWidth="true" hidden="false" outlineLevel="0" max="7" min="6" style="0" width="22"/>
    <col collapsed="false" customWidth="true" hidden="false" outlineLevel="0" max="8" min="8" style="0" width="34"/>
    <col collapsed="false" customWidth="true" hidden="false" outlineLevel="0" max="9" min="9" style="0" width="30"/>
  </cols>
  <sheetData>
    <row r="1" customFormat="false" ht="45" hidden="false" customHeight="true" outlineLevel="0" collapsed="false">
      <c r="A1" s="6" t="s">
        <v>260</v>
      </c>
      <c r="B1" s="6" t="s">
        <v>261</v>
      </c>
      <c r="C1" s="6" t="s">
        <v>262</v>
      </c>
      <c r="D1" s="6" t="s">
        <v>263</v>
      </c>
      <c r="E1" s="6" t="s">
        <v>264</v>
      </c>
      <c r="F1" s="6" t="s">
        <v>265</v>
      </c>
      <c r="G1" s="6" t="s">
        <v>266</v>
      </c>
      <c r="H1" s="6" t="s">
        <v>267</v>
      </c>
      <c r="I1" s="6" t="s">
        <v>268</v>
      </c>
      <c r="J1" s="2"/>
      <c r="K1" s="2"/>
      <c r="L1" s="2"/>
    </row>
    <row r="2" customFormat="false" ht="15.75" hidden="false" customHeight="true" outlineLevel="0" collapsed="false">
      <c r="A2" s="23" t="s">
        <v>269</v>
      </c>
      <c r="B2" s="23" t="s">
        <v>270</v>
      </c>
      <c r="C2" s="4" t="s">
        <v>159</v>
      </c>
      <c r="D2" s="4" t="s">
        <v>154</v>
      </c>
      <c r="E2" s="4" t="s">
        <v>271</v>
      </c>
      <c r="F2" s="4" t="s">
        <v>272</v>
      </c>
      <c r="G2" s="4" t="s">
        <v>273</v>
      </c>
      <c r="H2" s="4" t="s">
        <v>274</v>
      </c>
      <c r="I2" s="24"/>
      <c r="J2" s="2"/>
      <c r="K2" s="2"/>
      <c r="L2" s="2"/>
    </row>
    <row r="3" customFormat="false" ht="15" hidden="false" customHeight="false" outlineLevel="0" collapsed="false">
      <c r="A3" s="23" t="s">
        <v>183</v>
      </c>
      <c r="B3" s="23" t="s">
        <v>275</v>
      </c>
      <c r="C3" s="4" t="s">
        <v>164</v>
      </c>
      <c r="D3" s="4" t="s">
        <v>154</v>
      </c>
      <c r="E3" s="4" t="s">
        <v>276</v>
      </c>
      <c r="F3" s="4" t="s">
        <v>277</v>
      </c>
      <c r="G3" s="4" t="s">
        <v>278</v>
      </c>
      <c r="H3" s="4" t="s">
        <v>279</v>
      </c>
      <c r="I3" s="24"/>
      <c r="J3" s="2"/>
      <c r="K3" s="2"/>
      <c r="L3" s="2"/>
    </row>
    <row r="4" customFormat="false" ht="15.75" hidden="false" customHeight="true" outlineLevel="0" collapsed="false">
      <c r="A4" s="23" t="s">
        <v>280</v>
      </c>
      <c r="B4" s="23" t="s">
        <v>281</v>
      </c>
      <c r="C4" s="4" t="s">
        <v>159</v>
      </c>
      <c r="D4" s="4" t="s">
        <v>149</v>
      </c>
      <c r="E4" s="4" t="s">
        <v>282</v>
      </c>
      <c r="F4" s="4" t="s">
        <v>283</v>
      </c>
      <c r="G4" s="4" t="s">
        <v>284</v>
      </c>
      <c r="H4" s="4" t="s">
        <v>285</v>
      </c>
      <c r="I4" s="24"/>
      <c r="J4" s="2"/>
      <c r="K4" s="2"/>
      <c r="L4" s="2"/>
    </row>
    <row r="5" customFormat="false" ht="15.75" hidden="false" customHeight="true" outlineLevel="0" collapsed="false">
      <c r="A5" s="23" t="s">
        <v>286</v>
      </c>
      <c r="B5" s="23" t="s">
        <v>287</v>
      </c>
      <c r="C5" s="4" t="s">
        <v>164</v>
      </c>
      <c r="D5" s="4" t="s">
        <v>154</v>
      </c>
      <c r="E5" s="4" t="s">
        <v>288</v>
      </c>
      <c r="F5" s="4" t="s">
        <v>289</v>
      </c>
      <c r="G5" s="4" t="s">
        <v>273</v>
      </c>
      <c r="H5" s="4" t="s">
        <v>290</v>
      </c>
      <c r="I5" s="24"/>
      <c r="J5" s="2"/>
      <c r="K5" s="2"/>
      <c r="L5" s="2"/>
    </row>
    <row r="6" customFormat="false" ht="15" hidden="false" customHeight="false" outlineLevel="0" collapsed="false">
      <c r="A6" s="23" t="s">
        <v>291</v>
      </c>
      <c r="B6" s="23" t="s">
        <v>292</v>
      </c>
      <c r="C6" s="4" t="s">
        <v>164</v>
      </c>
      <c r="D6" s="4" t="s">
        <v>160</v>
      </c>
      <c r="E6" s="4" t="s">
        <v>293</v>
      </c>
      <c r="F6" s="4" t="s">
        <v>294</v>
      </c>
      <c r="G6" s="4" t="s">
        <v>295</v>
      </c>
      <c r="H6" s="4" t="s">
        <v>296</v>
      </c>
      <c r="I6" s="24"/>
      <c r="J6" s="2"/>
      <c r="K6" s="2"/>
      <c r="L6" s="2"/>
    </row>
    <row r="7" customFormat="false" ht="15.75" hidden="false" customHeight="true" outlineLevel="0" collapsed="false">
      <c r="A7" s="23" t="s">
        <v>297</v>
      </c>
      <c r="B7" s="23" t="s">
        <v>298</v>
      </c>
      <c r="C7" s="4" t="s">
        <v>299</v>
      </c>
      <c r="D7" s="4" t="s">
        <v>154</v>
      </c>
      <c r="E7" s="4" t="s">
        <v>300</v>
      </c>
      <c r="F7" s="4" t="s">
        <v>301</v>
      </c>
      <c r="G7" s="4" t="s">
        <v>278</v>
      </c>
      <c r="H7" s="4" t="s">
        <v>302</v>
      </c>
      <c r="I7" s="24"/>
      <c r="J7" s="2"/>
      <c r="K7" s="2"/>
      <c r="L7" s="2"/>
    </row>
    <row r="8" customFormat="false" ht="15.75" hidden="false" customHeight="true" outlineLevel="0" collapsed="false">
      <c r="A8" s="23" t="s">
        <v>303</v>
      </c>
      <c r="B8" s="23" t="s">
        <v>304</v>
      </c>
      <c r="C8" s="4" t="s">
        <v>168</v>
      </c>
      <c r="D8" s="4" t="s">
        <v>160</v>
      </c>
      <c r="E8" s="4" t="s">
        <v>305</v>
      </c>
      <c r="F8" s="4" t="s">
        <v>306</v>
      </c>
      <c r="G8" s="4" t="s">
        <v>168</v>
      </c>
      <c r="H8" s="4" t="s">
        <v>307</v>
      </c>
      <c r="I8" s="24"/>
      <c r="J8" s="2"/>
      <c r="K8" s="2"/>
      <c r="L8" s="2"/>
    </row>
    <row r="9" customFormat="false" ht="15" hidden="false" customHeight="false" outlineLevel="0" collapsed="false">
      <c r="A9" s="2"/>
      <c r="B9" s="2"/>
      <c r="C9" s="2"/>
      <c r="D9" s="2"/>
      <c r="E9" s="2"/>
      <c r="F9" s="2"/>
      <c r="G9" s="2"/>
      <c r="H9" s="2"/>
      <c r="I9" s="2"/>
      <c r="J9" s="2"/>
      <c r="K9" s="2"/>
      <c r="L9" s="2"/>
    </row>
    <row r="10" customFormat="false" ht="15" hidden="false" customHeight="false" outlineLevel="0" collapsed="false">
      <c r="A10" s="2"/>
      <c r="B10" s="2"/>
      <c r="C10" s="2"/>
      <c r="D10" s="2"/>
      <c r="E10" s="2"/>
      <c r="F10" s="2"/>
      <c r="G10" s="2"/>
      <c r="H10" s="2"/>
      <c r="I10" s="2"/>
      <c r="J10" s="2"/>
      <c r="K10" s="2"/>
      <c r="L10" s="2"/>
    </row>
    <row r="11" customFormat="false" ht="15" hidden="false" customHeight="false" outlineLevel="0" collapsed="false">
      <c r="A11" s="2"/>
      <c r="B11" s="2"/>
      <c r="C11" s="2"/>
      <c r="D11" s="2"/>
      <c r="E11" s="2"/>
      <c r="F11" s="2"/>
      <c r="G11" s="2"/>
      <c r="H11" s="2"/>
      <c r="I11" s="2"/>
      <c r="J11" s="2"/>
      <c r="K11" s="2"/>
      <c r="L11" s="2"/>
    </row>
    <row r="12" customFormat="false" ht="15" hidden="false" customHeight="false" outlineLevel="0" collapsed="false">
      <c r="A12" s="2"/>
      <c r="B12" s="2"/>
      <c r="C12" s="2"/>
      <c r="D12" s="2"/>
      <c r="E12" s="2"/>
      <c r="F12" s="2"/>
      <c r="G12" s="2"/>
      <c r="H12" s="2"/>
      <c r="I12" s="2"/>
      <c r="J12" s="2"/>
      <c r="K12" s="2"/>
      <c r="L12" s="2"/>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
      <c r="B14" s="2"/>
      <c r="C14" s="2"/>
      <c r="D14" s="2"/>
      <c r="E14" s="2"/>
      <c r="F14" s="2"/>
      <c r="G14" s="2"/>
      <c r="H14" s="2"/>
      <c r="I14" s="2"/>
      <c r="J14" s="2"/>
      <c r="K14" s="2"/>
      <c r="L14" s="2"/>
    </row>
    <row r="15" customFormat="false" ht="15" hidden="false" customHeight="false" outlineLevel="0" collapsed="false">
      <c r="A15" s="2"/>
      <c r="B15" s="2"/>
      <c r="C15" s="2"/>
      <c r="D15" s="2"/>
      <c r="E15" s="2"/>
      <c r="F15" s="2"/>
      <c r="G15" s="2"/>
      <c r="H15" s="2"/>
      <c r="I15" s="2"/>
      <c r="J15" s="2"/>
      <c r="K15" s="2"/>
      <c r="L15" s="2"/>
    </row>
    <row r="16" customFormat="false" ht="15" hidden="false" customHeight="false" outlineLevel="0" collapsed="false">
      <c r="A16" s="2"/>
      <c r="B16" s="2"/>
      <c r="C16" s="2"/>
      <c r="D16" s="2"/>
      <c r="E16" s="2"/>
      <c r="F16" s="2"/>
      <c r="G16" s="2"/>
      <c r="H16" s="2"/>
      <c r="I16" s="2"/>
      <c r="J16" s="2"/>
      <c r="K16" s="2"/>
      <c r="L16" s="2"/>
    </row>
    <row r="17" customFormat="false" ht="15" hidden="false" customHeight="false" outlineLevel="0" collapsed="false">
      <c r="A17" s="2"/>
      <c r="B17" s="2"/>
      <c r="C17" s="2"/>
      <c r="D17" s="2"/>
      <c r="E17" s="2"/>
      <c r="F17" s="2"/>
      <c r="G17" s="2"/>
      <c r="H17" s="2"/>
      <c r="I17" s="2"/>
      <c r="J17" s="2"/>
      <c r="K17" s="2"/>
      <c r="L17" s="2"/>
    </row>
    <row r="18" customFormat="false" ht="15" hidden="false" customHeight="false" outlineLevel="0" collapsed="false">
      <c r="A18" s="2"/>
      <c r="B18" s="2"/>
      <c r="C18" s="2"/>
      <c r="D18" s="2"/>
      <c r="E18" s="2"/>
      <c r="F18" s="2"/>
      <c r="G18" s="2"/>
      <c r="H18" s="2"/>
      <c r="I18" s="2"/>
      <c r="J18" s="2"/>
      <c r="K18" s="2"/>
      <c r="L18" s="2"/>
    </row>
    <row r="19" customFormat="false" ht="15" hidden="false" customHeight="false" outlineLevel="0" collapsed="false">
      <c r="A19" s="2"/>
      <c r="B19" s="2"/>
      <c r="C19" s="2"/>
      <c r="D19" s="2"/>
      <c r="E19" s="2"/>
      <c r="F19" s="2"/>
      <c r="G19" s="2"/>
      <c r="H19" s="2"/>
      <c r="I19" s="2"/>
      <c r="J19" s="2"/>
      <c r="K19" s="2"/>
      <c r="L19" s="2"/>
    </row>
    <row r="20" customFormat="false" ht="15" hidden="false" customHeight="false" outlineLevel="0" collapsed="false">
      <c r="A20" s="2"/>
      <c r="B20" s="2"/>
      <c r="C20" s="2"/>
      <c r="D20" s="2"/>
      <c r="E20" s="2"/>
      <c r="F20" s="2"/>
      <c r="G20" s="2"/>
      <c r="H20" s="2"/>
      <c r="I20" s="2"/>
      <c r="J20" s="2"/>
      <c r="K20" s="2"/>
      <c r="L20" s="2"/>
    </row>
    <row r="21" customFormat="false" ht="15" hidden="false" customHeight="false" outlineLevel="0" collapsed="false">
      <c r="A21" s="2"/>
      <c r="B21" s="2"/>
      <c r="C21" s="2"/>
      <c r="D21" s="2"/>
      <c r="E21" s="2"/>
      <c r="F21" s="2"/>
      <c r="G21" s="2"/>
      <c r="H21" s="2"/>
      <c r="I21" s="2"/>
      <c r="J21" s="2"/>
      <c r="K21" s="2"/>
      <c r="L21" s="2"/>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
      <c r="B23" s="2"/>
      <c r="C23" s="2"/>
      <c r="D23" s="2"/>
      <c r="E23" s="2"/>
      <c r="F23" s="2"/>
      <c r="G23" s="2"/>
      <c r="H23" s="2"/>
      <c r="I23" s="2"/>
      <c r="J23" s="2"/>
      <c r="K23" s="2"/>
      <c r="L23" s="2"/>
    </row>
    <row r="24" customFormat="false" ht="15" hidden="false" customHeight="false" outlineLevel="0" collapsed="false">
      <c r="A24" s="2"/>
      <c r="B24" s="2"/>
      <c r="C24" s="2"/>
      <c r="D24" s="2"/>
      <c r="E24" s="2"/>
      <c r="F24" s="2"/>
      <c r="G24" s="2"/>
      <c r="H24" s="2"/>
      <c r="I24" s="2"/>
      <c r="J24" s="2"/>
      <c r="K24" s="2"/>
      <c r="L24" s="2"/>
    </row>
    <row r="25" customFormat="false" ht="15" hidden="false" customHeight="false" outlineLevel="0" collapsed="false">
      <c r="A25" s="2"/>
      <c r="B25" s="2"/>
      <c r="C25" s="2"/>
      <c r="D25" s="2"/>
      <c r="E25" s="2"/>
      <c r="F25" s="2"/>
      <c r="G25" s="2"/>
      <c r="H25" s="2"/>
      <c r="I25" s="2"/>
      <c r="J25" s="2"/>
      <c r="K25" s="2"/>
      <c r="L25" s="2"/>
    </row>
    <row r="26" customFormat="false" ht="15" hidden="false" customHeight="false" outlineLevel="0" collapsed="false">
      <c r="A26" s="2"/>
      <c r="B26" s="2"/>
      <c r="C26" s="2"/>
      <c r="D26" s="2"/>
      <c r="E26" s="2"/>
      <c r="F26" s="2"/>
      <c r="G26" s="2"/>
      <c r="H26" s="2"/>
      <c r="I26" s="2"/>
      <c r="J26" s="2"/>
      <c r="K26" s="2"/>
      <c r="L26" s="2"/>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2" min="1" style="0" width="13.83"/>
  </cols>
  <sheetData>
    <row r="1" customFormat="false" ht="45" hidden="false" customHeight="true" outlineLevel="0" collapsed="false">
      <c r="A1" s="6" t="s">
        <v>308</v>
      </c>
      <c r="B1" s="6" t="s">
        <v>309</v>
      </c>
      <c r="C1" s="6" t="s">
        <v>310</v>
      </c>
      <c r="D1" s="6" t="s">
        <v>311</v>
      </c>
      <c r="E1" s="6" t="s">
        <v>119</v>
      </c>
      <c r="F1" s="6" t="s">
        <v>128</v>
      </c>
      <c r="G1" s="6" t="s">
        <v>49</v>
      </c>
      <c r="H1" s="6" t="s">
        <v>312</v>
      </c>
      <c r="I1" s="6" t="s">
        <v>313</v>
      </c>
      <c r="J1" s="6" t="s">
        <v>314</v>
      </c>
      <c r="K1" s="6" t="s">
        <v>315</v>
      </c>
      <c r="L1" s="6" t="s">
        <v>316</v>
      </c>
    </row>
    <row r="2" customFormat="false" ht="15" hidden="false" customHeight="false" outlineLevel="0" collapsed="false">
      <c r="A2" s="27"/>
      <c r="B2" s="27"/>
      <c r="C2" s="27"/>
      <c r="D2" s="27"/>
      <c r="E2" s="27"/>
      <c r="F2" s="27"/>
      <c r="G2" s="27"/>
      <c r="H2" s="27"/>
      <c r="I2" s="27"/>
      <c r="J2" s="27"/>
      <c r="K2" s="27"/>
      <c r="L2" s="27"/>
    </row>
    <row r="3" customFormat="false" ht="15" hidden="false" customHeight="false" outlineLevel="0" collapsed="false">
      <c r="A3" s="27"/>
      <c r="B3" s="27"/>
      <c r="C3" s="27"/>
      <c r="D3" s="27"/>
      <c r="E3" s="27"/>
      <c r="F3" s="27"/>
      <c r="G3" s="27"/>
      <c r="H3" s="27"/>
      <c r="I3" s="27"/>
      <c r="J3" s="27"/>
      <c r="K3" s="27"/>
      <c r="L3" s="27"/>
    </row>
    <row r="4" customFormat="false" ht="15" hidden="false" customHeight="false" outlineLevel="0" collapsed="false">
      <c r="A4" s="27"/>
      <c r="B4" s="27"/>
      <c r="C4" s="27"/>
      <c r="D4" s="27"/>
      <c r="E4" s="27"/>
      <c r="F4" s="27"/>
      <c r="G4" s="27"/>
      <c r="H4" s="27"/>
      <c r="I4" s="27"/>
      <c r="J4" s="27"/>
      <c r="K4" s="27"/>
      <c r="L4" s="27"/>
    </row>
    <row r="5" customFormat="false" ht="15" hidden="false" customHeight="false" outlineLevel="0" collapsed="false">
      <c r="A5" s="27"/>
      <c r="B5" s="27"/>
      <c r="C5" s="27"/>
      <c r="D5" s="27"/>
      <c r="E5" s="27"/>
      <c r="F5" s="27"/>
      <c r="G5" s="27"/>
      <c r="H5" s="27"/>
      <c r="I5" s="27"/>
      <c r="J5" s="27"/>
      <c r="K5" s="27"/>
      <c r="L5" s="27"/>
    </row>
    <row r="6" customFormat="false" ht="15" hidden="false" customHeight="false" outlineLevel="0" collapsed="false">
      <c r="A6" s="27"/>
      <c r="B6" s="27"/>
      <c r="C6" s="27"/>
      <c r="D6" s="27"/>
      <c r="E6" s="27"/>
      <c r="F6" s="27"/>
      <c r="G6" s="27"/>
      <c r="H6" s="27"/>
      <c r="I6" s="27"/>
      <c r="J6" s="27"/>
      <c r="K6" s="27"/>
      <c r="L6" s="27"/>
    </row>
    <row r="7" customFormat="false" ht="15" hidden="false" customHeight="false" outlineLevel="0" collapsed="false">
      <c r="A7" s="27"/>
      <c r="B7" s="27"/>
      <c r="C7" s="27"/>
      <c r="D7" s="27"/>
      <c r="E7" s="27"/>
      <c r="F7" s="27"/>
      <c r="G7" s="27"/>
      <c r="H7" s="27"/>
      <c r="I7" s="27"/>
      <c r="J7" s="27"/>
      <c r="K7" s="27"/>
      <c r="L7" s="27"/>
    </row>
    <row r="8" customFormat="false" ht="15" hidden="false" customHeight="false" outlineLevel="0" collapsed="false">
      <c r="A8" s="27"/>
      <c r="B8" s="27"/>
      <c r="C8" s="27"/>
      <c r="D8" s="27"/>
      <c r="E8" s="27"/>
      <c r="F8" s="27"/>
      <c r="G8" s="27"/>
      <c r="H8" s="27"/>
      <c r="I8" s="27"/>
      <c r="J8" s="27"/>
      <c r="K8" s="27"/>
      <c r="L8" s="27"/>
    </row>
    <row r="9" customFormat="false" ht="15" hidden="false" customHeight="false" outlineLevel="0" collapsed="false">
      <c r="A9" s="27"/>
      <c r="B9" s="27"/>
      <c r="C9" s="27"/>
      <c r="D9" s="27"/>
      <c r="E9" s="27"/>
      <c r="F9" s="27"/>
      <c r="G9" s="27"/>
      <c r="H9" s="27"/>
      <c r="I9" s="27"/>
      <c r="J9" s="27"/>
      <c r="K9" s="27"/>
      <c r="L9" s="27"/>
    </row>
    <row r="10" customFormat="false" ht="15" hidden="false" customHeight="false" outlineLevel="0" collapsed="false">
      <c r="A10" s="27"/>
      <c r="B10" s="27"/>
      <c r="C10" s="27"/>
      <c r="D10" s="27"/>
      <c r="E10" s="27"/>
      <c r="F10" s="27"/>
      <c r="G10" s="27"/>
      <c r="H10" s="27"/>
      <c r="I10" s="27"/>
      <c r="J10" s="27"/>
      <c r="K10" s="27"/>
      <c r="L10" s="27"/>
    </row>
    <row r="11" customFormat="false" ht="15" hidden="false" customHeight="false" outlineLevel="0" collapsed="false">
      <c r="A11" s="27"/>
      <c r="B11" s="27"/>
      <c r="C11" s="27"/>
      <c r="D11" s="27"/>
      <c r="E11" s="27"/>
      <c r="F11" s="27"/>
      <c r="G11" s="27"/>
      <c r="H11" s="27"/>
      <c r="I11" s="27"/>
      <c r="J11" s="27"/>
      <c r="K11" s="27"/>
      <c r="L11" s="27"/>
    </row>
    <row r="12" customFormat="false" ht="15" hidden="false" customHeight="false" outlineLevel="0" collapsed="false">
      <c r="A12" s="27"/>
      <c r="B12" s="27"/>
      <c r="C12" s="27"/>
      <c r="D12" s="27"/>
      <c r="E12" s="27"/>
      <c r="F12" s="27"/>
      <c r="G12" s="27"/>
      <c r="H12" s="27"/>
      <c r="I12" s="27"/>
      <c r="J12" s="27"/>
      <c r="K12" s="27"/>
      <c r="L12" s="27"/>
    </row>
    <row r="13" customFormat="false" ht="15" hidden="false" customHeight="false" outlineLevel="0" collapsed="false">
      <c r="A13" s="27"/>
      <c r="B13" s="27"/>
      <c r="C13" s="27"/>
      <c r="D13" s="27"/>
      <c r="E13" s="27"/>
      <c r="F13" s="27"/>
      <c r="G13" s="27"/>
      <c r="H13" s="27"/>
      <c r="I13" s="27"/>
      <c r="J13" s="27"/>
      <c r="K13" s="27"/>
      <c r="L13" s="27"/>
    </row>
    <row r="14" customFormat="false" ht="15" hidden="false" customHeight="false" outlineLevel="0" collapsed="false">
      <c r="A14" s="27"/>
      <c r="B14" s="27"/>
      <c r="C14" s="27"/>
      <c r="D14" s="27"/>
      <c r="E14" s="27"/>
      <c r="F14" s="27"/>
      <c r="G14" s="27"/>
      <c r="H14" s="27"/>
      <c r="I14" s="27"/>
      <c r="J14" s="27"/>
      <c r="K14" s="27"/>
      <c r="L14" s="27"/>
    </row>
    <row r="15" customFormat="false" ht="15" hidden="false" customHeight="false" outlineLevel="0" collapsed="false">
      <c r="A15" s="27"/>
      <c r="B15" s="27"/>
      <c r="C15" s="27"/>
      <c r="D15" s="27"/>
      <c r="E15" s="27"/>
      <c r="F15" s="27"/>
      <c r="G15" s="27"/>
      <c r="H15" s="27"/>
      <c r="I15" s="27"/>
      <c r="J15" s="27"/>
      <c r="K15" s="27"/>
      <c r="L15" s="27"/>
    </row>
    <row r="16" customFormat="false" ht="15" hidden="false" customHeight="false" outlineLevel="0" collapsed="false">
      <c r="A16" s="27"/>
      <c r="B16" s="27"/>
      <c r="C16" s="27"/>
      <c r="D16" s="27"/>
      <c r="E16" s="27"/>
      <c r="F16" s="27"/>
      <c r="G16" s="27"/>
      <c r="H16" s="27"/>
      <c r="I16" s="27"/>
      <c r="J16" s="27"/>
      <c r="K16" s="27"/>
      <c r="L16" s="27"/>
    </row>
    <row r="17" customFormat="false" ht="15" hidden="false" customHeight="false" outlineLevel="0" collapsed="false">
      <c r="A17" s="27"/>
      <c r="B17" s="27"/>
      <c r="C17" s="27"/>
      <c r="D17" s="27"/>
      <c r="E17" s="27"/>
      <c r="F17" s="27"/>
      <c r="G17" s="27"/>
      <c r="H17" s="27"/>
      <c r="I17" s="27"/>
      <c r="J17" s="27"/>
      <c r="K17" s="27"/>
      <c r="L17" s="27"/>
    </row>
    <row r="18" customFormat="false" ht="15" hidden="false" customHeight="false" outlineLevel="0" collapsed="false">
      <c r="A18" s="27"/>
      <c r="B18" s="27"/>
      <c r="C18" s="27"/>
      <c r="D18" s="27"/>
      <c r="E18" s="27"/>
      <c r="F18" s="27"/>
      <c r="G18" s="27"/>
      <c r="H18" s="27"/>
      <c r="I18" s="27"/>
      <c r="J18" s="27"/>
      <c r="K18" s="27"/>
      <c r="L18" s="27"/>
    </row>
    <row r="19" customFormat="false" ht="15" hidden="false" customHeight="false" outlineLevel="0" collapsed="false">
      <c r="A19" s="27"/>
      <c r="B19" s="27"/>
      <c r="C19" s="27"/>
      <c r="D19" s="27"/>
      <c r="E19" s="27"/>
      <c r="F19" s="27"/>
      <c r="G19" s="27"/>
      <c r="H19" s="27"/>
      <c r="I19" s="27"/>
      <c r="J19" s="27"/>
      <c r="K19" s="27"/>
      <c r="L19" s="27"/>
    </row>
    <row r="20" customFormat="false" ht="15" hidden="false" customHeight="false" outlineLevel="0" collapsed="false">
      <c r="A20" s="27"/>
      <c r="B20" s="27"/>
      <c r="C20" s="27"/>
      <c r="D20" s="27"/>
      <c r="E20" s="27"/>
      <c r="F20" s="27"/>
      <c r="G20" s="27"/>
      <c r="H20" s="27"/>
      <c r="I20" s="27"/>
      <c r="J20" s="27"/>
      <c r="K20" s="27"/>
      <c r="L20" s="27"/>
    </row>
    <row r="21" customFormat="false" ht="15" hidden="false" customHeight="false" outlineLevel="0" collapsed="false">
      <c r="A21" s="27"/>
      <c r="B21" s="27"/>
      <c r="C21" s="27"/>
      <c r="D21" s="27"/>
      <c r="E21" s="27"/>
      <c r="F21" s="27"/>
      <c r="G21" s="27"/>
      <c r="H21" s="27"/>
      <c r="I21" s="27"/>
      <c r="J21" s="27"/>
      <c r="K21" s="27"/>
      <c r="L21" s="27"/>
    </row>
    <row r="22" customFormat="false" ht="15" hidden="false" customHeight="false" outlineLevel="0" collapsed="false">
      <c r="A22" s="27"/>
      <c r="B22" s="27"/>
      <c r="C22" s="27"/>
      <c r="D22" s="27"/>
      <c r="E22" s="27"/>
      <c r="F22" s="27"/>
      <c r="G22" s="27"/>
      <c r="H22" s="27"/>
      <c r="I22" s="27"/>
      <c r="J22" s="27"/>
      <c r="K22" s="27"/>
      <c r="L22" s="27"/>
    </row>
    <row r="23" customFormat="false" ht="15" hidden="false" customHeight="false" outlineLevel="0" collapsed="false">
      <c r="A23" s="27"/>
      <c r="B23" s="27"/>
      <c r="C23" s="27"/>
      <c r="D23" s="27"/>
      <c r="E23" s="27"/>
      <c r="F23" s="27"/>
      <c r="G23" s="27"/>
      <c r="H23" s="27"/>
      <c r="I23" s="27"/>
      <c r="J23" s="27"/>
      <c r="K23" s="27"/>
      <c r="L23" s="27"/>
    </row>
    <row r="24" customFormat="false" ht="15" hidden="false" customHeight="false" outlineLevel="0" collapsed="false">
      <c r="A24" s="27"/>
      <c r="B24" s="27"/>
      <c r="C24" s="27"/>
      <c r="D24" s="27"/>
      <c r="E24" s="27"/>
      <c r="F24" s="27"/>
      <c r="G24" s="27"/>
      <c r="H24" s="27"/>
      <c r="I24" s="27"/>
      <c r="J24" s="27"/>
      <c r="K24" s="27"/>
      <c r="L24" s="27"/>
    </row>
    <row r="25" customFormat="false" ht="15" hidden="false" customHeight="false" outlineLevel="0" collapsed="false">
      <c r="A25" s="27"/>
      <c r="B25" s="27"/>
      <c r="C25" s="27"/>
      <c r="D25" s="27"/>
      <c r="E25" s="27"/>
      <c r="F25" s="27"/>
      <c r="G25" s="27"/>
      <c r="H25" s="27"/>
      <c r="I25" s="27"/>
      <c r="J25" s="27"/>
      <c r="K25" s="27"/>
      <c r="L25" s="27"/>
    </row>
    <row r="26" customFormat="false" ht="15" hidden="false" customHeight="false" outlineLevel="0" collapsed="false">
      <c r="A26" s="27"/>
      <c r="B26" s="27"/>
      <c r="C26" s="27"/>
      <c r="D26" s="27"/>
      <c r="E26" s="27"/>
      <c r="F26" s="27"/>
      <c r="G26" s="27"/>
      <c r="H26" s="27"/>
      <c r="I26" s="27"/>
      <c r="J26" s="27"/>
      <c r="K26" s="27"/>
      <c r="L26" s="27"/>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dataValidations count="1">
    <dataValidation allowBlank="false" errorStyle="stop" operator="between" showDropDown="false" showErrorMessage="false" showInputMessage="false" sqref="K2:K200" type="list">
      <formula1>"Yes,No,Not needed"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8"/>
    <col collapsed="false" customWidth="true" hidden="false" outlineLevel="0" max="2" min="2" style="0" width="29.66"/>
    <col collapsed="false" customWidth="true" hidden="false" outlineLevel="0" max="3" min="3" style="0" width="30"/>
    <col collapsed="false" customWidth="true" hidden="false" outlineLevel="0" max="4" min="4" style="0" width="28"/>
    <col collapsed="false" customWidth="true" hidden="false" outlineLevel="0" max="5" min="5" style="0" width="16"/>
    <col collapsed="false" customWidth="true" hidden="false" outlineLevel="0" max="7" min="6" style="0" width="38"/>
    <col collapsed="false" customWidth="true" hidden="false" outlineLevel="0" max="8" min="8" style="0" width="18"/>
    <col collapsed="false" customWidth="true" hidden="false" outlineLevel="0" max="9" min="9" style="0" width="14"/>
  </cols>
  <sheetData>
    <row r="1" customFormat="false" ht="45" hidden="false" customHeight="true" outlineLevel="0" collapsed="false">
      <c r="A1" s="6" t="s">
        <v>317</v>
      </c>
      <c r="B1" s="6" t="s">
        <v>318</v>
      </c>
      <c r="C1" s="6" t="s">
        <v>319</v>
      </c>
      <c r="D1" s="6" t="s">
        <v>320</v>
      </c>
      <c r="E1" s="6" t="s">
        <v>198</v>
      </c>
      <c r="F1" s="6" t="s">
        <v>321</v>
      </c>
      <c r="G1" s="6" t="s">
        <v>322</v>
      </c>
      <c r="H1" s="6" t="s">
        <v>128</v>
      </c>
      <c r="I1" s="6" t="s">
        <v>323</v>
      </c>
      <c r="J1" s="2"/>
      <c r="K1" s="2"/>
      <c r="L1" s="2"/>
    </row>
    <row r="2" customFormat="false" ht="15.75" hidden="false" customHeight="true" outlineLevel="0" collapsed="false">
      <c r="A2" s="27"/>
      <c r="B2" s="27" t="s">
        <v>324</v>
      </c>
      <c r="C2" s="27" t="s">
        <v>325</v>
      </c>
      <c r="D2" s="27"/>
      <c r="E2" s="27"/>
      <c r="F2" s="28"/>
      <c r="G2" s="28"/>
      <c r="H2" s="27"/>
      <c r="I2" s="27"/>
      <c r="J2" s="2"/>
      <c r="K2" s="2"/>
      <c r="L2" s="2"/>
    </row>
    <row r="3" customFormat="false" ht="15.75" hidden="false" customHeight="true" outlineLevel="0" collapsed="false">
      <c r="A3" s="27"/>
      <c r="B3" s="27" t="s">
        <v>326</v>
      </c>
      <c r="C3" s="27" t="s">
        <v>327</v>
      </c>
      <c r="D3" s="27"/>
      <c r="E3" s="27"/>
      <c r="F3" s="28"/>
      <c r="G3" s="28"/>
      <c r="H3" s="27"/>
      <c r="I3" s="27"/>
      <c r="J3" s="2"/>
      <c r="K3" s="2"/>
      <c r="L3" s="2"/>
    </row>
    <row r="4" customFormat="false" ht="15.75" hidden="false" customHeight="true" outlineLevel="0" collapsed="false">
      <c r="A4" s="27"/>
      <c r="B4" s="27" t="s">
        <v>328</v>
      </c>
      <c r="C4" s="27" t="s">
        <v>329</v>
      </c>
      <c r="D4" s="27"/>
      <c r="E4" s="27"/>
      <c r="F4" s="28"/>
      <c r="G4" s="28"/>
      <c r="H4" s="27"/>
      <c r="I4" s="27"/>
      <c r="J4" s="2"/>
      <c r="K4" s="2"/>
      <c r="L4" s="2"/>
    </row>
    <row r="5" customFormat="false" ht="15.75" hidden="false" customHeight="true" outlineLevel="0" collapsed="false">
      <c r="A5" s="27"/>
      <c r="B5" s="27" t="s">
        <v>330</v>
      </c>
      <c r="C5" s="27" t="s">
        <v>331</v>
      </c>
      <c r="D5" s="27"/>
      <c r="E5" s="27"/>
      <c r="F5" s="28"/>
      <c r="G5" s="28"/>
      <c r="H5" s="27"/>
      <c r="I5" s="27"/>
      <c r="J5" s="2"/>
      <c r="K5" s="2"/>
      <c r="L5" s="2"/>
    </row>
    <row r="6" customFormat="false" ht="15.75" hidden="false" customHeight="true" outlineLevel="0" collapsed="false">
      <c r="A6" s="27"/>
      <c r="B6" s="27" t="s">
        <v>332</v>
      </c>
      <c r="C6" s="27" t="s">
        <v>333</v>
      </c>
      <c r="D6" s="27"/>
      <c r="E6" s="27"/>
      <c r="F6" s="28"/>
      <c r="G6" s="28"/>
      <c r="H6" s="27"/>
      <c r="I6" s="27"/>
      <c r="J6" s="2"/>
      <c r="K6" s="2"/>
      <c r="L6" s="2"/>
    </row>
    <row r="7" customFormat="false" ht="15.75" hidden="false" customHeight="true" outlineLevel="0" collapsed="false">
      <c r="A7" s="27"/>
      <c r="B7" s="27" t="s">
        <v>334</v>
      </c>
      <c r="C7" s="27" t="s">
        <v>335</v>
      </c>
      <c r="D7" s="27"/>
      <c r="E7" s="27"/>
      <c r="F7" s="28"/>
      <c r="G7" s="28"/>
      <c r="H7" s="27"/>
      <c r="I7" s="27"/>
      <c r="J7" s="2"/>
      <c r="K7" s="2"/>
      <c r="L7" s="2"/>
    </row>
    <row r="8" customFormat="false" ht="15.75" hidden="false" customHeight="true" outlineLevel="0" collapsed="false">
      <c r="A8" s="27"/>
      <c r="B8" s="27" t="s">
        <v>336</v>
      </c>
      <c r="C8" s="27" t="s">
        <v>337</v>
      </c>
      <c r="D8" s="27"/>
      <c r="E8" s="27"/>
      <c r="F8" s="28"/>
      <c r="G8" s="28"/>
      <c r="H8" s="27"/>
      <c r="I8" s="27"/>
      <c r="J8" s="2"/>
      <c r="K8" s="2"/>
      <c r="L8" s="2"/>
    </row>
    <row r="9" customFormat="false" ht="15.75" hidden="false" customHeight="true" outlineLevel="0" collapsed="false">
      <c r="A9" s="27"/>
      <c r="B9" s="27" t="s">
        <v>303</v>
      </c>
      <c r="C9" s="27" t="s">
        <v>338</v>
      </c>
      <c r="D9" s="27"/>
      <c r="E9" s="27"/>
      <c r="F9" s="28"/>
      <c r="G9" s="28"/>
      <c r="H9" s="27"/>
      <c r="I9" s="27"/>
      <c r="J9" s="2"/>
      <c r="K9" s="2"/>
      <c r="L9" s="2"/>
    </row>
    <row r="10" customFormat="false" ht="15" hidden="false" customHeight="false" outlineLevel="0" collapsed="false">
      <c r="A10" s="2"/>
      <c r="B10" s="2"/>
      <c r="C10" s="2"/>
      <c r="D10" s="2"/>
      <c r="E10" s="2"/>
      <c r="F10" s="2"/>
      <c r="G10" s="2"/>
      <c r="H10" s="2"/>
      <c r="I10" s="2"/>
      <c r="J10" s="2"/>
      <c r="K10" s="2"/>
      <c r="L10" s="2"/>
    </row>
    <row r="11" customFormat="false" ht="15" hidden="false" customHeight="false" outlineLevel="0" collapsed="false">
      <c r="A11" s="2"/>
      <c r="B11" s="2"/>
      <c r="C11" s="2"/>
      <c r="D11" s="2"/>
      <c r="E11" s="2"/>
      <c r="F11" s="2"/>
      <c r="G11" s="2"/>
      <c r="H11" s="2"/>
      <c r="I11" s="2"/>
      <c r="J11" s="2"/>
      <c r="K11" s="2"/>
      <c r="L11" s="2"/>
    </row>
    <row r="12" customFormat="false" ht="15" hidden="false" customHeight="false" outlineLevel="0" collapsed="false">
      <c r="A12" s="2"/>
      <c r="B12" s="2"/>
      <c r="C12" s="2"/>
      <c r="D12" s="2"/>
      <c r="E12" s="2"/>
      <c r="F12" s="2"/>
      <c r="G12" s="2"/>
      <c r="H12" s="2"/>
      <c r="I12" s="2"/>
      <c r="J12" s="2"/>
      <c r="K12" s="2"/>
      <c r="L12" s="2"/>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
      <c r="B14" s="2"/>
      <c r="C14" s="2"/>
      <c r="D14" s="2"/>
      <c r="E14" s="2"/>
      <c r="F14" s="2"/>
      <c r="G14" s="2"/>
      <c r="H14" s="2"/>
      <c r="I14" s="2"/>
      <c r="J14" s="2"/>
      <c r="K14" s="2"/>
      <c r="L14" s="2"/>
    </row>
    <row r="15" customFormat="false" ht="15" hidden="false" customHeight="false" outlineLevel="0" collapsed="false">
      <c r="A15" s="2"/>
      <c r="B15" s="2"/>
      <c r="C15" s="2"/>
      <c r="D15" s="2"/>
      <c r="E15" s="2"/>
      <c r="F15" s="2"/>
      <c r="G15" s="2"/>
      <c r="H15" s="2"/>
      <c r="I15" s="2"/>
      <c r="J15" s="2"/>
      <c r="K15" s="2"/>
      <c r="L15" s="2"/>
    </row>
    <row r="16" customFormat="false" ht="15" hidden="false" customHeight="false" outlineLevel="0" collapsed="false">
      <c r="A16" s="2"/>
      <c r="B16" s="2"/>
      <c r="C16" s="2"/>
      <c r="D16" s="2"/>
      <c r="E16" s="2"/>
      <c r="F16" s="2"/>
      <c r="G16" s="2"/>
      <c r="H16" s="2"/>
      <c r="I16" s="2"/>
      <c r="J16" s="2"/>
      <c r="K16" s="2"/>
      <c r="L16" s="2"/>
    </row>
    <row r="17" customFormat="false" ht="15" hidden="false" customHeight="false" outlineLevel="0" collapsed="false">
      <c r="A17" s="2"/>
      <c r="B17" s="2"/>
      <c r="C17" s="2"/>
      <c r="D17" s="2"/>
      <c r="E17" s="2"/>
      <c r="F17" s="2"/>
      <c r="G17" s="2"/>
      <c r="H17" s="2"/>
      <c r="I17" s="2"/>
      <c r="J17" s="2"/>
      <c r="K17" s="2"/>
      <c r="L17" s="2"/>
    </row>
    <row r="18" customFormat="false" ht="15" hidden="false" customHeight="false" outlineLevel="0" collapsed="false">
      <c r="A18" s="2"/>
      <c r="B18" s="2"/>
      <c r="C18" s="2"/>
      <c r="D18" s="2"/>
      <c r="E18" s="2"/>
      <c r="F18" s="2"/>
      <c r="G18" s="2"/>
      <c r="H18" s="2"/>
      <c r="I18" s="2"/>
      <c r="J18" s="2"/>
      <c r="K18" s="2"/>
      <c r="L18" s="2"/>
    </row>
    <row r="19" customFormat="false" ht="15" hidden="false" customHeight="false" outlineLevel="0" collapsed="false">
      <c r="A19" s="2"/>
      <c r="B19" s="2"/>
      <c r="C19" s="2"/>
      <c r="D19" s="2"/>
      <c r="E19" s="2"/>
      <c r="F19" s="2"/>
      <c r="G19" s="2"/>
      <c r="H19" s="2"/>
      <c r="I19" s="2"/>
      <c r="J19" s="2"/>
      <c r="K19" s="2"/>
      <c r="L19" s="2"/>
    </row>
    <row r="20" customFormat="false" ht="15" hidden="false" customHeight="false" outlineLevel="0" collapsed="false">
      <c r="A20" s="2"/>
      <c r="B20" s="2"/>
      <c r="C20" s="2"/>
      <c r="D20" s="2"/>
      <c r="E20" s="2"/>
      <c r="F20" s="2"/>
      <c r="G20" s="2"/>
      <c r="H20" s="2"/>
      <c r="I20" s="2"/>
      <c r="J20" s="2"/>
      <c r="K20" s="2"/>
      <c r="L20" s="2"/>
    </row>
    <row r="21" customFormat="false" ht="15" hidden="false" customHeight="false" outlineLevel="0" collapsed="false">
      <c r="A21" s="2"/>
      <c r="B21" s="2"/>
      <c r="C21" s="2"/>
      <c r="D21" s="2"/>
      <c r="E21" s="2"/>
      <c r="F21" s="2"/>
      <c r="G21" s="2"/>
      <c r="H21" s="2"/>
      <c r="I21" s="2"/>
      <c r="J21" s="2"/>
      <c r="K21" s="2"/>
      <c r="L21" s="2"/>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
      <c r="B23" s="2"/>
      <c r="C23" s="2"/>
      <c r="D23" s="2"/>
      <c r="E23" s="2"/>
      <c r="F23" s="2"/>
      <c r="G23" s="2"/>
      <c r="H23" s="2"/>
      <c r="I23" s="2"/>
      <c r="J23" s="2"/>
      <c r="K23" s="2"/>
      <c r="L23" s="2"/>
    </row>
    <row r="24" customFormat="false" ht="15" hidden="false" customHeight="false" outlineLevel="0" collapsed="false">
      <c r="A24" s="2"/>
      <c r="B24" s="2"/>
      <c r="C24" s="2"/>
      <c r="D24" s="2"/>
      <c r="E24" s="2"/>
      <c r="F24" s="2"/>
      <c r="G24" s="2"/>
      <c r="H24" s="2"/>
      <c r="I24" s="2"/>
      <c r="J24" s="2"/>
      <c r="K24" s="2"/>
      <c r="L24" s="2"/>
    </row>
    <row r="25" customFormat="false" ht="15" hidden="false" customHeight="false" outlineLevel="0" collapsed="false">
      <c r="A25" s="2"/>
      <c r="B25" s="2"/>
      <c r="C25" s="2"/>
      <c r="D25" s="2"/>
      <c r="E25" s="2"/>
      <c r="F25" s="2"/>
      <c r="G25" s="2"/>
      <c r="H25" s="2"/>
      <c r="I25" s="2"/>
      <c r="J25" s="2"/>
      <c r="K25" s="2"/>
      <c r="L25" s="2"/>
    </row>
    <row r="26" customFormat="false" ht="15" hidden="false" customHeight="false" outlineLevel="0" collapsed="false">
      <c r="A26" s="2"/>
      <c r="B26" s="2"/>
      <c r="C26" s="2"/>
      <c r="D26" s="2"/>
      <c r="E26" s="2"/>
      <c r="F26" s="2"/>
      <c r="G26" s="2"/>
      <c r="H26" s="2"/>
      <c r="I26" s="2"/>
      <c r="J26" s="2"/>
      <c r="K26" s="2"/>
      <c r="L26" s="2"/>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dataValidations count="1">
    <dataValidation allowBlank="false" errorStyle="stop" operator="between" showDropDown="false" showErrorMessage="false" showInputMessage="false" sqref="E2:E100" type="list">
      <formula1>"OK,Watch,Action Needed,Not Measured"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2"/>
    <col collapsed="false" customWidth="true" hidden="false" outlineLevel="0" max="12" min="2" style="0" width="13.83"/>
    <col collapsed="false" customWidth="true" hidden="false" outlineLevel="0" max="13" min="13" style="0" width="22"/>
  </cols>
  <sheetData>
    <row r="1" customFormat="false" ht="45" hidden="false" customHeight="true" outlineLevel="0" collapsed="false">
      <c r="A1" s="6" t="s">
        <v>339</v>
      </c>
      <c r="B1" s="6" t="s">
        <v>340</v>
      </c>
      <c r="C1" s="6" t="s">
        <v>341</v>
      </c>
      <c r="D1" s="6" t="s">
        <v>342</v>
      </c>
      <c r="E1" s="6" t="s">
        <v>343</v>
      </c>
      <c r="F1" s="6" t="s">
        <v>344</v>
      </c>
      <c r="G1" s="6" t="s">
        <v>119</v>
      </c>
      <c r="H1" s="6" t="s">
        <v>49</v>
      </c>
      <c r="I1" s="6" t="s">
        <v>345</v>
      </c>
      <c r="J1" s="6" t="s">
        <v>128</v>
      </c>
      <c r="K1" s="6" t="s">
        <v>346</v>
      </c>
      <c r="L1" s="6" t="s">
        <v>268</v>
      </c>
      <c r="M1" s="11" t="s">
        <v>203</v>
      </c>
    </row>
    <row r="2" customFormat="false" ht="15.75" hidden="false" customHeight="true" outlineLevel="0" collapsed="false">
      <c r="A2" s="7" t="s">
        <v>347</v>
      </c>
      <c r="B2" s="27"/>
      <c r="C2" s="27"/>
      <c r="D2" s="27"/>
      <c r="E2" s="27"/>
      <c r="F2" s="27"/>
      <c r="G2" s="27"/>
      <c r="H2" s="27"/>
      <c r="I2" s="27"/>
      <c r="J2" s="27"/>
      <c r="K2" s="27"/>
      <c r="L2" s="27"/>
      <c r="M2" s="26" t="str">
        <f aca="false">IF(COUNTA(B2,D2,E2,G2,H2,I2)=0,"Empty",IF(COUNTA(B2,D2,E2,G2,H2,I2)&lt;6,"Partial","Complete"))</f>
        <v>Empty</v>
      </c>
    </row>
    <row r="3" customFormat="false" ht="15.75" hidden="false" customHeight="true" outlineLevel="0" collapsed="false">
      <c r="A3" s="7" t="s">
        <v>348</v>
      </c>
      <c r="B3" s="27"/>
      <c r="C3" s="27"/>
      <c r="D3" s="27"/>
      <c r="E3" s="27"/>
      <c r="F3" s="27"/>
      <c r="G3" s="27"/>
      <c r="H3" s="27"/>
      <c r="I3" s="27"/>
      <c r="J3" s="27"/>
      <c r="K3" s="27"/>
      <c r="L3" s="27"/>
      <c r="M3" s="26" t="str">
        <f aca="false">IF(COUNTA(B3,D3,E3,G3,H3,I3)=0,"Empty",IF(COUNTA(B3,D3,E3,G3,H3,I3)&lt;6,"Partial","Complete"))</f>
        <v>Empty</v>
      </c>
    </row>
    <row r="4" customFormat="false" ht="15.75" hidden="false" customHeight="true" outlineLevel="0" collapsed="false">
      <c r="A4" s="7" t="s">
        <v>349</v>
      </c>
      <c r="B4" s="27"/>
      <c r="C4" s="27"/>
      <c r="D4" s="27"/>
      <c r="E4" s="27"/>
      <c r="F4" s="27"/>
      <c r="G4" s="27"/>
      <c r="H4" s="27"/>
      <c r="I4" s="27"/>
      <c r="J4" s="27"/>
      <c r="K4" s="27"/>
      <c r="L4" s="27"/>
      <c r="M4" s="26" t="str">
        <f aca="false">IF(COUNTA(B4,D4,E4,G4,H4,I4)=0,"Empty",IF(COUNTA(B4,D4,E4,G4,H4,I4)&lt;6,"Partial","Complete"))</f>
        <v>Empty</v>
      </c>
    </row>
    <row r="5" customFormat="false" ht="15.75" hidden="false" customHeight="true" outlineLevel="0" collapsed="false">
      <c r="A5" s="7" t="s">
        <v>350</v>
      </c>
      <c r="B5" s="27"/>
      <c r="C5" s="27"/>
      <c r="D5" s="27"/>
      <c r="E5" s="27"/>
      <c r="F5" s="27"/>
      <c r="G5" s="27"/>
      <c r="H5" s="27"/>
      <c r="I5" s="27"/>
      <c r="J5" s="27"/>
      <c r="K5" s="27"/>
      <c r="L5" s="27"/>
      <c r="M5" s="26" t="str">
        <f aca="false">IF(COUNTA(B5,D5,E5,G5,H5,I5)=0,"Empty",IF(COUNTA(B5,D5,E5,G5,H5,I5)&lt;6,"Partial","Complete"))</f>
        <v>Empty</v>
      </c>
    </row>
    <row r="6" customFormat="false" ht="15.75" hidden="false" customHeight="true" outlineLevel="0" collapsed="false">
      <c r="A6" s="7" t="s">
        <v>351</v>
      </c>
      <c r="B6" s="27"/>
      <c r="C6" s="27"/>
      <c r="D6" s="27"/>
      <c r="E6" s="27"/>
      <c r="F6" s="27"/>
      <c r="G6" s="27"/>
      <c r="H6" s="27"/>
      <c r="I6" s="27"/>
      <c r="J6" s="27"/>
      <c r="K6" s="27"/>
      <c r="L6" s="27"/>
      <c r="M6" s="26" t="str">
        <f aca="false">IF(COUNTA(B6,D6,E6,G6,H6,I6)=0,"Empty",IF(COUNTA(B6,D6,E6,G6,H6,I6)&lt;6,"Partial","Complete"))</f>
        <v>Empty</v>
      </c>
    </row>
    <row r="7" customFormat="false" ht="15.75" hidden="false" customHeight="true" outlineLevel="0" collapsed="false">
      <c r="A7" s="7" t="s">
        <v>352</v>
      </c>
      <c r="B7" s="27"/>
      <c r="C7" s="27"/>
      <c r="D7" s="27"/>
      <c r="E7" s="27"/>
      <c r="F7" s="27"/>
      <c r="G7" s="27"/>
      <c r="H7" s="27"/>
      <c r="I7" s="27"/>
      <c r="J7" s="27"/>
      <c r="K7" s="27"/>
      <c r="L7" s="27"/>
      <c r="M7" s="26" t="str">
        <f aca="false">IF(COUNTA(B7,D7,E7,G7,H7,I7)=0,"Empty",IF(COUNTA(B7,D7,E7,G7,H7,I7)&lt;6,"Partial","Complete"))</f>
        <v>Empty</v>
      </c>
    </row>
    <row r="8" customFormat="false" ht="15.75" hidden="false" customHeight="true" outlineLevel="0" collapsed="false">
      <c r="A8" s="7" t="s">
        <v>353</v>
      </c>
      <c r="B8" s="27"/>
      <c r="C8" s="27"/>
      <c r="D8" s="27"/>
      <c r="E8" s="27"/>
      <c r="F8" s="27"/>
      <c r="G8" s="27"/>
      <c r="H8" s="27"/>
      <c r="I8" s="27"/>
      <c r="J8" s="27"/>
      <c r="K8" s="27"/>
      <c r="L8" s="27"/>
      <c r="M8" s="26" t="str">
        <f aca="false">IF(COUNTA(B8,D8,E8,G8,H8,I8)=0,"Empty",IF(COUNTA(B8,D8,E8,G8,H8,I8)&lt;6,"Partial","Complete"))</f>
        <v>Empty</v>
      </c>
    </row>
    <row r="9" customFormat="false" ht="15.75" hidden="false" customHeight="true" outlineLevel="0" collapsed="false">
      <c r="A9" s="7" t="s">
        <v>354</v>
      </c>
      <c r="B9" s="27"/>
      <c r="C9" s="27"/>
      <c r="D9" s="27"/>
      <c r="E9" s="27"/>
      <c r="F9" s="27"/>
      <c r="G9" s="27"/>
      <c r="H9" s="27"/>
      <c r="I9" s="27"/>
      <c r="J9" s="27"/>
      <c r="K9" s="27"/>
      <c r="L9" s="27"/>
      <c r="M9" s="26" t="str">
        <f aca="false">IF(COUNTA(B9,D9,E9,G9,H9,I9)=0,"Empty",IF(COUNTA(B9,D9,E9,G9,H9,I9)&lt;6,"Partial","Complete"))</f>
        <v>Empty</v>
      </c>
    </row>
    <row r="10" customFormat="false" ht="15.75" hidden="false" customHeight="true" outlineLevel="0" collapsed="false">
      <c r="A10" s="7" t="s">
        <v>355</v>
      </c>
      <c r="B10" s="27"/>
      <c r="C10" s="27"/>
      <c r="D10" s="27"/>
      <c r="E10" s="27"/>
      <c r="F10" s="27"/>
      <c r="G10" s="27"/>
      <c r="H10" s="27"/>
      <c r="I10" s="27"/>
      <c r="J10" s="27"/>
      <c r="K10" s="27"/>
      <c r="L10" s="27"/>
      <c r="M10" s="26" t="str">
        <f aca="false">IF(COUNTA(B10,D10,E10,G10,H10,I10)=0,"Empty",IF(COUNTA(B10,D10,E10,G10,H10,I10)&lt;6,"Partial","Complete"))</f>
        <v>Empty</v>
      </c>
    </row>
    <row r="11" customFormat="false" ht="15.75" hidden="false" customHeight="true" outlineLevel="0" collapsed="false">
      <c r="A11" s="7" t="s">
        <v>356</v>
      </c>
      <c r="B11" s="27"/>
      <c r="C11" s="27"/>
      <c r="D11" s="27"/>
      <c r="E11" s="27"/>
      <c r="F11" s="27"/>
      <c r="G11" s="27"/>
      <c r="H11" s="27"/>
      <c r="I11" s="27"/>
      <c r="J11" s="27"/>
      <c r="K11" s="27"/>
      <c r="L11" s="27"/>
      <c r="M11" s="26" t="str">
        <f aca="false">IF(COUNTA(B11,D11,E11,G11,H11,I11)=0,"Empty",IF(COUNTA(B11,D11,E11,G11,H11,I11)&lt;6,"Partial","Complete"))</f>
        <v>Empty</v>
      </c>
    </row>
    <row r="12" customFormat="false" ht="15.75" hidden="false" customHeight="true" outlineLevel="0" collapsed="false">
      <c r="A12" s="7" t="s">
        <v>357</v>
      </c>
      <c r="B12" s="27"/>
      <c r="C12" s="27"/>
      <c r="D12" s="27"/>
      <c r="E12" s="27"/>
      <c r="F12" s="27"/>
      <c r="G12" s="27"/>
      <c r="H12" s="27"/>
      <c r="I12" s="27"/>
      <c r="J12" s="27"/>
      <c r="K12" s="27"/>
      <c r="L12" s="27"/>
      <c r="M12" s="26" t="str">
        <f aca="false">IF(COUNTA(B12,D12,E12,G12,H12,I12)=0,"Empty",IF(COUNTA(B12,D12,E12,G12,H12,I12)&lt;6,"Partial","Complete"))</f>
        <v>Empty</v>
      </c>
    </row>
    <row r="13" customFormat="false" ht="15.75" hidden="false" customHeight="true" outlineLevel="0" collapsed="false">
      <c r="A13" s="7" t="s">
        <v>358</v>
      </c>
      <c r="B13" s="27"/>
      <c r="C13" s="27"/>
      <c r="D13" s="27"/>
      <c r="E13" s="27"/>
      <c r="F13" s="27"/>
      <c r="G13" s="27"/>
      <c r="H13" s="27"/>
      <c r="I13" s="27"/>
      <c r="J13" s="27"/>
      <c r="K13" s="27"/>
      <c r="L13" s="27"/>
      <c r="M13" s="26" t="str">
        <f aca="false">IF(COUNTA(B13,D13,E13,G13,H13,I13)=0,"Empty",IF(COUNTA(B13,D13,E13,G13,H13,I13)&lt;6,"Partial","Complete"))</f>
        <v>Empty</v>
      </c>
    </row>
    <row r="14" customFormat="false" ht="15.75" hidden="false" customHeight="true" outlineLevel="0" collapsed="false">
      <c r="A14" s="7" t="s">
        <v>359</v>
      </c>
      <c r="B14" s="27"/>
      <c r="C14" s="27"/>
      <c r="D14" s="27"/>
      <c r="E14" s="27"/>
      <c r="F14" s="27"/>
      <c r="G14" s="27"/>
      <c r="H14" s="27"/>
      <c r="I14" s="27"/>
      <c r="J14" s="27"/>
      <c r="K14" s="27"/>
      <c r="L14" s="27"/>
      <c r="M14" s="26" t="str">
        <f aca="false">IF(COUNTA(B14,D14,E14,G14,H14,I14)=0,"Empty",IF(COUNTA(B14,D14,E14,G14,H14,I14)&lt;6,"Partial","Complete"))</f>
        <v>Empty</v>
      </c>
    </row>
    <row r="15" customFormat="false" ht="15.75" hidden="false" customHeight="true" outlineLevel="0" collapsed="false">
      <c r="A15" s="7" t="s">
        <v>360</v>
      </c>
      <c r="B15" s="27"/>
      <c r="C15" s="27"/>
      <c r="D15" s="27"/>
      <c r="E15" s="27"/>
      <c r="F15" s="27"/>
      <c r="G15" s="27"/>
      <c r="H15" s="27"/>
      <c r="I15" s="27"/>
      <c r="J15" s="27"/>
      <c r="K15" s="27"/>
      <c r="L15" s="27"/>
      <c r="M15" s="26" t="str">
        <f aca="false">IF(COUNTA(B15,D15,E15,G15,H15,I15)=0,"Empty",IF(COUNTA(B15,D15,E15,G15,H15,I15)&lt;6,"Partial","Complete"))</f>
        <v>Empty</v>
      </c>
    </row>
    <row r="16" customFormat="false" ht="15.75" hidden="false" customHeight="true" outlineLevel="0" collapsed="false">
      <c r="A16" s="7" t="s">
        <v>361</v>
      </c>
      <c r="B16" s="27"/>
      <c r="C16" s="27"/>
      <c r="D16" s="27"/>
      <c r="E16" s="27"/>
      <c r="F16" s="27"/>
      <c r="G16" s="27"/>
      <c r="H16" s="27"/>
      <c r="I16" s="27"/>
      <c r="J16" s="27"/>
      <c r="K16" s="27"/>
      <c r="L16" s="27"/>
      <c r="M16" s="26" t="str">
        <f aca="false">IF(COUNTA(B16,D16,E16,G16,H16,I16)=0,"Empty",IF(COUNTA(B16,D16,E16,G16,H16,I16)&lt;6,"Partial","Complete"))</f>
        <v>Empty</v>
      </c>
    </row>
    <row r="17" customFormat="false" ht="15.75" hidden="false" customHeight="true" outlineLevel="0" collapsed="false">
      <c r="A17" s="7" t="s">
        <v>362</v>
      </c>
      <c r="B17" s="27"/>
      <c r="C17" s="27"/>
      <c r="D17" s="27"/>
      <c r="E17" s="27"/>
      <c r="F17" s="27"/>
      <c r="G17" s="27"/>
      <c r="H17" s="27"/>
      <c r="I17" s="27"/>
      <c r="J17" s="27"/>
      <c r="K17" s="27"/>
      <c r="L17" s="27"/>
      <c r="M17" s="26" t="str">
        <f aca="false">IF(COUNTA(B17,D17,E17,G17,H17,I17)=0,"Empty",IF(COUNTA(B17,D17,E17,G17,H17,I17)&lt;6,"Partial","Complete"))</f>
        <v>Empty</v>
      </c>
    </row>
    <row r="18" customFormat="false" ht="15.75" hidden="false" customHeight="true" outlineLevel="0" collapsed="false">
      <c r="A18" s="7" t="s">
        <v>363</v>
      </c>
      <c r="B18" s="27"/>
      <c r="C18" s="27"/>
      <c r="D18" s="27"/>
      <c r="E18" s="27"/>
      <c r="F18" s="27"/>
      <c r="G18" s="27"/>
      <c r="H18" s="27"/>
      <c r="I18" s="27"/>
      <c r="J18" s="27"/>
      <c r="K18" s="27"/>
      <c r="L18" s="27"/>
      <c r="M18" s="26" t="str">
        <f aca="false">IF(COUNTA(B18,D18,E18,G18,H18,I18)=0,"Empty",IF(COUNTA(B18,D18,E18,G18,H18,I18)&lt;6,"Partial","Complete"))</f>
        <v>Empty</v>
      </c>
    </row>
    <row r="19" customFormat="false" ht="15.75" hidden="false" customHeight="true" outlineLevel="0" collapsed="false">
      <c r="A19" s="7" t="s">
        <v>364</v>
      </c>
      <c r="B19" s="27"/>
      <c r="C19" s="27"/>
      <c r="D19" s="27"/>
      <c r="E19" s="27"/>
      <c r="F19" s="27"/>
      <c r="G19" s="27"/>
      <c r="H19" s="27"/>
      <c r="I19" s="27"/>
      <c r="J19" s="27"/>
      <c r="K19" s="27"/>
      <c r="L19" s="27"/>
      <c r="M19" s="26" t="str">
        <f aca="false">IF(COUNTA(B19,D19,E19,G19,H19,I19)=0,"Empty",IF(COUNTA(B19,D19,E19,G19,H19,I19)&lt;6,"Partial","Complete"))</f>
        <v>Empty</v>
      </c>
    </row>
    <row r="20" customFormat="false" ht="15.75" hidden="false" customHeight="true" outlineLevel="0" collapsed="false">
      <c r="A20" s="7" t="s">
        <v>365</v>
      </c>
      <c r="B20" s="27"/>
      <c r="C20" s="27"/>
      <c r="D20" s="27"/>
      <c r="E20" s="27"/>
      <c r="F20" s="27"/>
      <c r="G20" s="27"/>
      <c r="H20" s="27"/>
      <c r="I20" s="27"/>
      <c r="J20" s="27"/>
      <c r="K20" s="27"/>
      <c r="L20" s="27"/>
      <c r="M20" s="26" t="str">
        <f aca="false">IF(COUNTA(B20,D20,E20,G20,H20,I20)=0,"Empty",IF(COUNTA(B20,D20,E20,G20,H20,I20)&lt;6,"Partial","Complete"))</f>
        <v>Empty</v>
      </c>
    </row>
    <row r="21" customFormat="false" ht="15.75" hidden="false" customHeight="true" outlineLevel="0" collapsed="false">
      <c r="A21" s="7" t="s">
        <v>366</v>
      </c>
      <c r="B21" s="27"/>
      <c r="C21" s="27"/>
      <c r="D21" s="27"/>
      <c r="E21" s="27"/>
      <c r="F21" s="27"/>
      <c r="G21" s="27"/>
      <c r="H21" s="27"/>
      <c r="I21" s="27"/>
      <c r="J21" s="27"/>
      <c r="K21" s="27"/>
      <c r="L21" s="27"/>
      <c r="M21" s="26" t="str">
        <f aca="false">IF(COUNTA(B21,D21,E21,G21,H21,I21)=0,"Empty",IF(COUNTA(B21,D21,E21,G21,H21,I21)&lt;6,"Partial","Complete"))</f>
        <v>Empty</v>
      </c>
    </row>
    <row r="22" customFormat="false" ht="15.75" hidden="false" customHeight="true" outlineLevel="0" collapsed="false">
      <c r="A22" s="2"/>
      <c r="B22" s="2"/>
      <c r="C22" s="2"/>
      <c r="D22" s="2"/>
      <c r="E22" s="2"/>
      <c r="F22" s="2"/>
      <c r="G22" s="2"/>
      <c r="H22" s="2"/>
      <c r="I22" s="2"/>
      <c r="J22" s="2"/>
      <c r="K22" s="2"/>
      <c r="L22" s="2"/>
      <c r="M22" s="26" t="str">
        <f aca="false">IF(COUNTA(B22,D22,E22,G22,H22,I22)=0,"Empty",IF(COUNTA(B22,D22,E22,G22,H22,I22)&lt;6,"Partial","Complete"))</f>
        <v>Empty</v>
      </c>
    </row>
    <row r="23" customFormat="false" ht="15.75" hidden="false" customHeight="true" outlineLevel="0" collapsed="false">
      <c r="A23" s="2"/>
      <c r="B23" s="2"/>
      <c r="C23" s="2"/>
      <c r="D23" s="2"/>
      <c r="E23" s="2"/>
      <c r="F23" s="2"/>
      <c r="G23" s="2"/>
      <c r="H23" s="2"/>
      <c r="I23" s="2"/>
      <c r="J23" s="2"/>
      <c r="K23" s="2"/>
      <c r="L23" s="2"/>
      <c r="M23" s="26" t="str">
        <f aca="false">IF(COUNTA(B23,D23,E23,G23,H23,I23)=0,"Empty",IF(COUNTA(B23,D23,E23,G23,H23,I23)&lt;6,"Partial","Complete"))</f>
        <v>Empty</v>
      </c>
    </row>
    <row r="24" customFormat="false" ht="15.75" hidden="false" customHeight="true" outlineLevel="0" collapsed="false">
      <c r="A24" s="2"/>
      <c r="B24" s="2"/>
      <c r="C24" s="2"/>
      <c r="D24" s="2"/>
      <c r="E24" s="2"/>
      <c r="F24" s="2"/>
      <c r="G24" s="2"/>
      <c r="H24" s="2"/>
      <c r="I24" s="2"/>
      <c r="J24" s="2"/>
      <c r="K24" s="2"/>
      <c r="L24" s="2"/>
      <c r="M24" s="26" t="str">
        <f aca="false">IF(COUNTA(B24,D24,E24,G24,H24,I24)=0,"Empty",IF(COUNTA(B24,D24,E24,G24,H24,I24)&lt;6,"Partial","Complete"))</f>
        <v>Empty</v>
      </c>
    </row>
    <row r="25" customFormat="false" ht="15.75" hidden="false" customHeight="true" outlineLevel="0" collapsed="false">
      <c r="A25" s="2"/>
      <c r="B25" s="2"/>
      <c r="C25" s="2"/>
      <c r="D25" s="2"/>
      <c r="E25" s="2"/>
      <c r="F25" s="2"/>
      <c r="G25" s="2"/>
      <c r="H25" s="2"/>
      <c r="I25" s="2"/>
      <c r="J25" s="2"/>
      <c r="K25" s="2"/>
      <c r="L25" s="2"/>
      <c r="M25" s="26" t="str">
        <f aca="false">IF(COUNTA(B25,D25,E25,G25,H25,I25)=0,"Empty",IF(COUNTA(B25,D25,E25,G25,H25,I25)&lt;6,"Partial","Complete"))</f>
        <v>Empty</v>
      </c>
    </row>
    <row r="26" customFormat="false" ht="15.75" hidden="false" customHeight="true" outlineLevel="0" collapsed="false">
      <c r="A26" s="2"/>
      <c r="B26" s="2"/>
      <c r="C26" s="2"/>
      <c r="D26" s="2"/>
      <c r="E26" s="2"/>
      <c r="F26" s="2"/>
      <c r="G26" s="2"/>
      <c r="H26" s="2"/>
      <c r="I26" s="2"/>
      <c r="J26" s="2"/>
      <c r="K26" s="2"/>
      <c r="L26" s="2"/>
      <c r="M26" s="26" t="str">
        <f aca="false">IF(COUNTA(B26,D26,E26,G26,H26,I26)=0,"Empty",IF(COUNTA(B26,D26,E26,G26,H26,I26)&lt;6,"Partial","Complete"))</f>
        <v>Empty</v>
      </c>
    </row>
    <row r="27" customFormat="false" ht="15.75" hidden="false" customHeight="true" outlineLevel="0" collapsed="false">
      <c r="A27" s="2"/>
      <c r="B27" s="2"/>
      <c r="C27" s="2"/>
      <c r="D27" s="2"/>
      <c r="E27" s="2"/>
      <c r="F27" s="2"/>
      <c r="G27" s="2"/>
      <c r="H27" s="2"/>
      <c r="I27" s="2"/>
      <c r="J27" s="2"/>
      <c r="K27" s="2"/>
      <c r="L27" s="2"/>
      <c r="M27" s="26" t="str">
        <f aca="false">IF(COUNTA(B27,D27,E27,G27,H27,I27)=0,"Empty",IF(COUNTA(B27,D27,E27,G27,H27,I27)&lt;6,"Partial","Complete"))</f>
        <v>Empty</v>
      </c>
    </row>
    <row r="28" customFormat="false" ht="15.75" hidden="false" customHeight="true" outlineLevel="0" collapsed="false">
      <c r="A28" s="2"/>
      <c r="B28" s="2"/>
      <c r="C28" s="2"/>
      <c r="D28" s="2"/>
      <c r="E28" s="2"/>
      <c r="F28" s="2"/>
      <c r="G28" s="2"/>
      <c r="H28" s="2"/>
      <c r="I28" s="2"/>
      <c r="J28" s="2"/>
      <c r="K28" s="2"/>
      <c r="L28" s="2"/>
      <c r="M28" s="26" t="str">
        <f aca="false">IF(COUNTA(B28,D28,E28,G28,H28,I28)=0,"Empty",IF(COUNTA(B28,D28,E28,G28,H28,I28)&lt;6,"Partial","Complete"))</f>
        <v>Empty</v>
      </c>
    </row>
    <row r="29" customFormat="false" ht="15.75" hidden="false" customHeight="true" outlineLevel="0" collapsed="false">
      <c r="A29" s="2"/>
      <c r="B29" s="2"/>
      <c r="C29" s="2"/>
      <c r="D29" s="2"/>
      <c r="E29" s="2"/>
      <c r="F29" s="2"/>
      <c r="G29" s="2"/>
      <c r="H29" s="2"/>
      <c r="I29" s="2"/>
      <c r="J29" s="2"/>
      <c r="K29" s="2"/>
      <c r="L29" s="2"/>
      <c r="M29" s="26" t="str">
        <f aca="false">IF(COUNTA(B29,D29,E29,G29,H29,I29)=0,"Empty",IF(COUNTA(B29,D29,E29,G29,H29,I29)&lt;6,"Partial","Complete"))</f>
        <v>Empty</v>
      </c>
    </row>
    <row r="30" customFormat="false" ht="15.75" hidden="false" customHeight="true" outlineLevel="0" collapsed="false">
      <c r="A30" s="2"/>
      <c r="B30" s="2"/>
      <c r="C30" s="2"/>
      <c r="D30" s="2"/>
      <c r="E30" s="2"/>
      <c r="F30" s="2"/>
      <c r="G30" s="2"/>
      <c r="H30" s="2"/>
      <c r="I30" s="2"/>
      <c r="J30" s="2"/>
      <c r="K30" s="2"/>
      <c r="L30" s="2"/>
      <c r="M30" s="26" t="str">
        <f aca="false">IF(COUNTA(B30,D30,E30,G30,H30,I30)=0,"Empty",IF(COUNTA(B30,D30,E30,G30,H30,I30)&lt;6,"Partial","Complete"))</f>
        <v>Empty</v>
      </c>
    </row>
    <row r="31" customFormat="false" ht="15.75" hidden="false" customHeight="true" outlineLevel="0" collapsed="false">
      <c r="A31" s="2"/>
      <c r="B31" s="2"/>
      <c r="C31" s="2"/>
      <c r="D31" s="2"/>
      <c r="E31" s="2"/>
      <c r="F31" s="2"/>
      <c r="G31" s="2"/>
      <c r="H31" s="2"/>
      <c r="I31" s="2"/>
      <c r="J31" s="2"/>
      <c r="K31" s="2"/>
      <c r="L31" s="2"/>
      <c r="M31" s="26" t="str">
        <f aca="false">IF(COUNTA(B31,D31,E31,G31,H31,I31)=0,"Empty",IF(COUNTA(B31,D31,E31,G31,H31,I31)&lt;6,"Partial","Complete"))</f>
        <v>Empty</v>
      </c>
    </row>
    <row r="32" customFormat="false" ht="15.75" hidden="false" customHeight="true" outlineLevel="0" collapsed="false">
      <c r="A32" s="2"/>
      <c r="B32" s="2"/>
      <c r="C32" s="2"/>
      <c r="D32" s="2"/>
      <c r="E32" s="2"/>
      <c r="F32" s="2"/>
      <c r="G32" s="2"/>
      <c r="H32" s="2"/>
      <c r="I32" s="2"/>
      <c r="J32" s="2"/>
      <c r="K32" s="2"/>
      <c r="L32" s="2"/>
      <c r="M32" s="26" t="str">
        <f aca="false">IF(COUNTA(B32,D32,E32,G32,H32,I32)=0,"Empty",IF(COUNTA(B32,D32,E32,G32,H32,I32)&lt;6,"Partial","Complete"))</f>
        <v>Empty</v>
      </c>
    </row>
    <row r="33" customFormat="false" ht="15.75" hidden="false" customHeight="true" outlineLevel="0" collapsed="false">
      <c r="A33" s="2"/>
      <c r="B33" s="2"/>
      <c r="C33" s="2"/>
      <c r="D33" s="2"/>
      <c r="E33" s="2"/>
      <c r="F33" s="2"/>
      <c r="G33" s="2"/>
      <c r="H33" s="2"/>
      <c r="I33" s="2"/>
      <c r="J33" s="2"/>
      <c r="K33" s="2"/>
      <c r="L33" s="2"/>
      <c r="M33" s="26" t="str">
        <f aca="false">IF(COUNTA(B33,D33,E33,G33,H33,I33)=0,"Empty",IF(COUNTA(B33,D33,E33,G33,H33,I33)&lt;6,"Partial","Complete"))</f>
        <v>Empty</v>
      </c>
    </row>
    <row r="34" customFormat="false" ht="15.75" hidden="false" customHeight="true" outlineLevel="0" collapsed="false">
      <c r="A34" s="2"/>
      <c r="B34" s="2"/>
      <c r="C34" s="2"/>
      <c r="D34" s="2"/>
      <c r="E34" s="2"/>
      <c r="F34" s="2"/>
      <c r="G34" s="2"/>
      <c r="H34" s="2"/>
      <c r="I34" s="2"/>
      <c r="J34" s="2"/>
      <c r="K34" s="2"/>
      <c r="L34" s="2"/>
      <c r="M34" s="26" t="str">
        <f aca="false">IF(COUNTA(B34,D34,E34,G34,H34,I34)=0,"Empty",IF(COUNTA(B34,D34,E34,G34,H34,I34)&lt;6,"Partial","Complete"))</f>
        <v>Empty</v>
      </c>
    </row>
    <row r="35" customFormat="false" ht="15.75" hidden="false" customHeight="true" outlineLevel="0" collapsed="false">
      <c r="A35" s="2"/>
      <c r="B35" s="2"/>
      <c r="C35" s="2"/>
      <c r="D35" s="2"/>
      <c r="E35" s="2"/>
      <c r="F35" s="2"/>
      <c r="G35" s="2"/>
      <c r="H35" s="2"/>
      <c r="I35" s="2"/>
      <c r="J35" s="2"/>
      <c r="K35" s="2"/>
      <c r="L35" s="2"/>
      <c r="M35" s="26" t="str">
        <f aca="false">IF(COUNTA(B35,D35,E35,G35,H35,I35)=0,"Empty",IF(COUNTA(B35,D35,E35,G35,H35,I35)&lt;6,"Partial","Complete"))</f>
        <v>Empty</v>
      </c>
    </row>
    <row r="36" customFormat="false" ht="15.75" hidden="false" customHeight="true" outlineLevel="0" collapsed="false">
      <c r="A36" s="2"/>
      <c r="B36" s="2"/>
      <c r="C36" s="2"/>
      <c r="D36" s="2"/>
      <c r="E36" s="2"/>
      <c r="F36" s="2"/>
      <c r="G36" s="2"/>
      <c r="H36" s="2"/>
      <c r="I36" s="2"/>
      <c r="J36" s="2"/>
      <c r="K36" s="2"/>
      <c r="L36" s="2"/>
      <c r="M36" s="26" t="str">
        <f aca="false">IF(COUNTA(B36,D36,E36,G36,H36,I36)=0,"Empty",IF(COUNTA(B36,D36,E36,G36,H36,I36)&lt;6,"Partial","Complete"))</f>
        <v>Empty</v>
      </c>
    </row>
    <row r="37" customFormat="false" ht="15.75" hidden="false" customHeight="true" outlineLevel="0" collapsed="false">
      <c r="A37" s="2"/>
      <c r="B37" s="2"/>
      <c r="C37" s="2"/>
      <c r="D37" s="2"/>
      <c r="E37" s="2"/>
      <c r="F37" s="2"/>
      <c r="G37" s="2"/>
      <c r="H37" s="2"/>
      <c r="I37" s="2"/>
      <c r="J37" s="2"/>
      <c r="K37" s="2"/>
      <c r="L37" s="2"/>
      <c r="M37" s="26" t="str">
        <f aca="false">IF(COUNTA(B37,D37,E37,G37,H37,I37)=0,"Empty",IF(COUNTA(B37,D37,E37,G37,H37,I37)&lt;6,"Partial","Complete"))</f>
        <v>Empty</v>
      </c>
    </row>
    <row r="38" customFormat="false" ht="15.75" hidden="false" customHeight="true" outlineLevel="0" collapsed="false">
      <c r="A38" s="2"/>
      <c r="B38" s="2"/>
      <c r="C38" s="2"/>
      <c r="D38" s="2"/>
      <c r="E38" s="2"/>
      <c r="F38" s="2"/>
      <c r="G38" s="2"/>
      <c r="H38" s="2"/>
      <c r="I38" s="2"/>
      <c r="J38" s="2"/>
      <c r="K38" s="2"/>
      <c r="L38" s="2"/>
      <c r="M38" s="26" t="str">
        <f aca="false">IF(COUNTA(B38,D38,E38,G38,H38,I38)=0,"Empty",IF(COUNTA(B38,D38,E38,G38,H38,I38)&lt;6,"Partial","Complete"))</f>
        <v>Empty</v>
      </c>
    </row>
    <row r="39" customFormat="false" ht="15.75" hidden="false" customHeight="true" outlineLevel="0" collapsed="false">
      <c r="A39" s="2"/>
      <c r="B39" s="2"/>
      <c r="C39" s="2"/>
      <c r="D39" s="2"/>
      <c r="E39" s="2"/>
      <c r="F39" s="2"/>
      <c r="G39" s="2"/>
      <c r="H39" s="2"/>
      <c r="I39" s="2"/>
      <c r="J39" s="2"/>
      <c r="K39" s="2"/>
      <c r="L39" s="2"/>
      <c r="M39" s="26" t="str">
        <f aca="false">IF(COUNTA(B39,D39,E39,G39,H39,I39)=0,"Empty",IF(COUNTA(B39,D39,E39,G39,H39,I39)&lt;6,"Partial","Complete"))</f>
        <v>Empty</v>
      </c>
    </row>
    <row r="40" customFormat="false" ht="15.75" hidden="false" customHeight="true" outlineLevel="0" collapsed="false">
      <c r="A40" s="2"/>
      <c r="B40" s="2"/>
      <c r="C40" s="2"/>
      <c r="D40" s="2"/>
      <c r="E40" s="2"/>
      <c r="F40" s="2"/>
      <c r="G40" s="2"/>
      <c r="H40" s="2"/>
      <c r="I40" s="2"/>
      <c r="J40" s="2"/>
      <c r="K40" s="2"/>
      <c r="L40" s="2"/>
      <c r="M40" s="26" t="str">
        <f aca="false">IF(COUNTA(B40,D40,E40,G40,H40,I40)=0,"Empty",IF(COUNTA(B40,D40,E40,G40,H40,I40)&lt;6,"Partial","Complete"))</f>
        <v>Empty</v>
      </c>
    </row>
    <row r="41" customFormat="false" ht="15.75" hidden="false" customHeight="true" outlineLevel="0" collapsed="false">
      <c r="A41" s="2"/>
      <c r="B41" s="2"/>
      <c r="C41" s="2"/>
      <c r="D41" s="2"/>
      <c r="E41" s="2"/>
      <c r="F41" s="2"/>
      <c r="G41" s="2"/>
      <c r="H41" s="2"/>
      <c r="I41" s="2"/>
      <c r="J41" s="2"/>
      <c r="K41" s="2"/>
      <c r="L41" s="2"/>
      <c r="M41" s="26" t="str">
        <f aca="false">IF(COUNTA(B41,D41,E41,G41,H41,I41)=0,"Empty",IF(COUNTA(B41,D41,E41,G41,H41,I41)&lt;6,"Partial","Complete"))</f>
        <v>Empty</v>
      </c>
    </row>
    <row r="42" customFormat="false" ht="15.75" hidden="false" customHeight="true" outlineLevel="0" collapsed="false">
      <c r="A42" s="2"/>
      <c r="B42" s="2"/>
      <c r="C42" s="2"/>
      <c r="D42" s="2"/>
      <c r="E42" s="2"/>
      <c r="F42" s="2"/>
      <c r="G42" s="2"/>
      <c r="H42" s="2"/>
      <c r="I42" s="2"/>
      <c r="J42" s="2"/>
      <c r="K42" s="2"/>
      <c r="L42" s="2"/>
      <c r="M42" s="26" t="str">
        <f aca="false">IF(COUNTA(B42,D42,E42,G42,H42,I42)=0,"Empty",IF(COUNTA(B42,D42,E42,G42,H42,I42)&lt;6,"Partial","Complete"))</f>
        <v>Empty</v>
      </c>
    </row>
    <row r="43" customFormat="false" ht="15.75" hidden="false" customHeight="true" outlineLevel="0" collapsed="false">
      <c r="A43" s="2"/>
      <c r="B43" s="2"/>
      <c r="C43" s="2"/>
      <c r="D43" s="2"/>
      <c r="E43" s="2"/>
      <c r="F43" s="2"/>
      <c r="G43" s="2"/>
      <c r="H43" s="2"/>
      <c r="I43" s="2"/>
      <c r="J43" s="2"/>
      <c r="K43" s="2"/>
      <c r="L43" s="2"/>
      <c r="M43" s="26" t="str">
        <f aca="false">IF(COUNTA(B43,D43,E43,G43,H43,I43)=0,"Empty",IF(COUNTA(B43,D43,E43,G43,H43,I43)&lt;6,"Partial","Complete"))</f>
        <v>Empty</v>
      </c>
    </row>
    <row r="44" customFormat="false" ht="15.75" hidden="false" customHeight="true" outlineLevel="0" collapsed="false">
      <c r="A44" s="2"/>
      <c r="B44" s="2"/>
      <c r="C44" s="2"/>
      <c r="D44" s="2"/>
      <c r="E44" s="2"/>
      <c r="F44" s="2"/>
      <c r="G44" s="2"/>
      <c r="H44" s="2"/>
      <c r="I44" s="2"/>
      <c r="J44" s="2"/>
      <c r="K44" s="2"/>
      <c r="L44" s="2"/>
      <c r="M44" s="26" t="str">
        <f aca="false">IF(COUNTA(B44,D44,E44,G44,H44,I44)=0,"Empty",IF(COUNTA(B44,D44,E44,G44,H44,I44)&lt;6,"Partial","Complete"))</f>
        <v>Empty</v>
      </c>
    </row>
    <row r="45" customFormat="false" ht="15.75" hidden="false" customHeight="true" outlineLevel="0" collapsed="false">
      <c r="A45" s="2"/>
      <c r="B45" s="2"/>
      <c r="C45" s="2"/>
      <c r="D45" s="2"/>
      <c r="E45" s="2"/>
      <c r="F45" s="2"/>
      <c r="G45" s="2"/>
      <c r="H45" s="2"/>
      <c r="I45" s="2"/>
      <c r="J45" s="2"/>
      <c r="K45" s="2"/>
      <c r="L45" s="2"/>
      <c r="M45" s="26" t="str">
        <f aca="false">IF(COUNTA(B45,D45,E45,G45,H45,I45)=0,"Empty",IF(COUNTA(B45,D45,E45,G45,H45,I45)&lt;6,"Partial","Complete"))</f>
        <v>Empty</v>
      </c>
    </row>
    <row r="46" customFormat="false" ht="15.75" hidden="false" customHeight="true" outlineLevel="0" collapsed="false">
      <c r="A46" s="2"/>
      <c r="B46" s="2"/>
      <c r="C46" s="2"/>
      <c r="D46" s="2"/>
      <c r="E46" s="2"/>
      <c r="F46" s="2"/>
      <c r="G46" s="2"/>
      <c r="H46" s="2"/>
      <c r="I46" s="2"/>
      <c r="J46" s="2"/>
      <c r="K46" s="2"/>
      <c r="L46" s="2"/>
      <c r="M46" s="26" t="str">
        <f aca="false">IF(COUNTA(B46,D46,E46,G46,H46,I46)=0,"Empty",IF(COUNTA(B46,D46,E46,G46,H46,I46)&lt;6,"Partial","Complete"))</f>
        <v>Empty</v>
      </c>
    </row>
    <row r="47" customFormat="false" ht="15.75" hidden="false" customHeight="true" outlineLevel="0" collapsed="false">
      <c r="A47" s="2"/>
      <c r="B47" s="2"/>
      <c r="C47" s="2"/>
      <c r="D47" s="2"/>
      <c r="E47" s="2"/>
      <c r="F47" s="2"/>
      <c r="G47" s="2"/>
      <c r="H47" s="2"/>
      <c r="I47" s="2"/>
      <c r="J47" s="2"/>
      <c r="K47" s="2"/>
      <c r="L47" s="2"/>
      <c r="M47" s="26" t="str">
        <f aca="false">IF(COUNTA(B47,D47,E47,G47,H47,I47)=0,"Empty",IF(COUNTA(B47,D47,E47,G47,H47,I47)&lt;6,"Partial","Complete"))</f>
        <v>Empty</v>
      </c>
    </row>
    <row r="48" customFormat="false" ht="15.75" hidden="false" customHeight="true" outlineLevel="0" collapsed="false">
      <c r="A48" s="2"/>
      <c r="B48" s="2"/>
      <c r="C48" s="2"/>
      <c r="D48" s="2"/>
      <c r="E48" s="2"/>
      <c r="F48" s="2"/>
      <c r="G48" s="2"/>
      <c r="H48" s="2"/>
      <c r="I48" s="2"/>
      <c r="J48" s="2"/>
      <c r="K48" s="2"/>
      <c r="L48" s="2"/>
      <c r="M48" s="26" t="str">
        <f aca="false">IF(COUNTA(B48,D48,E48,G48,H48,I48)=0,"Empty",IF(COUNTA(B48,D48,E48,G48,H48,I48)&lt;6,"Partial","Complete"))</f>
        <v>Empty</v>
      </c>
    </row>
    <row r="49" customFormat="false" ht="15.75" hidden="false" customHeight="true" outlineLevel="0" collapsed="false">
      <c r="A49" s="2"/>
      <c r="B49" s="2"/>
      <c r="C49" s="2"/>
      <c r="D49" s="2"/>
      <c r="E49" s="2"/>
      <c r="F49" s="2"/>
      <c r="G49" s="2"/>
      <c r="H49" s="2"/>
      <c r="I49" s="2"/>
      <c r="J49" s="2"/>
      <c r="K49" s="2"/>
      <c r="L49" s="2"/>
      <c r="M49" s="26" t="str">
        <f aca="false">IF(COUNTA(B49,D49,E49,G49,H49,I49)=0,"Empty",IF(COUNTA(B49,D49,E49,G49,H49,I49)&lt;6,"Partial","Complete"))</f>
        <v>Empty</v>
      </c>
    </row>
    <row r="50" customFormat="false" ht="15.75" hidden="false" customHeight="true" outlineLevel="0" collapsed="false">
      <c r="A50" s="2"/>
      <c r="B50" s="2"/>
      <c r="C50" s="2"/>
      <c r="D50" s="2"/>
      <c r="E50" s="2"/>
      <c r="F50" s="2"/>
      <c r="G50" s="2"/>
      <c r="H50" s="2"/>
      <c r="I50" s="2"/>
      <c r="J50" s="2"/>
      <c r="K50" s="2"/>
      <c r="L50" s="2"/>
      <c r="M50" s="26" t="str">
        <f aca="false">IF(COUNTA(B50,D50,E50,G50,H50,I50)=0,"Empty",IF(COUNTA(B50,D50,E50,G50,H50,I50)&lt;6,"Partial","Complete"))</f>
        <v>Empty</v>
      </c>
    </row>
    <row r="51" customFormat="false" ht="15.75" hidden="false" customHeight="true" outlineLevel="0" collapsed="false">
      <c r="A51" s="2"/>
      <c r="B51" s="2"/>
      <c r="C51" s="2"/>
      <c r="D51" s="2"/>
      <c r="E51" s="2"/>
      <c r="F51" s="2"/>
      <c r="G51" s="2"/>
      <c r="H51" s="2"/>
      <c r="I51" s="2"/>
      <c r="J51" s="2"/>
      <c r="K51" s="2"/>
      <c r="L51" s="2"/>
      <c r="M51" s="26" t="str">
        <f aca="false">IF(COUNTA(B51,D51,E51,G51,H51,I51)=0,"Empty",IF(COUNTA(B51,D51,E51,G51,H51,I51)&lt;6,"Partial","Complete"))</f>
        <v>Empty</v>
      </c>
    </row>
    <row r="52" customFormat="false" ht="15.75" hidden="false" customHeight="true" outlineLevel="0" collapsed="false">
      <c r="A52" s="2"/>
      <c r="B52" s="2"/>
      <c r="C52" s="2"/>
      <c r="D52" s="2"/>
      <c r="E52" s="2"/>
      <c r="F52" s="2"/>
      <c r="G52" s="2"/>
      <c r="H52" s="2"/>
      <c r="I52" s="2"/>
      <c r="J52" s="2"/>
      <c r="K52" s="2"/>
      <c r="L52" s="2"/>
      <c r="M52" s="26" t="str">
        <f aca="false">IF(COUNTA(B52,D52,E52,G52,H52,I52)=0,"Empty",IF(COUNTA(B52,D52,E52,G52,H52,I52)&lt;6,"Partial","Complete"))</f>
        <v>Empty</v>
      </c>
    </row>
    <row r="53" customFormat="false" ht="15.75" hidden="false" customHeight="true" outlineLevel="0" collapsed="false">
      <c r="A53" s="2"/>
      <c r="B53" s="2"/>
      <c r="C53" s="2"/>
      <c r="D53" s="2"/>
      <c r="E53" s="2"/>
      <c r="F53" s="2"/>
      <c r="G53" s="2"/>
      <c r="H53" s="2"/>
      <c r="I53" s="2"/>
      <c r="J53" s="2"/>
      <c r="K53" s="2"/>
      <c r="L53" s="2"/>
      <c r="M53" s="26" t="str">
        <f aca="false">IF(COUNTA(B53,D53,E53,G53,H53,I53)=0,"Empty",IF(COUNTA(B53,D53,E53,G53,H53,I53)&lt;6,"Partial","Complete"))</f>
        <v>Empty</v>
      </c>
    </row>
    <row r="54" customFormat="false" ht="15.75" hidden="false" customHeight="true" outlineLevel="0" collapsed="false">
      <c r="A54" s="2"/>
      <c r="B54" s="2"/>
      <c r="C54" s="2"/>
      <c r="D54" s="2"/>
      <c r="E54" s="2"/>
      <c r="F54" s="2"/>
      <c r="G54" s="2"/>
      <c r="H54" s="2"/>
      <c r="I54" s="2"/>
      <c r="J54" s="2"/>
      <c r="K54" s="2"/>
      <c r="L54" s="2"/>
      <c r="M54" s="26" t="str">
        <f aca="false">IF(COUNTA(B54,D54,E54,G54,H54,I54)=0,"Empty",IF(COUNTA(B54,D54,E54,G54,H54,I54)&lt;6,"Partial","Complete"))</f>
        <v>Empty</v>
      </c>
    </row>
    <row r="55" customFormat="false" ht="15.75" hidden="false" customHeight="true" outlineLevel="0" collapsed="false">
      <c r="A55" s="2"/>
      <c r="B55" s="2"/>
      <c r="C55" s="2"/>
      <c r="D55" s="2"/>
      <c r="E55" s="2"/>
      <c r="F55" s="2"/>
      <c r="G55" s="2"/>
      <c r="H55" s="2"/>
      <c r="I55" s="2"/>
      <c r="J55" s="2"/>
      <c r="K55" s="2"/>
      <c r="L55" s="2"/>
      <c r="M55" s="26" t="str">
        <f aca="false">IF(COUNTA(B55,D55,E55,G55,H55,I55)=0,"Empty",IF(COUNTA(B55,D55,E55,G55,H55,I55)&lt;6,"Partial","Complete"))</f>
        <v>Empty</v>
      </c>
    </row>
    <row r="56" customFormat="false" ht="15.75" hidden="false" customHeight="true" outlineLevel="0" collapsed="false">
      <c r="A56" s="2"/>
      <c r="B56" s="2"/>
      <c r="C56" s="2"/>
      <c r="D56" s="2"/>
      <c r="E56" s="2"/>
      <c r="F56" s="2"/>
      <c r="G56" s="2"/>
      <c r="H56" s="2"/>
      <c r="I56" s="2"/>
      <c r="J56" s="2"/>
      <c r="K56" s="2"/>
      <c r="L56" s="2"/>
      <c r="M56" s="26" t="str">
        <f aca="false">IF(COUNTA(B56,D56,E56,G56,H56,I56)=0,"Empty",IF(COUNTA(B56,D56,E56,G56,H56,I56)&lt;6,"Partial","Complete"))</f>
        <v>Empty</v>
      </c>
    </row>
    <row r="57" customFormat="false" ht="15.75" hidden="false" customHeight="true" outlineLevel="0" collapsed="false">
      <c r="A57" s="2"/>
      <c r="B57" s="2"/>
      <c r="C57" s="2"/>
      <c r="D57" s="2"/>
      <c r="E57" s="2"/>
      <c r="F57" s="2"/>
      <c r="G57" s="2"/>
      <c r="H57" s="2"/>
      <c r="I57" s="2"/>
      <c r="J57" s="2"/>
      <c r="K57" s="2"/>
      <c r="L57" s="2"/>
      <c r="M57" s="26" t="str">
        <f aca="false">IF(COUNTA(B57,D57,E57,G57,H57,I57)=0,"Empty",IF(COUNTA(B57,D57,E57,G57,H57,I57)&lt;6,"Partial","Complete"))</f>
        <v>Empty</v>
      </c>
    </row>
    <row r="58" customFormat="false" ht="15.75" hidden="false" customHeight="true" outlineLevel="0" collapsed="false">
      <c r="A58" s="2"/>
      <c r="B58" s="2"/>
      <c r="C58" s="2"/>
      <c r="D58" s="2"/>
      <c r="E58" s="2"/>
      <c r="F58" s="2"/>
      <c r="G58" s="2"/>
      <c r="H58" s="2"/>
      <c r="I58" s="2"/>
      <c r="J58" s="2"/>
      <c r="K58" s="2"/>
      <c r="L58" s="2"/>
      <c r="M58" s="26" t="str">
        <f aca="false">IF(COUNTA(B58,D58,E58,G58,H58,I58)=0,"Empty",IF(COUNTA(B58,D58,E58,G58,H58,I58)&lt;6,"Partial","Complete"))</f>
        <v>Empty</v>
      </c>
    </row>
    <row r="59" customFormat="false" ht="15.75" hidden="false" customHeight="true" outlineLevel="0" collapsed="false">
      <c r="A59" s="2"/>
      <c r="B59" s="2"/>
      <c r="C59" s="2"/>
      <c r="D59" s="2"/>
      <c r="E59" s="2"/>
      <c r="F59" s="2"/>
      <c r="G59" s="2"/>
      <c r="H59" s="2"/>
      <c r="I59" s="2"/>
      <c r="J59" s="2"/>
      <c r="K59" s="2"/>
      <c r="L59" s="2"/>
      <c r="M59" s="26" t="str">
        <f aca="false">IF(COUNTA(B59,D59,E59,G59,H59,I59)=0,"Empty",IF(COUNTA(B59,D59,E59,G59,H59,I59)&lt;6,"Partial","Complete"))</f>
        <v>Empty</v>
      </c>
    </row>
    <row r="60" customFormat="false" ht="15.75" hidden="false" customHeight="true" outlineLevel="0" collapsed="false">
      <c r="A60" s="2"/>
      <c r="B60" s="2"/>
      <c r="C60" s="2"/>
      <c r="D60" s="2"/>
      <c r="E60" s="2"/>
      <c r="F60" s="2"/>
      <c r="G60" s="2"/>
      <c r="H60" s="2"/>
      <c r="I60" s="2"/>
      <c r="J60" s="2"/>
      <c r="K60" s="2"/>
      <c r="L60" s="2"/>
      <c r="M60" s="26" t="str">
        <f aca="false">IF(COUNTA(B60,D60,E60,G60,H60,I60)=0,"Empty",IF(COUNTA(B60,D60,E60,G60,H60,I60)&lt;6,"Partial","Complete"))</f>
        <v>Empty</v>
      </c>
    </row>
    <row r="61" customFormat="false" ht="15.75" hidden="false" customHeight="true" outlineLevel="0" collapsed="false">
      <c r="A61" s="2"/>
      <c r="B61" s="2"/>
      <c r="C61" s="2"/>
      <c r="D61" s="2"/>
      <c r="E61" s="2"/>
      <c r="F61" s="2"/>
      <c r="G61" s="2"/>
      <c r="H61" s="2"/>
      <c r="I61" s="2"/>
      <c r="J61" s="2"/>
      <c r="K61" s="2"/>
      <c r="L61" s="2"/>
      <c r="M61" s="26" t="str">
        <f aca="false">IF(COUNTA(B61,D61,E61,G61,H61,I61)=0,"Empty",IF(COUNTA(B61,D61,E61,G61,H61,I61)&lt;6,"Partial","Complete"))</f>
        <v>Empty</v>
      </c>
    </row>
    <row r="62" customFormat="false" ht="15.75" hidden="false" customHeight="true" outlineLevel="0" collapsed="false">
      <c r="A62" s="2"/>
      <c r="B62" s="2"/>
      <c r="C62" s="2"/>
      <c r="D62" s="2"/>
      <c r="E62" s="2"/>
      <c r="F62" s="2"/>
      <c r="G62" s="2"/>
      <c r="H62" s="2"/>
      <c r="I62" s="2"/>
      <c r="J62" s="2"/>
      <c r="K62" s="2"/>
      <c r="L62" s="2"/>
      <c r="M62" s="26" t="str">
        <f aca="false">IF(COUNTA(B62,D62,E62,G62,H62,I62)=0,"Empty",IF(COUNTA(B62,D62,E62,G62,H62,I62)&lt;6,"Partial","Complete"))</f>
        <v>Empty</v>
      </c>
    </row>
    <row r="63" customFormat="false" ht="15.75" hidden="false" customHeight="true" outlineLevel="0" collapsed="false">
      <c r="A63" s="2"/>
      <c r="B63" s="2"/>
      <c r="C63" s="2"/>
      <c r="D63" s="2"/>
      <c r="E63" s="2"/>
      <c r="F63" s="2"/>
      <c r="G63" s="2"/>
      <c r="H63" s="2"/>
      <c r="I63" s="2"/>
      <c r="J63" s="2"/>
      <c r="K63" s="2"/>
      <c r="L63" s="2"/>
      <c r="M63" s="26" t="str">
        <f aca="false">IF(COUNTA(B63,D63,E63,G63,H63,I63)=0,"Empty",IF(COUNTA(B63,D63,E63,G63,H63,I63)&lt;6,"Partial","Complete"))</f>
        <v>Empty</v>
      </c>
    </row>
    <row r="64" customFormat="false" ht="15.75" hidden="false" customHeight="true" outlineLevel="0" collapsed="false">
      <c r="A64" s="2"/>
      <c r="B64" s="2"/>
      <c r="C64" s="2"/>
      <c r="D64" s="2"/>
      <c r="E64" s="2"/>
      <c r="F64" s="2"/>
      <c r="G64" s="2"/>
      <c r="H64" s="2"/>
      <c r="I64" s="2"/>
      <c r="J64" s="2"/>
      <c r="K64" s="2"/>
      <c r="L64" s="2"/>
      <c r="M64" s="26" t="str">
        <f aca="false">IF(COUNTA(B64,D64,E64,G64,H64,I64)=0,"Empty",IF(COUNTA(B64,D64,E64,G64,H64,I64)&lt;6,"Partial","Complete"))</f>
        <v>Empty</v>
      </c>
    </row>
    <row r="65" customFormat="false" ht="15.75" hidden="false" customHeight="true" outlineLevel="0" collapsed="false">
      <c r="A65" s="2"/>
      <c r="B65" s="2"/>
      <c r="C65" s="2"/>
      <c r="D65" s="2"/>
      <c r="E65" s="2"/>
      <c r="F65" s="2"/>
      <c r="G65" s="2"/>
      <c r="H65" s="2"/>
      <c r="I65" s="2"/>
      <c r="J65" s="2"/>
      <c r="K65" s="2"/>
      <c r="L65" s="2"/>
      <c r="M65" s="26" t="str">
        <f aca="false">IF(COUNTA(B65,D65,E65,G65,H65,I65)=0,"Empty",IF(COUNTA(B65,D65,E65,G65,H65,I65)&lt;6,"Partial","Complete"))</f>
        <v>Empty</v>
      </c>
    </row>
    <row r="66" customFormat="false" ht="15.75" hidden="false" customHeight="true" outlineLevel="0" collapsed="false">
      <c r="A66" s="2"/>
      <c r="B66" s="2"/>
      <c r="C66" s="2"/>
      <c r="D66" s="2"/>
      <c r="E66" s="2"/>
      <c r="F66" s="2"/>
      <c r="G66" s="2"/>
      <c r="H66" s="2"/>
      <c r="I66" s="2"/>
      <c r="J66" s="2"/>
      <c r="K66" s="2"/>
      <c r="L66" s="2"/>
      <c r="M66" s="26" t="str">
        <f aca="false">IF(COUNTA(B66,D66,E66,G66,H66,I66)=0,"Empty",IF(COUNTA(B66,D66,E66,G66,H66,I66)&lt;6,"Partial","Complete"))</f>
        <v>Empty</v>
      </c>
    </row>
    <row r="67" customFormat="false" ht="15.75" hidden="false" customHeight="true" outlineLevel="0" collapsed="false">
      <c r="A67" s="2"/>
      <c r="B67" s="2"/>
      <c r="C67" s="2"/>
      <c r="D67" s="2"/>
      <c r="E67" s="2"/>
      <c r="F67" s="2"/>
      <c r="G67" s="2"/>
      <c r="H67" s="2"/>
      <c r="I67" s="2"/>
      <c r="J67" s="2"/>
      <c r="K67" s="2"/>
      <c r="L67" s="2"/>
      <c r="M67" s="26" t="str">
        <f aca="false">IF(COUNTA(B67,D67,E67,G67,H67,I67)=0,"Empty",IF(COUNTA(B67,D67,E67,G67,H67,I67)&lt;6,"Partial","Complete"))</f>
        <v>Empty</v>
      </c>
    </row>
    <row r="68" customFormat="false" ht="15.75" hidden="false" customHeight="true" outlineLevel="0" collapsed="false">
      <c r="A68" s="2"/>
      <c r="B68" s="2"/>
      <c r="C68" s="2"/>
      <c r="D68" s="2"/>
      <c r="E68" s="2"/>
      <c r="F68" s="2"/>
      <c r="G68" s="2"/>
      <c r="H68" s="2"/>
      <c r="I68" s="2"/>
      <c r="J68" s="2"/>
      <c r="K68" s="2"/>
      <c r="L68" s="2"/>
      <c r="M68" s="26" t="str">
        <f aca="false">IF(COUNTA(B68,D68,E68,G68,H68,I68)=0,"Empty",IF(COUNTA(B68,D68,E68,G68,H68,I68)&lt;6,"Partial","Complete"))</f>
        <v>Empty</v>
      </c>
    </row>
    <row r="69" customFormat="false" ht="15.75" hidden="false" customHeight="true" outlineLevel="0" collapsed="false">
      <c r="A69" s="2"/>
      <c r="B69" s="2"/>
      <c r="C69" s="2"/>
      <c r="D69" s="2"/>
      <c r="E69" s="2"/>
      <c r="F69" s="2"/>
      <c r="G69" s="2"/>
      <c r="H69" s="2"/>
      <c r="I69" s="2"/>
      <c r="J69" s="2"/>
      <c r="K69" s="2"/>
      <c r="L69" s="2"/>
      <c r="M69" s="26" t="str">
        <f aca="false">IF(COUNTA(B69,D69,E69,G69,H69,I69)=0,"Empty",IF(COUNTA(B69,D69,E69,G69,H69,I69)&lt;6,"Partial","Complete"))</f>
        <v>Empty</v>
      </c>
    </row>
    <row r="70" customFormat="false" ht="15.75" hidden="false" customHeight="true" outlineLevel="0" collapsed="false">
      <c r="A70" s="2"/>
      <c r="B70" s="2"/>
      <c r="C70" s="2"/>
      <c r="D70" s="2"/>
      <c r="E70" s="2"/>
      <c r="F70" s="2"/>
      <c r="G70" s="2"/>
      <c r="H70" s="2"/>
      <c r="I70" s="2"/>
      <c r="J70" s="2"/>
      <c r="K70" s="2"/>
      <c r="L70" s="2"/>
      <c r="M70" s="26" t="str">
        <f aca="false">IF(COUNTA(B70,D70,E70,G70,H70,I70)=0,"Empty",IF(COUNTA(B70,D70,E70,G70,H70,I70)&lt;6,"Partial","Complete"))</f>
        <v>Empty</v>
      </c>
    </row>
    <row r="71" customFormat="false" ht="15.75" hidden="false" customHeight="true" outlineLevel="0" collapsed="false">
      <c r="A71" s="2"/>
      <c r="B71" s="2"/>
      <c r="C71" s="2"/>
      <c r="D71" s="2"/>
      <c r="E71" s="2"/>
      <c r="F71" s="2"/>
      <c r="G71" s="2"/>
      <c r="H71" s="2"/>
      <c r="I71" s="2"/>
      <c r="J71" s="2"/>
      <c r="K71" s="2"/>
      <c r="L71" s="2"/>
      <c r="M71" s="26" t="str">
        <f aca="false">IF(COUNTA(B71,D71,E71,G71,H71,I71)=0,"Empty",IF(COUNTA(B71,D71,E71,G71,H71,I71)&lt;6,"Partial","Complete"))</f>
        <v>Empty</v>
      </c>
    </row>
    <row r="72" customFormat="false" ht="15.75" hidden="false" customHeight="true" outlineLevel="0" collapsed="false">
      <c r="A72" s="2"/>
      <c r="B72" s="2"/>
      <c r="C72" s="2"/>
      <c r="D72" s="2"/>
      <c r="E72" s="2"/>
      <c r="F72" s="2"/>
      <c r="G72" s="2"/>
      <c r="H72" s="2"/>
      <c r="I72" s="2"/>
      <c r="J72" s="2"/>
      <c r="K72" s="2"/>
      <c r="L72" s="2"/>
      <c r="M72" s="26" t="str">
        <f aca="false">IF(COUNTA(B72,D72,E72,G72,H72,I72)=0,"Empty",IF(COUNTA(B72,D72,E72,G72,H72,I72)&lt;6,"Partial","Complete"))</f>
        <v>Empty</v>
      </c>
    </row>
    <row r="73" customFormat="false" ht="15.75" hidden="false" customHeight="true" outlineLevel="0" collapsed="false">
      <c r="A73" s="2"/>
      <c r="B73" s="2"/>
      <c r="C73" s="2"/>
      <c r="D73" s="2"/>
      <c r="E73" s="2"/>
      <c r="F73" s="2"/>
      <c r="G73" s="2"/>
      <c r="H73" s="2"/>
      <c r="I73" s="2"/>
      <c r="J73" s="2"/>
      <c r="K73" s="2"/>
      <c r="L73" s="2"/>
      <c r="M73" s="26" t="str">
        <f aca="false">IF(COUNTA(B73,D73,E73,G73,H73,I73)=0,"Empty",IF(COUNTA(B73,D73,E73,G73,H73,I73)&lt;6,"Partial","Complete"))</f>
        <v>Empty</v>
      </c>
    </row>
    <row r="74" customFormat="false" ht="15.75" hidden="false" customHeight="true" outlineLevel="0" collapsed="false">
      <c r="A74" s="2"/>
      <c r="B74" s="2"/>
      <c r="C74" s="2"/>
      <c r="D74" s="2"/>
      <c r="E74" s="2"/>
      <c r="F74" s="2"/>
      <c r="G74" s="2"/>
      <c r="H74" s="2"/>
      <c r="I74" s="2"/>
      <c r="J74" s="2"/>
      <c r="K74" s="2"/>
      <c r="L74" s="2"/>
      <c r="M74" s="26" t="str">
        <f aca="false">IF(COUNTA(B74,D74,E74,G74,H74,I74)=0,"Empty",IF(COUNTA(B74,D74,E74,G74,H74,I74)&lt;6,"Partial","Complete"))</f>
        <v>Empty</v>
      </c>
    </row>
    <row r="75" customFormat="false" ht="15.75" hidden="false" customHeight="true" outlineLevel="0" collapsed="false">
      <c r="A75" s="2"/>
      <c r="B75" s="2"/>
      <c r="C75" s="2"/>
      <c r="D75" s="2"/>
      <c r="E75" s="2"/>
      <c r="F75" s="2"/>
      <c r="G75" s="2"/>
      <c r="H75" s="2"/>
      <c r="I75" s="2"/>
      <c r="J75" s="2"/>
      <c r="K75" s="2"/>
      <c r="L75" s="2"/>
      <c r="M75" s="26" t="str">
        <f aca="false">IF(COUNTA(B75,D75,E75,G75,H75,I75)=0,"Empty",IF(COUNTA(B75,D75,E75,G75,H75,I75)&lt;6,"Partial","Complete"))</f>
        <v>Empty</v>
      </c>
    </row>
    <row r="76" customFormat="false" ht="15.75" hidden="false" customHeight="true" outlineLevel="0" collapsed="false">
      <c r="A76" s="2"/>
      <c r="B76" s="2"/>
      <c r="C76" s="2"/>
      <c r="D76" s="2"/>
      <c r="E76" s="2"/>
      <c r="F76" s="2"/>
      <c r="G76" s="2"/>
      <c r="H76" s="2"/>
      <c r="I76" s="2"/>
      <c r="J76" s="2"/>
      <c r="K76" s="2"/>
      <c r="L76" s="2"/>
      <c r="M76" s="26" t="str">
        <f aca="false">IF(COUNTA(B76,D76,E76,G76,H76,I76)=0,"Empty",IF(COUNTA(B76,D76,E76,G76,H76,I76)&lt;6,"Partial","Complete"))</f>
        <v>Empty</v>
      </c>
    </row>
    <row r="77" customFormat="false" ht="15.75" hidden="false" customHeight="true" outlineLevel="0" collapsed="false">
      <c r="A77" s="2"/>
      <c r="B77" s="2"/>
      <c r="C77" s="2"/>
      <c r="D77" s="2"/>
      <c r="E77" s="2"/>
      <c r="F77" s="2"/>
      <c r="G77" s="2"/>
      <c r="H77" s="2"/>
      <c r="I77" s="2"/>
      <c r="J77" s="2"/>
      <c r="K77" s="2"/>
      <c r="L77" s="2"/>
      <c r="M77" s="26" t="str">
        <f aca="false">IF(COUNTA(B77,D77,E77,G77,H77,I77)=0,"Empty",IF(COUNTA(B77,D77,E77,G77,H77,I77)&lt;6,"Partial","Complete"))</f>
        <v>Empty</v>
      </c>
    </row>
    <row r="78" customFormat="false" ht="15.75" hidden="false" customHeight="true" outlineLevel="0" collapsed="false">
      <c r="A78" s="2"/>
      <c r="B78" s="2"/>
      <c r="C78" s="2"/>
      <c r="D78" s="2"/>
      <c r="E78" s="2"/>
      <c r="F78" s="2"/>
      <c r="G78" s="2"/>
      <c r="H78" s="2"/>
      <c r="I78" s="2"/>
      <c r="J78" s="2"/>
      <c r="K78" s="2"/>
      <c r="L78" s="2"/>
      <c r="M78" s="26" t="str">
        <f aca="false">IF(COUNTA(B78,D78,E78,G78,H78,I78)=0,"Empty",IF(COUNTA(B78,D78,E78,G78,H78,I78)&lt;6,"Partial","Complete"))</f>
        <v>Empty</v>
      </c>
    </row>
    <row r="79" customFormat="false" ht="15.75" hidden="false" customHeight="true" outlineLevel="0" collapsed="false">
      <c r="A79" s="2"/>
      <c r="B79" s="2"/>
      <c r="C79" s="2"/>
      <c r="D79" s="2"/>
      <c r="E79" s="2"/>
      <c r="F79" s="2"/>
      <c r="G79" s="2"/>
      <c r="H79" s="2"/>
      <c r="I79" s="2"/>
      <c r="J79" s="2"/>
      <c r="K79" s="2"/>
      <c r="L79" s="2"/>
      <c r="M79" s="26" t="str">
        <f aca="false">IF(COUNTA(B79,D79,E79,G79,H79,I79)=0,"Empty",IF(COUNTA(B79,D79,E79,G79,H79,I79)&lt;6,"Partial","Complete"))</f>
        <v>Empty</v>
      </c>
    </row>
    <row r="80" customFormat="false" ht="15.75" hidden="false" customHeight="true" outlineLevel="0" collapsed="false">
      <c r="A80" s="2"/>
      <c r="B80" s="2"/>
      <c r="C80" s="2"/>
      <c r="D80" s="2"/>
      <c r="E80" s="2"/>
      <c r="F80" s="2"/>
      <c r="G80" s="2"/>
      <c r="H80" s="2"/>
      <c r="I80" s="2"/>
      <c r="J80" s="2"/>
      <c r="K80" s="2"/>
      <c r="L80" s="2"/>
      <c r="M80" s="26" t="str">
        <f aca="false">IF(COUNTA(B80,D80,E80,G80,H80,I80)=0,"Empty",IF(COUNTA(B80,D80,E80,G80,H80,I80)&lt;6,"Partial","Complete"))</f>
        <v>Empty</v>
      </c>
    </row>
    <row r="81" customFormat="false" ht="15.75" hidden="false" customHeight="true" outlineLevel="0" collapsed="false">
      <c r="A81" s="2"/>
      <c r="B81" s="2"/>
      <c r="C81" s="2"/>
      <c r="D81" s="2"/>
      <c r="E81" s="2"/>
      <c r="F81" s="2"/>
      <c r="G81" s="2"/>
      <c r="H81" s="2"/>
      <c r="I81" s="2"/>
      <c r="J81" s="2"/>
      <c r="K81" s="2"/>
      <c r="L81" s="2"/>
      <c r="M81" s="26" t="str">
        <f aca="false">IF(COUNTA(B81,D81,E81,G81,H81,I81)=0,"Empty",IF(COUNTA(B81,D81,E81,G81,H81,I81)&lt;6,"Partial","Complete"))</f>
        <v>Empty</v>
      </c>
    </row>
    <row r="82" customFormat="false" ht="15.75" hidden="false" customHeight="true" outlineLevel="0" collapsed="false">
      <c r="A82" s="2"/>
      <c r="B82" s="2"/>
      <c r="C82" s="2"/>
      <c r="D82" s="2"/>
      <c r="E82" s="2"/>
      <c r="F82" s="2"/>
      <c r="G82" s="2"/>
      <c r="H82" s="2"/>
      <c r="I82" s="2"/>
      <c r="J82" s="2"/>
      <c r="K82" s="2"/>
      <c r="L82" s="2"/>
      <c r="M82" s="26" t="str">
        <f aca="false">IF(COUNTA(B82,D82,E82,G82,H82,I82)=0,"Empty",IF(COUNTA(B82,D82,E82,G82,H82,I82)&lt;6,"Partial","Complete"))</f>
        <v>Empty</v>
      </c>
    </row>
    <row r="83" customFormat="false" ht="15.75" hidden="false" customHeight="true" outlineLevel="0" collapsed="false">
      <c r="A83" s="2"/>
      <c r="B83" s="2"/>
      <c r="C83" s="2"/>
      <c r="D83" s="2"/>
      <c r="E83" s="2"/>
      <c r="F83" s="2"/>
      <c r="G83" s="2"/>
      <c r="H83" s="2"/>
      <c r="I83" s="2"/>
      <c r="J83" s="2"/>
      <c r="K83" s="2"/>
      <c r="L83" s="2"/>
      <c r="M83" s="26" t="str">
        <f aca="false">IF(COUNTA(B83,D83,E83,G83,H83,I83)=0,"Empty",IF(COUNTA(B83,D83,E83,G83,H83,I83)&lt;6,"Partial","Complete"))</f>
        <v>Empty</v>
      </c>
    </row>
    <row r="84" customFormat="false" ht="15.75" hidden="false" customHeight="true" outlineLevel="0" collapsed="false">
      <c r="A84" s="2"/>
      <c r="B84" s="2"/>
      <c r="C84" s="2"/>
      <c r="D84" s="2"/>
      <c r="E84" s="2"/>
      <c r="F84" s="2"/>
      <c r="G84" s="2"/>
      <c r="H84" s="2"/>
      <c r="I84" s="2"/>
      <c r="J84" s="2"/>
      <c r="K84" s="2"/>
      <c r="L84" s="2"/>
      <c r="M84" s="26" t="str">
        <f aca="false">IF(COUNTA(B84,D84,E84,G84,H84,I84)=0,"Empty",IF(COUNTA(B84,D84,E84,G84,H84,I84)&lt;6,"Partial","Complete"))</f>
        <v>Empty</v>
      </c>
    </row>
    <row r="85" customFormat="false" ht="15.75" hidden="false" customHeight="true" outlineLevel="0" collapsed="false">
      <c r="A85" s="2"/>
      <c r="B85" s="2"/>
      <c r="C85" s="2"/>
      <c r="D85" s="2"/>
      <c r="E85" s="2"/>
      <c r="F85" s="2"/>
      <c r="G85" s="2"/>
      <c r="H85" s="2"/>
      <c r="I85" s="2"/>
      <c r="J85" s="2"/>
      <c r="K85" s="2"/>
      <c r="L85" s="2"/>
      <c r="M85" s="26" t="str">
        <f aca="false">IF(COUNTA(B85,D85,E85,G85,H85,I85)=0,"Empty",IF(COUNTA(B85,D85,E85,G85,H85,I85)&lt;6,"Partial","Complete"))</f>
        <v>Empty</v>
      </c>
    </row>
    <row r="86" customFormat="false" ht="15.75" hidden="false" customHeight="true" outlineLevel="0" collapsed="false">
      <c r="A86" s="2"/>
      <c r="B86" s="2"/>
      <c r="C86" s="2"/>
      <c r="D86" s="2"/>
      <c r="E86" s="2"/>
      <c r="F86" s="2"/>
      <c r="G86" s="2"/>
      <c r="H86" s="2"/>
      <c r="I86" s="2"/>
      <c r="J86" s="2"/>
      <c r="K86" s="2"/>
      <c r="L86" s="2"/>
      <c r="M86" s="26" t="str">
        <f aca="false">IF(COUNTA(B86,D86,E86,G86,H86,I86)=0,"Empty",IF(COUNTA(B86,D86,E86,G86,H86,I86)&lt;6,"Partial","Complete"))</f>
        <v>Empty</v>
      </c>
    </row>
    <row r="87" customFormat="false" ht="15.75" hidden="false" customHeight="true" outlineLevel="0" collapsed="false">
      <c r="A87" s="2"/>
      <c r="B87" s="2"/>
      <c r="C87" s="2"/>
      <c r="D87" s="2"/>
      <c r="E87" s="2"/>
      <c r="F87" s="2"/>
      <c r="G87" s="2"/>
      <c r="H87" s="2"/>
      <c r="I87" s="2"/>
      <c r="J87" s="2"/>
      <c r="K87" s="2"/>
      <c r="L87" s="2"/>
      <c r="M87" s="26" t="str">
        <f aca="false">IF(COUNTA(B87,D87,E87,G87,H87,I87)=0,"Empty",IF(COUNTA(B87,D87,E87,G87,H87,I87)&lt;6,"Partial","Complete"))</f>
        <v>Empty</v>
      </c>
    </row>
    <row r="88" customFormat="false" ht="15.75" hidden="false" customHeight="true" outlineLevel="0" collapsed="false">
      <c r="A88" s="2"/>
      <c r="B88" s="2"/>
      <c r="C88" s="2"/>
      <c r="D88" s="2"/>
      <c r="E88" s="2"/>
      <c r="F88" s="2"/>
      <c r="G88" s="2"/>
      <c r="H88" s="2"/>
      <c r="I88" s="2"/>
      <c r="J88" s="2"/>
      <c r="K88" s="2"/>
      <c r="L88" s="2"/>
      <c r="M88" s="26" t="str">
        <f aca="false">IF(COUNTA(B88,D88,E88,G88,H88,I88)=0,"Empty",IF(COUNTA(B88,D88,E88,G88,H88,I88)&lt;6,"Partial","Complete"))</f>
        <v>Empty</v>
      </c>
    </row>
    <row r="89" customFormat="false" ht="15.75" hidden="false" customHeight="true" outlineLevel="0" collapsed="false">
      <c r="A89" s="2"/>
      <c r="B89" s="2"/>
      <c r="C89" s="2"/>
      <c r="D89" s="2"/>
      <c r="E89" s="2"/>
      <c r="F89" s="2"/>
      <c r="G89" s="2"/>
      <c r="H89" s="2"/>
      <c r="I89" s="2"/>
      <c r="J89" s="2"/>
      <c r="K89" s="2"/>
      <c r="L89" s="2"/>
      <c r="M89" s="26" t="str">
        <f aca="false">IF(COUNTA(B89,D89,E89,G89,H89,I89)=0,"Empty",IF(COUNTA(B89,D89,E89,G89,H89,I89)&lt;6,"Partial","Complete"))</f>
        <v>Empty</v>
      </c>
    </row>
    <row r="90" customFormat="false" ht="15.75" hidden="false" customHeight="true" outlineLevel="0" collapsed="false">
      <c r="A90" s="2"/>
      <c r="B90" s="2"/>
      <c r="C90" s="2"/>
      <c r="D90" s="2"/>
      <c r="E90" s="2"/>
      <c r="F90" s="2"/>
      <c r="G90" s="2"/>
      <c r="H90" s="2"/>
      <c r="I90" s="2"/>
      <c r="J90" s="2"/>
      <c r="K90" s="2"/>
      <c r="L90" s="2"/>
      <c r="M90" s="26" t="str">
        <f aca="false">IF(COUNTA(B90,D90,E90,G90,H90,I90)=0,"Empty",IF(COUNTA(B90,D90,E90,G90,H90,I90)&lt;6,"Partial","Complete"))</f>
        <v>Empty</v>
      </c>
    </row>
    <row r="91" customFormat="false" ht="15.75" hidden="false" customHeight="true" outlineLevel="0" collapsed="false">
      <c r="A91" s="2"/>
      <c r="B91" s="2"/>
      <c r="C91" s="2"/>
      <c r="D91" s="2"/>
      <c r="E91" s="2"/>
      <c r="F91" s="2"/>
      <c r="G91" s="2"/>
      <c r="H91" s="2"/>
      <c r="I91" s="2"/>
      <c r="J91" s="2"/>
      <c r="K91" s="2"/>
      <c r="L91" s="2"/>
      <c r="M91" s="26" t="str">
        <f aca="false">IF(COUNTA(B91,D91,E91,G91,H91,I91)=0,"Empty",IF(COUNTA(B91,D91,E91,G91,H91,I91)&lt;6,"Partial","Complete"))</f>
        <v>Empty</v>
      </c>
    </row>
    <row r="92" customFormat="false" ht="15.75" hidden="false" customHeight="true" outlineLevel="0" collapsed="false">
      <c r="A92" s="2"/>
      <c r="B92" s="2"/>
      <c r="C92" s="2"/>
      <c r="D92" s="2"/>
      <c r="E92" s="2"/>
      <c r="F92" s="2"/>
      <c r="G92" s="2"/>
      <c r="H92" s="2"/>
      <c r="I92" s="2"/>
      <c r="J92" s="2"/>
      <c r="K92" s="2"/>
      <c r="L92" s="2"/>
      <c r="M92" s="26" t="str">
        <f aca="false">IF(COUNTA(B92,D92,E92,G92,H92,I92)=0,"Empty",IF(COUNTA(B92,D92,E92,G92,H92,I92)&lt;6,"Partial","Complete"))</f>
        <v>Empty</v>
      </c>
    </row>
    <row r="93" customFormat="false" ht="15.75" hidden="false" customHeight="true" outlineLevel="0" collapsed="false">
      <c r="A93" s="2"/>
      <c r="B93" s="2"/>
      <c r="C93" s="2"/>
      <c r="D93" s="2"/>
      <c r="E93" s="2"/>
      <c r="F93" s="2"/>
      <c r="G93" s="2"/>
      <c r="H93" s="2"/>
      <c r="I93" s="2"/>
      <c r="J93" s="2"/>
      <c r="K93" s="2"/>
      <c r="L93" s="2"/>
      <c r="M93" s="26" t="str">
        <f aca="false">IF(COUNTA(B93,D93,E93,G93,H93,I93)=0,"Empty",IF(COUNTA(B93,D93,E93,G93,H93,I93)&lt;6,"Partial","Complete"))</f>
        <v>Empty</v>
      </c>
    </row>
    <row r="94" customFormat="false" ht="15.75" hidden="false" customHeight="true" outlineLevel="0" collapsed="false">
      <c r="A94" s="2"/>
      <c r="B94" s="2"/>
      <c r="C94" s="2"/>
      <c r="D94" s="2"/>
      <c r="E94" s="2"/>
      <c r="F94" s="2"/>
      <c r="G94" s="2"/>
      <c r="H94" s="2"/>
      <c r="I94" s="2"/>
      <c r="J94" s="2"/>
      <c r="K94" s="2"/>
      <c r="L94" s="2"/>
      <c r="M94" s="26" t="str">
        <f aca="false">IF(COUNTA(B94,D94,E94,G94,H94,I94)=0,"Empty",IF(COUNTA(B94,D94,E94,G94,H94,I94)&lt;6,"Partial","Complete"))</f>
        <v>Empty</v>
      </c>
    </row>
    <row r="95" customFormat="false" ht="15.75" hidden="false" customHeight="true" outlineLevel="0" collapsed="false">
      <c r="A95" s="2"/>
      <c r="B95" s="2"/>
      <c r="C95" s="2"/>
      <c r="D95" s="2"/>
      <c r="E95" s="2"/>
      <c r="F95" s="2"/>
      <c r="G95" s="2"/>
      <c r="H95" s="2"/>
      <c r="I95" s="2"/>
      <c r="J95" s="2"/>
      <c r="K95" s="2"/>
      <c r="L95" s="2"/>
      <c r="M95" s="26" t="str">
        <f aca="false">IF(COUNTA(B95,D95,E95,G95,H95,I95)=0,"Empty",IF(COUNTA(B95,D95,E95,G95,H95,I95)&lt;6,"Partial","Complete"))</f>
        <v>Empty</v>
      </c>
    </row>
    <row r="96" customFormat="false" ht="15.75" hidden="false" customHeight="true" outlineLevel="0" collapsed="false">
      <c r="A96" s="2"/>
      <c r="B96" s="2"/>
      <c r="C96" s="2"/>
      <c r="D96" s="2"/>
      <c r="E96" s="2"/>
      <c r="F96" s="2"/>
      <c r="G96" s="2"/>
      <c r="H96" s="2"/>
      <c r="I96" s="2"/>
      <c r="J96" s="2"/>
      <c r="K96" s="2"/>
      <c r="L96" s="2"/>
      <c r="M96" s="26" t="str">
        <f aca="false">IF(COUNTA(B96,D96,E96,G96,H96,I96)=0,"Empty",IF(COUNTA(B96,D96,E96,G96,H96,I96)&lt;6,"Partial","Complete"))</f>
        <v>Empty</v>
      </c>
    </row>
    <row r="97" customFormat="false" ht="15.75" hidden="false" customHeight="true" outlineLevel="0" collapsed="false">
      <c r="A97" s="2"/>
      <c r="B97" s="2"/>
      <c r="C97" s="2"/>
      <c r="D97" s="2"/>
      <c r="E97" s="2"/>
      <c r="F97" s="2"/>
      <c r="G97" s="2"/>
      <c r="H97" s="2"/>
      <c r="I97" s="2"/>
      <c r="J97" s="2"/>
      <c r="K97" s="2"/>
      <c r="L97" s="2"/>
      <c r="M97" s="26" t="str">
        <f aca="false">IF(COUNTA(B97,D97,E97,G97,H97,I97)=0,"Empty",IF(COUNTA(B97,D97,E97,G97,H97,I97)&lt;6,"Partial","Complete"))</f>
        <v>Empty</v>
      </c>
    </row>
    <row r="98" customFormat="false" ht="15.75" hidden="false" customHeight="true" outlineLevel="0" collapsed="false">
      <c r="A98" s="2"/>
      <c r="B98" s="2"/>
      <c r="C98" s="2"/>
      <c r="D98" s="2"/>
      <c r="E98" s="2"/>
      <c r="F98" s="2"/>
      <c r="G98" s="2"/>
      <c r="H98" s="2"/>
      <c r="I98" s="2"/>
      <c r="J98" s="2"/>
      <c r="K98" s="2"/>
      <c r="L98" s="2"/>
      <c r="M98" s="26" t="str">
        <f aca="false">IF(COUNTA(B98,D98,E98,G98,H98,I98)=0,"Empty",IF(COUNTA(B98,D98,E98,G98,H98,I98)&lt;6,"Partial","Complete"))</f>
        <v>Empty</v>
      </c>
    </row>
    <row r="99" customFormat="false" ht="15.75" hidden="false" customHeight="true" outlineLevel="0" collapsed="false">
      <c r="A99" s="2"/>
      <c r="B99" s="2"/>
      <c r="C99" s="2"/>
      <c r="D99" s="2"/>
      <c r="E99" s="2"/>
      <c r="F99" s="2"/>
      <c r="G99" s="2"/>
      <c r="H99" s="2"/>
      <c r="I99" s="2"/>
      <c r="J99" s="2"/>
      <c r="K99" s="2"/>
      <c r="L99" s="2"/>
      <c r="M99" s="26" t="str">
        <f aca="false">IF(COUNTA(B99,D99,E99,G99,H99,I99)=0,"Empty",IF(COUNTA(B99,D99,E99,G99,H99,I99)&lt;6,"Partial","Complete"))</f>
        <v>Empty</v>
      </c>
    </row>
    <row r="100" customFormat="false" ht="15.75" hidden="false" customHeight="true" outlineLevel="0" collapsed="false">
      <c r="A100" s="2"/>
      <c r="B100" s="2"/>
      <c r="C100" s="2"/>
      <c r="D100" s="2"/>
      <c r="E100" s="2"/>
      <c r="F100" s="2"/>
      <c r="G100" s="2"/>
      <c r="H100" s="2"/>
      <c r="I100" s="2"/>
      <c r="J100" s="2"/>
      <c r="K100" s="2"/>
      <c r="L100" s="2"/>
      <c r="M100" s="26" t="str">
        <f aca="false">IF(COUNTA(B100,D100,E100,G100,H100,I100)=0,"Empty",IF(COUNTA(B100,D100,E100,G100,H100,I100)&lt;6,"Partial","Complete"))</f>
        <v>Empty</v>
      </c>
    </row>
  </sheetData>
  <dataValidations count="1">
    <dataValidation allowBlank="false" errorStyle="stop" operator="between" showDropDown="false" showErrorMessage="false" showInputMessage="false" sqref="I2:I100" type="list">
      <formula1>"MVP,Later,Out of Scope"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4"/>
    <col collapsed="false" customWidth="true" hidden="false" outlineLevel="0" max="2" min="2" style="0" width="46.67"/>
    <col collapsed="false" customWidth="true" hidden="false" outlineLevel="0" max="3" min="3" style="0" width="24"/>
    <col collapsed="false" customWidth="true" hidden="false" outlineLevel="0" max="4" min="4" style="0" width="26"/>
    <col collapsed="false" customWidth="true" hidden="false" outlineLevel="0" max="5" min="5" style="0" width="16"/>
    <col collapsed="false" customWidth="true" hidden="false" outlineLevel="0" max="6" min="6" style="0" width="30"/>
    <col collapsed="false" customWidth="true" hidden="false" outlineLevel="0" max="7" min="7" style="0" width="34"/>
  </cols>
  <sheetData>
    <row r="1" customFormat="false" ht="45" hidden="false" customHeight="true" outlineLevel="0" collapsed="false">
      <c r="A1" s="6" t="s">
        <v>367</v>
      </c>
      <c r="B1" s="6" t="s">
        <v>368</v>
      </c>
      <c r="C1" s="6" t="s">
        <v>369</v>
      </c>
      <c r="D1" s="6" t="s">
        <v>370</v>
      </c>
      <c r="E1" s="6" t="s">
        <v>198</v>
      </c>
      <c r="F1" s="6" t="s">
        <v>200</v>
      </c>
      <c r="G1" s="6" t="s">
        <v>268</v>
      </c>
      <c r="H1" s="2"/>
      <c r="I1" s="2"/>
      <c r="J1" s="2"/>
      <c r="K1" s="2"/>
      <c r="L1" s="2"/>
    </row>
    <row r="2" customFormat="false" ht="15.75" hidden="false" customHeight="true" outlineLevel="0" collapsed="false">
      <c r="A2" s="7" t="s">
        <v>371</v>
      </c>
      <c r="B2" s="7" t="s">
        <v>372</v>
      </c>
      <c r="C2" s="27"/>
      <c r="D2" s="27"/>
      <c r="E2" s="27" t="s">
        <v>52</v>
      </c>
      <c r="F2" s="27"/>
      <c r="G2" s="27"/>
      <c r="H2" s="2"/>
      <c r="I2" s="2"/>
      <c r="J2" s="2"/>
      <c r="K2" s="2"/>
      <c r="L2" s="2"/>
    </row>
    <row r="3" customFormat="false" ht="15.75" hidden="false" customHeight="true" outlineLevel="0" collapsed="false">
      <c r="A3" s="7" t="s">
        <v>373</v>
      </c>
      <c r="B3" s="7" t="s">
        <v>374</v>
      </c>
      <c r="C3" s="27"/>
      <c r="D3" s="27"/>
      <c r="E3" s="27" t="s">
        <v>52</v>
      </c>
      <c r="F3" s="27"/>
      <c r="G3" s="27"/>
      <c r="H3" s="2"/>
      <c r="I3" s="2"/>
      <c r="J3" s="2"/>
      <c r="K3" s="2"/>
      <c r="L3" s="2"/>
    </row>
    <row r="4" customFormat="false" ht="15.75" hidden="false" customHeight="true" outlineLevel="0" collapsed="false">
      <c r="A4" s="7" t="s">
        <v>375</v>
      </c>
      <c r="B4" s="7" t="s">
        <v>376</v>
      </c>
      <c r="C4" s="27"/>
      <c r="D4" s="27"/>
      <c r="E4" s="27" t="s">
        <v>52</v>
      </c>
      <c r="F4" s="27"/>
      <c r="G4" s="27"/>
      <c r="H4" s="2"/>
      <c r="I4" s="2"/>
      <c r="J4" s="2"/>
      <c r="K4" s="2"/>
      <c r="L4" s="2"/>
    </row>
    <row r="5" customFormat="false" ht="15.75" hidden="false" customHeight="true" outlineLevel="0" collapsed="false">
      <c r="A5" s="7" t="s">
        <v>377</v>
      </c>
      <c r="B5" s="7" t="s">
        <v>378</v>
      </c>
      <c r="C5" s="27"/>
      <c r="D5" s="27"/>
      <c r="E5" s="27" t="s">
        <v>52</v>
      </c>
      <c r="F5" s="27"/>
      <c r="G5" s="27"/>
      <c r="H5" s="2"/>
      <c r="I5" s="2"/>
      <c r="J5" s="2"/>
      <c r="K5" s="2"/>
      <c r="L5" s="2"/>
    </row>
    <row r="6" customFormat="false" ht="15.75" hidden="false" customHeight="true" outlineLevel="0" collapsed="false">
      <c r="A6" s="7" t="s">
        <v>379</v>
      </c>
      <c r="B6" s="7" t="s">
        <v>380</v>
      </c>
      <c r="C6" s="27"/>
      <c r="D6" s="27"/>
      <c r="E6" s="27" t="s">
        <v>52</v>
      </c>
      <c r="F6" s="27"/>
      <c r="G6" s="27"/>
      <c r="H6" s="2"/>
      <c r="I6" s="2"/>
      <c r="J6" s="2"/>
      <c r="K6" s="2"/>
      <c r="L6" s="2"/>
    </row>
    <row r="7" customFormat="false" ht="15.75" hidden="false" customHeight="true" outlineLevel="0" collapsed="false">
      <c r="A7" s="7" t="s">
        <v>381</v>
      </c>
      <c r="B7" s="7" t="s">
        <v>382</v>
      </c>
      <c r="C7" s="27"/>
      <c r="D7" s="27"/>
      <c r="E7" s="27" t="s">
        <v>52</v>
      </c>
      <c r="F7" s="27"/>
      <c r="G7" s="27"/>
      <c r="H7" s="2"/>
      <c r="I7" s="2"/>
      <c r="J7" s="2"/>
      <c r="K7" s="2"/>
      <c r="L7" s="2"/>
    </row>
    <row r="8" customFormat="false" ht="15.75" hidden="false" customHeight="true" outlineLevel="0" collapsed="false">
      <c r="A8" s="7" t="s">
        <v>383</v>
      </c>
      <c r="B8" s="7" t="s">
        <v>384</v>
      </c>
      <c r="C8" s="27"/>
      <c r="D8" s="27"/>
      <c r="E8" s="27" t="s">
        <v>52</v>
      </c>
      <c r="F8" s="27"/>
      <c r="G8" s="27"/>
      <c r="H8" s="2"/>
      <c r="I8" s="2"/>
      <c r="J8" s="2"/>
      <c r="K8" s="2"/>
      <c r="L8" s="2"/>
    </row>
    <row r="9" customFormat="false" ht="15.75" hidden="false" customHeight="true" outlineLevel="0" collapsed="false">
      <c r="A9" s="7" t="s">
        <v>385</v>
      </c>
      <c r="B9" s="7" t="s">
        <v>386</v>
      </c>
      <c r="C9" s="27"/>
      <c r="D9" s="27"/>
      <c r="E9" s="27" t="s">
        <v>52</v>
      </c>
      <c r="F9" s="27"/>
      <c r="G9" s="27"/>
      <c r="H9" s="2"/>
      <c r="I9" s="2"/>
      <c r="J9" s="2"/>
      <c r="K9" s="2"/>
      <c r="L9" s="2"/>
    </row>
    <row r="10" customFormat="false" ht="15" hidden="false" customHeight="false" outlineLevel="0" collapsed="false">
      <c r="A10" s="2"/>
      <c r="B10" s="2"/>
      <c r="C10" s="2"/>
      <c r="D10" s="2"/>
      <c r="E10" s="2"/>
      <c r="F10" s="2"/>
      <c r="G10" s="2"/>
      <c r="H10" s="2"/>
      <c r="I10" s="2"/>
      <c r="J10" s="2"/>
      <c r="K10" s="2"/>
      <c r="L10" s="2"/>
    </row>
    <row r="11" customFormat="false" ht="15" hidden="false" customHeight="false" outlineLevel="0" collapsed="false">
      <c r="A11" s="2"/>
      <c r="B11" s="2"/>
      <c r="C11" s="2"/>
      <c r="D11" s="2"/>
      <c r="E11" s="2"/>
      <c r="F11" s="2"/>
      <c r="G11" s="2"/>
      <c r="H11" s="2"/>
      <c r="I11" s="2"/>
      <c r="J11" s="2"/>
      <c r="K11" s="2"/>
      <c r="L11" s="2"/>
    </row>
    <row r="12" customFormat="false" ht="15" hidden="false" customHeight="false" outlineLevel="0" collapsed="false">
      <c r="A12" s="2"/>
      <c r="B12" s="2"/>
      <c r="C12" s="2"/>
      <c r="D12" s="2"/>
      <c r="E12" s="2"/>
      <c r="F12" s="2"/>
      <c r="G12" s="2"/>
      <c r="H12" s="2"/>
      <c r="I12" s="2"/>
      <c r="J12" s="2"/>
      <c r="K12" s="2"/>
      <c r="L12" s="2"/>
    </row>
    <row r="13" customFormat="false" ht="15" hidden="false" customHeight="false" outlineLevel="0" collapsed="false">
      <c r="A13" s="2"/>
      <c r="B13" s="2"/>
      <c r="C13" s="2"/>
      <c r="D13" s="2"/>
      <c r="E13" s="2"/>
      <c r="F13" s="2"/>
      <c r="G13" s="2"/>
      <c r="H13" s="2"/>
      <c r="I13" s="2"/>
      <c r="J13" s="2"/>
      <c r="K13" s="2"/>
      <c r="L13" s="2"/>
    </row>
    <row r="14" customFormat="false" ht="15" hidden="false" customHeight="false" outlineLevel="0" collapsed="false">
      <c r="A14" s="2"/>
      <c r="B14" s="2"/>
      <c r="C14" s="2"/>
      <c r="D14" s="2"/>
      <c r="E14" s="2"/>
      <c r="F14" s="2"/>
      <c r="G14" s="2"/>
      <c r="H14" s="2"/>
      <c r="I14" s="2"/>
      <c r="J14" s="2"/>
      <c r="K14" s="2"/>
      <c r="L14" s="2"/>
    </row>
    <row r="15" customFormat="false" ht="15" hidden="false" customHeight="false" outlineLevel="0" collapsed="false">
      <c r="A15" s="2"/>
      <c r="B15" s="2"/>
      <c r="C15" s="2"/>
      <c r="D15" s="2"/>
      <c r="E15" s="2"/>
      <c r="F15" s="2"/>
      <c r="G15" s="2"/>
      <c r="H15" s="2"/>
      <c r="I15" s="2"/>
      <c r="J15" s="2"/>
      <c r="K15" s="2"/>
      <c r="L15" s="2"/>
    </row>
    <row r="16" customFormat="false" ht="15" hidden="false" customHeight="false" outlineLevel="0" collapsed="false">
      <c r="A16" s="2"/>
      <c r="B16" s="2"/>
      <c r="C16" s="2"/>
      <c r="D16" s="2"/>
      <c r="E16" s="2"/>
      <c r="F16" s="2"/>
      <c r="G16" s="2"/>
      <c r="H16" s="2"/>
      <c r="I16" s="2"/>
      <c r="J16" s="2"/>
      <c r="K16" s="2"/>
      <c r="L16" s="2"/>
    </row>
    <row r="17" customFormat="false" ht="15" hidden="false" customHeight="false" outlineLevel="0" collapsed="false">
      <c r="A17" s="2"/>
      <c r="B17" s="2"/>
      <c r="C17" s="2"/>
      <c r="D17" s="2"/>
      <c r="E17" s="2"/>
      <c r="F17" s="2"/>
      <c r="G17" s="2"/>
      <c r="H17" s="2"/>
      <c r="I17" s="2"/>
      <c r="J17" s="2"/>
      <c r="K17" s="2"/>
      <c r="L17" s="2"/>
    </row>
    <row r="18" customFormat="false" ht="15" hidden="false" customHeight="false" outlineLevel="0" collapsed="false">
      <c r="A18" s="2"/>
      <c r="B18" s="2"/>
      <c r="C18" s="2"/>
      <c r="D18" s="2"/>
      <c r="E18" s="2"/>
      <c r="F18" s="2"/>
      <c r="G18" s="2"/>
      <c r="H18" s="2"/>
      <c r="I18" s="2"/>
      <c r="J18" s="2"/>
      <c r="K18" s="2"/>
      <c r="L18" s="2"/>
    </row>
    <row r="19" customFormat="false" ht="15" hidden="false" customHeight="false" outlineLevel="0" collapsed="false">
      <c r="A19" s="2"/>
      <c r="B19" s="2"/>
      <c r="C19" s="2"/>
      <c r="D19" s="2"/>
      <c r="E19" s="2"/>
      <c r="F19" s="2"/>
      <c r="G19" s="2"/>
      <c r="H19" s="2"/>
      <c r="I19" s="2"/>
      <c r="J19" s="2"/>
      <c r="K19" s="2"/>
      <c r="L19" s="2"/>
    </row>
    <row r="20" customFormat="false" ht="15" hidden="false" customHeight="false" outlineLevel="0" collapsed="false">
      <c r="A20" s="2"/>
      <c r="B20" s="2"/>
      <c r="C20" s="2"/>
      <c r="D20" s="2"/>
      <c r="E20" s="2"/>
      <c r="F20" s="2"/>
      <c r="G20" s="2"/>
      <c r="H20" s="2"/>
      <c r="I20" s="2"/>
      <c r="J20" s="2"/>
      <c r="K20" s="2"/>
      <c r="L20" s="2"/>
    </row>
    <row r="21" customFormat="false" ht="15" hidden="false" customHeight="false" outlineLevel="0" collapsed="false">
      <c r="A21" s="2"/>
      <c r="B21" s="2"/>
      <c r="C21" s="2"/>
      <c r="D21" s="2"/>
      <c r="E21" s="2"/>
      <c r="F21" s="2"/>
      <c r="G21" s="2"/>
      <c r="H21" s="2"/>
      <c r="I21" s="2"/>
      <c r="J21" s="2"/>
      <c r="K21" s="2"/>
      <c r="L21" s="2"/>
    </row>
    <row r="22" customFormat="false" ht="15" hidden="false" customHeight="false" outlineLevel="0" collapsed="false">
      <c r="A22" s="2"/>
      <c r="B22" s="2"/>
      <c r="C22" s="2"/>
      <c r="D22" s="2"/>
      <c r="E22" s="2"/>
      <c r="F22" s="2"/>
      <c r="G22" s="2"/>
      <c r="H22" s="2"/>
      <c r="I22" s="2"/>
      <c r="J22" s="2"/>
      <c r="K22" s="2"/>
      <c r="L22" s="2"/>
    </row>
    <row r="23" customFormat="false" ht="15" hidden="false" customHeight="false" outlineLevel="0" collapsed="false">
      <c r="A23" s="2"/>
      <c r="B23" s="2"/>
      <c r="C23" s="2"/>
      <c r="D23" s="2"/>
      <c r="E23" s="2"/>
      <c r="F23" s="2"/>
      <c r="G23" s="2"/>
      <c r="H23" s="2"/>
      <c r="I23" s="2"/>
      <c r="J23" s="2"/>
      <c r="K23" s="2"/>
      <c r="L23" s="2"/>
    </row>
    <row r="24" customFormat="false" ht="15" hidden="false" customHeight="false" outlineLevel="0" collapsed="false">
      <c r="A24" s="2"/>
      <c r="B24" s="2"/>
      <c r="C24" s="2"/>
      <c r="D24" s="2"/>
      <c r="E24" s="2"/>
      <c r="F24" s="2"/>
      <c r="G24" s="2"/>
      <c r="H24" s="2"/>
      <c r="I24" s="2"/>
      <c r="J24" s="2"/>
      <c r="K24" s="2"/>
      <c r="L24" s="2"/>
    </row>
    <row r="25" customFormat="false" ht="15" hidden="false" customHeight="false" outlineLevel="0" collapsed="false">
      <c r="A25" s="2"/>
      <c r="B25" s="2"/>
      <c r="C25" s="2"/>
      <c r="D25" s="2"/>
      <c r="E25" s="2"/>
      <c r="F25" s="2"/>
      <c r="G25" s="2"/>
      <c r="H25" s="2"/>
      <c r="I25" s="2"/>
      <c r="J25" s="2"/>
      <c r="K25" s="2"/>
      <c r="L25" s="2"/>
    </row>
    <row r="26" customFormat="false" ht="15" hidden="false" customHeight="false" outlineLevel="0" collapsed="false">
      <c r="A26" s="2"/>
      <c r="B26" s="2"/>
      <c r="C26" s="2"/>
      <c r="D26" s="2"/>
      <c r="E26" s="2"/>
      <c r="F26" s="2"/>
      <c r="G26" s="2"/>
      <c r="H26" s="2"/>
      <c r="I26" s="2"/>
      <c r="J26" s="2"/>
      <c r="K26" s="2"/>
      <c r="L26" s="2"/>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45"/>
    <col collapsed="false" customWidth="true" hidden="false" outlineLevel="0" max="4" min="4" style="0" width="13"/>
  </cols>
  <sheetData>
    <row r="1" customFormat="false" ht="45" hidden="false" customHeight="true" outlineLevel="0" collapsed="false">
      <c r="A1" s="6" t="s">
        <v>387</v>
      </c>
      <c r="B1" s="6" t="s">
        <v>388</v>
      </c>
      <c r="C1" s="6" t="s">
        <v>268</v>
      </c>
      <c r="D1" s="2"/>
      <c r="E1" s="2"/>
      <c r="F1" s="2"/>
      <c r="G1" s="2"/>
      <c r="H1" s="2"/>
      <c r="I1" s="2"/>
      <c r="J1" s="2"/>
      <c r="K1" s="2"/>
      <c r="L1" s="2"/>
    </row>
    <row r="2" customFormat="false" ht="15.75" hidden="false" customHeight="true" outlineLevel="0" collapsed="false">
      <c r="A2" s="7" t="s">
        <v>389</v>
      </c>
      <c r="B2" s="27"/>
      <c r="C2" s="7"/>
      <c r="D2" s="2"/>
      <c r="E2" s="2"/>
      <c r="F2" s="2"/>
      <c r="G2" s="2"/>
      <c r="H2" s="2"/>
      <c r="I2" s="2"/>
      <c r="J2" s="2"/>
      <c r="K2" s="2"/>
      <c r="L2" s="2"/>
    </row>
    <row r="3" customFormat="false" ht="15.75" hidden="false" customHeight="true" outlineLevel="0" collapsed="false">
      <c r="A3" s="7" t="s">
        <v>390</v>
      </c>
      <c r="B3" s="27"/>
      <c r="C3" s="7" t="s">
        <v>391</v>
      </c>
      <c r="D3" s="2"/>
      <c r="E3" s="2"/>
      <c r="F3" s="2"/>
      <c r="G3" s="2"/>
      <c r="H3" s="2"/>
      <c r="I3" s="2"/>
      <c r="J3" s="2"/>
      <c r="K3" s="2"/>
      <c r="L3" s="2"/>
    </row>
    <row r="4" customFormat="false" ht="15.75" hidden="false" customHeight="true" outlineLevel="0" collapsed="false">
      <c r="A4" s="7" t="s">
        <v>392</v>
      </c>
      <c r="B4" s="27"/>
      <c r="C4" s="7"/>
      <c r="D4" s="2"/>
      <c r="E4" s="2"/>
      <c r="F4" s="2"/>
      <c r="G4" s="2"/>
      <c r="H4" s="2"/>
      <c r="I4" s="2"/>
      <c r="J4" s="2"/>
      <c r="K4" s="2"/>
      <c r="L4" s="2"/>
    </row>
    <row r="5" customFormat="false" ht="15.75" hidden="false" customHeight="true" outlineLevel="0" collapsed="false">
      <c r="A5" s="7" t="s">
        <v>393</v>
      </c>
      <c r="B5" s="27"/>
      <c r="C5" s="7"/>
      <c r="D5" s="2"/>
      <c r="E5" s="2"/>
      <c r="F5" s="2"/>
      <c r="G5" s="2"/>
      <c r="H5" s="2"/>
      <c r="I5" s="2"/>
      <c r="J5" s="2"/>
      <c r="K5" s="2"/>
      <c r="L5" s="2"/>
    </row>
    <row r="6" customFormat="false" ht="15.75" hidden="false" customHeight="true" outlineLevel="0" collapsed="false">
      <c r="A6" s="7" t="s">
        <v>394</v>
      </c>
      <c r="B6" s="27"/>
      <c r="C6" s="7"/>
      <c r="D6" s="2"/>
      <c r="E6" s="2"/>
      <c r="F6" s="2"/>
      <c r="G6" s="2"/>
      <c r="H6" s="2"/>
      <c r="I6" s="2"/>
      <c r="J6" s="2"/>
      <c r="K6" s="2"/>
      <c r="L6" s="2"/>
    </row>
    <row r="7" customFormat="false" ht="15.75" hidden="false" customHeight="true" outlineLevel="0" collapsed="false">
      <c r="A7" s="7" t="s">
        <v>395</v>
      </c>
      <c r="B7" s="27"/>
      <c r="C7" s="7"/>
      <c r="D7" s="2"/>
      <c r="E7" s="2"/>
      <c r="F7" s="2"/>
      <c r="G7" s="2"/>
      <c r="H7" s="2"/>
      <c r="I7" s="2"/>
      <c r="J7" s="2"/>
      <c r="K7" s="2"/>
      <c r="L7" s="2"/>
    </row>
    <row r="8" customFormat="false" ht="15.75" hidden="false" customHeight="true" outlineLevel="0" collapsed="false">
      <c r="A8" s="7" t="s">
        <v>396</v>
      </c>
      <c r="B8" s="27"/>
      <c r="C8" s="7"/>
      <c r="D8" s="2"/>
      <c r="E8" s="2"/>
      <c r="F8" s="2"/>
      <c r="G8" s="2"/>
      <c r="H8" s="2"/>
      <c r="I8" s="2"/>
      <c r="J8" s="2"/>
      <c r="K8" s="2"/>
      <c r="L8" s="2"/>
    </row>
    <row r="9" customFormat="false" ht="15.75" hidden="false" customHeight="true" outlineLevel="0" collapsed="false">
      <c r="A9" s="7" t="s">
        <v>397</v>
      </c>
      <c r="B9" s="27"/>
      <c r="C9" s="7"/>
      <c r="D9" s="2"/>
      <c r="E9" s="2"/>
      <c r="F9" s="2"/>
      <c r="G9" s="2"/>
      <c r="H9" s="2"/>
      <c r="I9" s="2"/>
      <c r="J9" s="2"/>
      <c r="K9" s="2"/>
      <c r="L9" s="2"/>
    </row>
    <row r="10" customFormat="false" ht="15.75" hidden="false" customHeight="true" outlineLevel="0" collapsed="false">
      <c r="A10" s="7" t="s">
        <v>398</v>
      </c>
      <c r="B10" s="27"/>
      <c r="C10" s="7"/>
      <c r="D10" s="2"/>
      <c r="E10" s="2"/>
      <c r="F10" s="2"/>
      <c r="G10" s="2"/>
      <c r="H10" s="2"/>
      <c r="I10" s="2"/>
      <c r="J10" s="2"/>
      <c r="K10" s="2"/>
      <c r="L10" s="2"/>
    </row>
    <row r="11" customFormat="false" ht="15.75" hidden="false" customHeight="true" outlineLevel="0" collapsed="false">
      <c r="A11" s="7" t="s">
        <v>399</v>
      </c>
      <c r="B11" s="27"/>
      <c r="C11" s="7"/>
      <c r="D11" s="2"/>
      <c r="E11" s="2"/>
      <c r="F11" s="2"/>
      <c r="G11" s="2"/>
      <c r="H11" s="2"/>
      <c r="I11" s="2"/>
      <c r="J11" s="2"/>
      <c r="K11" s="2"/>
      <c r="L11" s="2"/>
    </row>
    <row r="12" customFormat="false" ht="15.75" hidden="false" customHeight="true" outlineLevel="0" collapsed="false">
      <c r="A12" s="7" t="s">
        <v>400</v>
      </c>
      <c r="B12" s="27"/>
      <c r="C12" s="7"/>
      <c r="D12" s="2"/>
      <c r="E12" s="2"/>
      <c r="F12" s="2"/>
      <c r="G12" s="2"/>
      <c r="H12" s="2"/>
      <c r="I12" s="2"/>
      <c r="J12" s="2"/>
      <c r="K12" s="2"/>
      <c r="L12" s="2"/>
    </row>
    <row r="13" customFormat="false" ht="15.75" hidden="false" customHeight="true" outlineLevel="0" collapsed="false">
      <c r="A13" s="7" t="s">
        <v>401</v>
      </c>
      <c r="B13" s="27"/>
      <c r="C13" s="7" t="s">
        <v>402</v>
      </c>
      <c r="D13" s="2"/>
      <c r="E13" s="2"/>
      <c r="F13" s="2"/>
      <c r="G13" s="2"/>
      <c r="H13" s="2"/>
      <c r="I13" s="2"/>
      <c r="J13" s="2"/>
      <c r="K13" s="2"/>
      <c r="L13" s="2"/>
    </row>
    <row r="14" customFormat="false" ht="15" hidden="false" customHeight="false" outlineLevel="0" collapsed="false">
      <c r="A14" s="2"/>
      <c r="B14" s="2"/>
      <c r="C14" s="2"/>
      <c r="D14" s="2"/>
      <c r="E14" s="2"/>
      <c r="F14" s="2"/>
      <c r="G14" s="2"/>
      <c r="H14" s="2"/>
      <c r="I14" s="2"/>
      <c r="J14" s="2"/>
      <c r="K14" s="2"/>
      <c r="L14" s="2"/>
    </row>
    <row r="15" customFormat="false" ht="15" hidden="false" customHeight="true" outlineLevel="0" collapsed="false">
      <c r="A15" s="9" t="s">
        <v>403</v>
      </c>
      <c r="B15" s="9"/>
      <c r="C15" s="9"/>
      <c r="D15" s="9"/>
      <c r="E15" s="2"/>
      <c r="F15" s="2"/>
      <c r="G15" s="2"/>
      <c r="H15" s="2"/>
      <c r="I15" s="2"/>
      <c r="J15" s="2"/>
      <c r="K15" s="2"/>
      <c r="L15" s="2"/>
    </row>
    <row r="16" customFormat="false" ht="15" hidden="false" customHeight="true" outlineLevel="0" collapsed="false">
      <c r="A16" s="12" t="s">
        <v>404</v>
      </c>
      <c r="B16" s="12"/>
      <c r="C16" s="12"/>
      <c r="D16" s="20" t="n">
        <f aca="false">COUNTIF('Go-live Checklist'!D2:D50,"Done")</f>
        <v>0</v>
      </c>
      <c r="E16" s="2"/>
      <c r="F16" s="2"/>
      <c r="G16" s="2"/>
      <c r="H16" s="2"/>
      <c r="I16" s="2"/>
      <c r="J16" s="2"/>
      <c r="K16" s="2"/>
      <c r="L16" s="2"/>
    </row>
    <row r="17" customFormat="false" ht="15" hidden="false" customHeight="true" outlineLevel="0" collapsed="false">
      <c r="A17" s="12" t="s">
        <v>405</v>
      </c>
      <c r="B17" s="12"/>
      <c r="C17" s="12"/>
      <c r="D17" s="20" t="n">
        <f aca="false">COUNTIF('Go-live Checklist'!H2:H50,"Yes")</f>
        <v>0</v>
      </c>
      <c r="E17" s="2"/>
      <c r="F17" s="2"/>
      <c r="G17" s="2"/>
      <c r="H17" s="2"/>
      <c r="I17" s="2"/>
      <c r="J17" s="2"/>
      <c r="K17" s="2"/>
      <c r="L17" s="2"/>
    </row>
    <row r="18" customFormat="false" ht="15" hidden="false" customHeight="true" outlineLevel="0" collapsed="false">
      <c r="A18" s="12" t="s">
        <v>406</v>
      </c>
      <c r="B18" s="12"/>
      <c r="C18" s="12"/>
      <c r="D18" s="20" t="n">
        <f aca="false">COUNTIF('Client Handover'!E2:E100,"Done")</f>
        <v>0</v>
      </c>
      <c r="E18" s="2"/>
      <c r="F18" s="2"/>
      <c r="G18" s="2"/>
      <c r="H18" s="2"/>
      <c r="I18" s="2"/>
      <c r="J18" s="2"/>
      <c r="K18" s="2"/>
      <c r="L18" s="2"/>
    </row>
    <row r="19" customFormat="false" ht="15" hidden="false" customHeight="true" outlineLevel="0" collapsed="false">
      <c r="A19" s="12" t="s">
        <v>407</v>
      </c>
      <c r="B19" s="12"/>
      <c r="C19" s="12"/>
      <c r="D19" s="20" t="n">
        <f aca="false">COUNTA('Operations Log'!A2:A200)</f>
        <v>0</v>
      </c>
      <c r="E19" s="2"/>
      <c r="F19" s="2"/>
      <c r="G19" s="2"/>
      <c r="H19" s="2"/>
      <c r="I19" s="2"/>
      <c r="J19" s="2"/>
      <c r="K19" s="2"/>
      <c r="L19" s="2"/>
    </row>
    <row r="20" customFormat="false" ht="15" hidden="false" customHeight="true" outlineLevel="0" collapsed="false">
      <c r="A20" s="12" t="s">
        <v>408</v>
      </c>
      <c r="B20" s="12"/>
      <c r="C20" s="12"/>
      <c r="D20" s="20" t="n">
        <f aca="false">COUNTIF('Operations Log'!G2:G200,"Not Started")+COUNTIF('Operations Log'!G2:G200,"In Progress")</f>
        <v>0</v>
      </c>
      <c r="E20" s="2"/>
      <c r="F20" s="2"/>
      <c r="G20" s="2"/>
      <c r="H20" s="2"/>
      <c r="I20" s="2"/>
      <c r="J20" s="2"/>
      <c r="K20" s="2"/>
      <c r="L20" s="2"/>
    </row>
    <row r="21" customFormat="false" ht="15" hidden="false" customHeight="true" outlineLevel="0" collapsed="false">
      <c r="A21" s="12" t="s">
        <v>409</v>
      </c>
      <c r="B21" s="12"/>
      <c r="C21" s="12"/>
      <c r="D21" s="20" t="n">
        <f aca="false">COUNTIF('Operations Log'!G2:G200,"Done")</f>
        <v>0</v>
      </c>
      <c r="E21" s="2"/>
      <c r="F21" s="2"/>
      <c r="G21" s="2"/>
      <c r="H21" s="2"/>
      <c r="I21" s="2"/>
      <c r="J21" s="2"/>
      <c r="K21" s="2"/>
      <c r="L21" s="2"/>
    </row>
    <row r="22" customFormat="false" ht="15" hidden="false" customHeight="true" outlineLevel="0" collapsed="false">
      <c r="A22" s="12" t="s">
        <v>410</v>
      </c>
      <c r="B22" s="12"/>
      <c r="C22" s="12"/>
      <c r="D22" s="20" t="n">
        <f aca="false">COUNTA('Improvement Backlog'!A2:A100)</f>
        <v>20</v>
      </c>
      <c r="E22" s="2"/>
      <c r="F22" s="2"/>
      <c r="G22" s="2"/>
      <c r="H22" s="2"/>
      <c r="I22" s="2"/>
      <c r="J22" s="2"/>
      <c r="K22" s="2"/>
      <c r="L22" s="2"/>
    </row>
    <row r="23" customFormat="false" ht="15" hidden="false" customHeight="true" outlineLevel="0" collapsed="false">
      <c r="A23" s="12" t="s">
        <v>411</v>
      </c>
      <c r="B23" s="12"/>
      <c r="C23" s="12"/>
      <c r="D23" s="20" t="n">
        <f aca="false">COUNTIF('Improvement Backlog'!H2:H100,"Done")</f>
        <v>0</v>
      </c>
      <c r="E23" s="2"/>
      <c r="F23" s="2"/>
      <c r="G23" s="2"/>
      <c r="H23" s="2"/>
      <c r="I23" s="2"/>
      <c r="J23" s="2"/>
      <c r="K23" s="2"/>
      <c r="L23" s="2"/>
    </row>
    <row r="24" customFormat="false" ht="15" hidden="false" customHeight="true" outlineLevel="0" collapsed="false">
      <c r="A24" s="12" t="s">
        <v>412</v>
      </c>
      <c r="B24" s="12"/>
      <c r="C24" s="12"/>
      <c r="D24" s="20" t="n">
        <f aca="false">COUNTIF('Improvement Backlog'!I2:I100,"MVP")</f>
        <v>0</v>
      </c>
      <c r="E24" s="2"/>
      <c r="F24" s="2"/>
      <c r="G24" s="2"/>
      <c r="H24" s="2"/>
      <c r="I24" s="2"/>
      <c r="J24" s="2"/>
      <c r="K24" s="2"/>
      <c r="L24" s="2"/>
    </row>
    <row r="25" customFormat="false" ht="15" hidden="false" customHeight="true" outlineLevel="0" collapsed="false">
      <c r="A25" s="12" t="s">
        <v>413</v>
      </c>
      <c r="B25" s="12"/>
      <c r="C25" s="12"/>
      <c r="D25" s="20" t="n">
        <f aca="false">COUNTIF('Improvement Backlog'!I2:I100,"Later")</f>
        <v>0</v>
      </c>
      <c r="E25" s="2"/>
      <c r="F25" s="2"/>
      <c r="G25" s="2"/>
      <c r="H25" s="2"/>
      <c r="I25" s="2"/>
      <c r="J25" s="2"/>
      <c r="K25" s="2"/>
      <c r="L25" s="2"/>
    </row>
    <row r="26" customFormat="false" ht="15" hidden="false" customHeight="true" outlineLevel="0" collapsed="false">
      <c r="A26" s="12" t="s">
        <v>414</v>
      </c>
      <c r="B26" s="12"/>
      <c r="C26" s="12"/>
      <c r="D26" s="20" t="n">
        <f aca="false">COUNTIF('Monthly Review'!E2:E100,"Action Needed")</f>
        <v>0</v>
      </c>
      <c r="E26" s="2"/>
      <c r="F26" s="2"/>
      <c r="G26" s="2"/>
      <c r="H26" s="2"/>
      <c r="I26" s="2"/>
      <c r="J26" s="2"/>
      <c r="K26" s="2"/>
      <c r="L26" s="2"/>
    </row>
    <row r="27" customFormat="false" ht="15" hidden="false" customHeight="false" outlineLevel="0" collapsed="false">
      <c r="A27" s="2"/>
      <c r="B27" s="2"/>
      <c r="C27" s="2"/>
      <c r="D27" s="2"/>
      <c r="E27" s="2"/>
      <c r="F27" s="2"/>
      <c r="G27" s="2"/>
      <c r="H27" s="2"/>
      <c r="I27" s="2"/>
      <c r="J27" s="2"/>
      <c r="K27" s="2"/>
      <c r="L27" s="2"/>
    </row>
    <row r="28" customFormat="false" ht="15" hidden="false" customHeight="false" outlineLevel="0" collapsed="false">
      <c r="A28" s="2"/>
      <c r="B28" s="2"/>
      <c r="C28" s="2"/>
      <c r="D28" s="2"/>
      <c r="E28" s="2"/>
      <c r="F28" s="2"/>
      <c r="G28" s="2"/>
      <c r="H28" s="2"/>
      <c r="I28" s="2"/>
      <c r="J28" s="2"/>
      <c r="K28" s="2"/>
      <c r="L28" s="2"/>
    </row>
    <row r="29" customFormat="false" ht="15" hidden="false" customHeight="false" outlineLevel="0" collapsed="false">
      <c r="A29" s="2"/>
      <c r="B29" s="2"/>
      <c r="C29" s="2"/>
      <c r="D29" s="2"/>
      <c r="E29" s="2"/>
      <c r="F29" s="2"/>
      <c r="G29" s="2"/>
      <c r="H29" s="2"/>
      <c r="I29" s="2"/>
      <c r="J29" s="2"/>
      <c r="K29" s="2"/>
      <c r="L29" s="2"/>
    </row>
    <row r="30" customFormat="false" ht="15" hidden="false" customHeight="false" outlineLevel="0" collapsed="false">
      <c r="A30" s="2"/>
      <c r="B30" s="2"/>
      <c r="C30" s="2"/>
      <c r="D30" s="2"/>
      <c r="E30" s="2"/>
      <c r="F30" s="2"/>
      <c r="G30" s="2"/>
      <c r="H30" s="2"/>
      <c r="I30" s="2"/>
      <c r="J30" s="2"/>
      <c r="K30" s="2"/>
      <c r="L30" s="2"/>
    </row>
    <row r="31" customFormat="false" ht="15" hidden="false" customHeight="false" outlineLevel="0" collapsed="false">
      <c r="A31" s="2"/>
      <c r="B31" s="2"/>
      <c r="C31" s="2"/>
      <c r="D31" s="2"/>
      <c r="E31" s="2"/>
      <c r="F31" s="2"/>
      <c r="G31" s="2"/>
      <c r="H31" s="2"/>
      <c r="I31" s="2"/>
      <c r="J31" s="2"/>
      <c r="K31" s="2"/>
      <c r="L31" s="2"/>
    </row>
    <row r="32" customFormat="false" ht="15" hidden="false" customHeight="false" outlineLevel="0" collapsed="false">
      <c r="A32" s="2"/>
      <c r="B32" s="2"/>
      <c r="C32" s="2"/>
      <c r="D32" s="2"/>
      <c r="E32" s="2"/>
      <c r="F32" s="2"/>
      <c r="G32" s="2"/>
      <c r="H32" s="2"/>
      <c r="I32" s="2"/>
      <c r="J32" s="2"/>
      <c r="K32" s="2"/>
      <c r="L32" s="2"/>
    </row>
    <row r="33" customFormat="false" ht="15" hidden="false" customHeight="false" outlineLevel="0" collapsed="false">
      <c r="A33" s="2"/>
      <c r="B33" s="2"/>
      <c r="C33" s="2"/>
      <c r="D33" s="2"/>
      <c r="E33" s="2"/>
      <c r="F33" s="2"/>
      <c r="G33" s="2"/>
      <c r="H33" s="2"/>
      <c r="I33" s="2"/>
      <c r="J33" s="2"/>
      <c r="K33" s="2"/>
      <c r="L33" s="2"/>
    </row>
    <row r="34" customFormat="false" ht="15" hidden="false" customHeight="false" outlineLevel="0" collapsed="false">
      <c r="A34" s="2"/>
      <c r="B34" s="2"/>
      <c r="C34" s="2"/>
      <c r="D34" s="2"/>
      <c r="E34" s="2"/>
      <c r="F34" s="2"/>
      <c r="G34" s="2"/>
      <c r="H34" s="2"/>
      <c r="I34" s="2"/>
      <c r="J34" s="2"/>
      <c r="K34" s="2"/>
      <c r="L34" s="2"/>
    </row>
    <row r="35" customFormat="false" ht="15" hidden="false" customHeight="false" outlineLevel="0" collapsed="false">
      <c r="A35" s="2"/>
      <c r="B35" s="2"/>
      <c r="C35" s="2"/>
      <c r="D35" s="2"/>
      <c r="E35" s="2"/>
      <c r="F35" s="2"/>
      <c r="G35" s="2"/>
      <c r="H35" s="2"/>
      <c r="I35" s="2"/>
      <c r="J35" s="2"/>
      <c r="K35" s="2"/>
      <c r="L35" s="2"/>
    </row>
    <row r="36" customFormat="false" ht="15" hidden="false" customHeight="false" outlineLevel="0" collapsed="false">
      <c r="A36" s="2"/>
      <c r="B36" s="2"/>
      <c r="C36" s="2"/>
      <c r="D36" s="2"/>
      <c r="E36" s="2"/>
      <c r="F36" s="2"/>
      <c r="G36" s="2"/>
      <c r="H36" s="2"/>
      <c r="I36" s="2"/>
      <c r="J36" s="2"/>
      <c r="K36" s="2"/>
      <c r="L36" s="2"/>
    </row>
    <row r="37" customFormat="false" ht="15" hidden="false" customHeight="false" outlineLevel="0" collapsed="false">
      <c r="A37" s="2"/>
      <c r="B37" s="2"/>
      <c r="C37" s="2"/>
      <c r="D37" s="2"/>
      <c r="E37" s="2"/>
      <c r="F37" s="2"/>
      <c r="G37" s="2"/>
      <c r="H37" s="2"/>
      <c r="I37" s="2"/>
      <c r="J37" s="2"/>
      <c r="K37" s="2"/>
      <c r="L37" s="2"/>
    </row>
    <row r="38" customFormat="false" ht="15" hidden="false" customHeight="false" outlineLevel="0" collapsed="false">
      <c r="A38" s="2"/>
      <c r="B38" s="2"/>
      <c r="C38" s="2"/>
      <c r="D38" s="2"/>
      <c r="E38" s="2"/>
      <c r="F38" s="2"/>
      <c r="G38" s="2"/>
      <c r="H38" s="2"/>
      <c r="I38" s="2"/>
      <c r="J38" s="2"/>
      <c r="K38" s="2"/>
      <c r="L38" s="2"/>
    </row>
    <row r="39" customFormat="false" ht="15" hidden="false" customHeight="false" outlineLevel="0" collapsed="false">
      <c r="A39" s="2"/>
      <c r="B39" s="2"/>
      <c r="C39" s="2"/>
      <c r="D39" s="2"/>
      <c r="E39" s="2"/>
      <c r="F39" s="2"/>
      <c r="G39" s="2"/>
      <c r="H39" s="2"/>
      <c r="I39" s="2"/>
      <c r="J39" s="2"/>
      <c r="K39" s="2"/>
      <c r="L39" s="2"/>
    </row>
    <row r="40" customFormat="false" ht="15" hidden="false" customHeight="false" outlineLevel="0" collapsed="false">
      <c r="A40" s="2"/>
      <c r="B40" s="2"/>
      <c r="C40" s="2"/>
      <c r="D40" s="2"/>
      <c r="E40" s="2"/>
      <c r="F40" s="2"/>
      <c r="G40" s="2"/>
      <c r="H40" s="2"/>
      <c r="I40" s="2"/>
      <c r="J40" s="2"/>
      <c r="K40" s="2"/>
      <c r="L40" s="2"/>
    </row>
    <row r="41" customFormat="false" ht="15" hidden="false" customHeight="false" outlineLevel="0" collapsed="false">
      <c r="A41" s="2"/>
      <c r="B41" s="2"/>
      <c r="C41" s="2"/>
      <c r="D41" s="2"/>
      <c r="E41" s="2"/>
      <c r="F41" s="2"/>
      <c r="G41" s="2"/>
      <c r="H41" s="2"/>
      <c r="I41" s="2"/>
      <c r="J41" s="2"/>
      <c r="K41" s="2"/>
      <c r="L41" s="2"/>
    </row>
    <row r="42" customFormat="false" ht="15" hidden="false" customHeight="false" outlineLevel="0" collapsed="false">
      <c r="A42" s="2"/>
      <c r="B42" s="2"/>
      <c r="C42" s="2"/>
      <c r="D42" s="2"/>
      <c r="E42" s="2"/>
      <c r="F42" s="2"/>
      <c r="G42" s="2"/>
      <c r="H42" s="2"/>
      <c r="I42" s="2"/>
      <c r="J42" s="2"/>
      <c r="K42" s="2"/>
      <c r="L42" s="2"/>
    </row>
    <row r="43" customFormat="false" ht="15" hidden="false" customHeight="false" outlineLevel="0" collapsed="false">
      <c r="A43" s="2"/>
      <c r="B43" s="2"/>
      <c r="C43" s="2"/>
      <c r="D43" s="2"/>
      <c r="E43" s="2"/>
      <c r="F43" s="2"/>
      <c r="G43" s="2"/>
      <c r="H43" s="2"/>
      <c r="I43" s="2"/>
      <c r="J43" s="2"/>
      <c r="K43" s="2"/>
      <c r="L43" s="2"/>
    </row>
    <row r="44" customFormat="false" ht="15" hidden="false" customHeight="false" outlineLevel="0" collapsed="false">
      <c r="A44" s="2"/>
      <c r="B44" s="2"/>
      <c r="C44" s="2"/>
      <c r="D44" s="2"/>
      <c r="E44" s="2"/>
      <c r="F44" s="2"/>
      <c r="G44" s="2"/>
      <c r="H44" s="2"/>
      <c r="I44" s="2"/>
      <c r="J44" s="2"/>
      <c r="K44" s="2"/>
      <c r="L44" s="2"/>
    </row>
    <row r="45" customFormat="false" ht="15" hidden="false" customHeight="false" outlineLevel="0" collapsed="false">
      <c r="A45" s="2"/>
      <c r="B45" s="2"/>
      <c r="C45" s="2"/>
      <c r="D45" s="2"/>
      <c r="E45" s="2"/>
      <c r="F45" s="2"/>
      <c r="G45" s="2"/>
      <c r="H45" s="2"/>
      <c r="I45" s="2"/>
      <c r="J45" s="2"/>
      <c r="K45" s="2"/>
      <c r="L45" s="2"/>
    </row>
    <row r="46" customFormat="false" ht="15" hidden="false" customHeight="false" outlineLevel="0" collapsed="false">
      <c r="A46" s="2"/>
      <c r="B46" s="2"/>
      <c r="C46" s="2"/>
      <c r="D46" s="2"/>
      <c r="E46" s="2"/>
      <c r="F46" s="2"/>
      <c r="G46" s="2"/>
      <c r="H46" s="2"/>
      <c r="I46" s="2"/>
      <c r="J46" s="2"/>
      <c r="K46" s="2"/>
      <c r="L46" s="2"/>
    </row>
    <row r="47" customFormat="false" ht="15" hidden="false" customHeight="false" outlineLevel="0" collapsed="false">
      <c r="A47" s="2"/>
      <c r="B47" s="2"/>
      <c r="C47" s="2"/>
      <c r="D47" s="2"/>
      <c r="E47" s="2"/>
      <c r="F47" s="2"/>
      <c r="G47" s="2"/>
      <c r="H47" s="2"/>
      <c r="I47" s="2"/>
      <c r="J47" s="2"/>
      <c r="K47" s="2"/>
      <c r="L47" s="2"/>
    </row>
    <row r="48" customFormat="false" ht="15" hidden="false" customHeight="false" outlineLevel="0" collapsed="false">
      <c r="A48" s="2"/>
      <c r="B48" s="2"/>
      <c r="C48" s="2"/>
      <c r="D48" s="2"/>
      <c r="E48" s="2"/>
      <c r="F48" s="2"/>
      <c r="G48" s="2"/>
      <c r="H48" s="2"/>
      <c r="I48" s="2"/>
      <c r="J48" s="2"/>
      <c r="K48" s="2"/>
      <c r="L48" s="2"/>
    </row>
    <row r="49" customFormat="false" ht="15" hidden="false" customHeight="false" outlineLevel="0" collapsed="false">
      <c r="A49" s="2"/>
      <c r="B49" s="2"/>
      <c r="C49" s="2"/>
      <c r="D49" s="2"/>
      <c r="E49" s="2"/>
      <c r="F49" s="2"/>
      <c r="G49" s="2"/>
      <c r="H49" s="2"/>
      <c r="I49" s="2"/>
      <c r="J49" s="2"/>
      <c r="K49" s="2"/>
      <c r="L49" s="2"/>
    </row>
    <row r="50" customFormat="false" ht="15" hidden="false" customHeight="false" outlineLevel="0" collapsed="false">
      <c r="A50" s="2"/>
      <c r="B50" s="2"/>
      <c r="C50" s="2"/>
      <c r="D50" s="2"/>
      <c r="E50" s="2"/>
      <c r="F50" s="2"/>
      <c r="G50" s="2"/>
      <c r="H50" s="2"/>
      <c r="I50" s="2"/>
      <c r="J50" s="2"/>
      <c r="K50" s="2"/>
      <c r="L50" s="2"/>
    </row>
    <row r="51" customFormat="false" ht="15" hidden="false" customHeight="false" outlineLevel="0" collapsed="false">
      <c r="A51" s="2"/>
      <c r="B51" s="2"/>
      <c r="C51" s="2"/>
      <c r="D51" s="2"/>
      <c r="E51" s="2"/>
      <c r="F51" s="2"/>
      <c r="G51" s="2"/>
      <c r="H51" s="2"/>
      <c r="I51" s="2"/>
      <c r="J51" s="2"/>
      <c r="K51" s="2"/>
      <c r="L51" s="2"/>
    </row>
    <row r="52" customFormat="false" ht="15" hidden="false" customHeight="false" outlineLevel="0" collapsed="false">
      <c r="A52" s="2"/>
      <c r="B52" s="2"/>
      <c r="C52" s="2"/>
      <c r="D52" s="2"/>
      <c r="E52" s="2"/>
      <c r="F52" s="2"/>
      <c r="G52" s="2"/>
      <c r="H52" s="2"/>
      <c r="I52" s="2"/>
      <c r="J52" s="2"/>
      <c r="K52" s="2"/>
      <c r="L52" s="2"/>
    </row>
    <row r="53" customFormat="false" ht="15" hidden="false" customHeight="false" outlineLevel="0" collapsed="false">
      <c r="A53" s="2"/>
      <c r="B53" s="2"/>
      <c r="C53" s="2"/>
      <c r="D53" s="2"/>
      <c r="E53" s="2"/>
      <c r="F53" s="2"/>
      <c r="G53" s="2"/>
      <c r="H53" s="2"/>
      <c r="I53" s="2"/>
      <c r="J53" s="2"/>
      <c r="K53" s="2"/>
      <c r="L53" s="2"/>
    </row>
    <row r="54" customFormat="false" ht="15" hidden="false" customHeight="false" outlineLevel="0" collapsed="false">
      <c r="A54" s="2"/>
      <c r="B54" s="2"/>
      <c r="C54" s="2"/>
      <c r="D54" s="2"/>
      <c r="E54" s="2"/>
      <c r="F54" s="2"/>
      <c r="G54" s="2"/>
      <c r="H54" s="2"/>
      <c r="I54" s="2"/>
      <c r="J54" s="2"/>
      <c r="K54" s="2"/>
      <c r="L54" s="2"/>
    </row>
    <row r="55" customFormat="false" ht="15" hidden="false" customHeight="false" outlineLevel="0" collapsed="false">
      <c r="A55" s="2"/>
      <c r="B55" s="2"/>
      <c r="C55" s="2"/>
      <c r="D55" s="2"/>
      <c r="E55" s="2"/>
      <c r="F55" s="2"/>
      <c r="G55" s="2"/>
      <c r="H55" s="2"/>
      <c r="I55" s="2"/>
      <c r="J55" s="2"/>
      <c r="K55" s="2"/>
      <c r="L55" s="2"/>
    </row>
    <row r="56" customFormat="false" ht="15" hidden="false" customHeight="false" outlineLevel="0" collapsed="false">
      <c r="A56" s="2"/>
      <c r="B56" s="2"/>
      <c r="C56" s="2"/>
      <c r="D56" s="2"/>
      <c r="E56" s="2"/>
      <c r="F56" s="2"/>
      <c r="G56" s="2"/>
      <c r="H56" s="2"/>
      <c r="I56" s="2"/>
      <c r="J56" s="2"/>
      <c r="K56" s="2"/>
      <c r="L56" s="2"/>
    </row>
    <row r="57" customFormat="false" ht="15" hidden="false" customHeight="false" outlineLevel="0" collapsed="false">
      <c r="A57" s="2"/>
      <c r="B57" s="2"/>
      <c r="C57" s="2"/>
      <c r="D57" s="2"/>
      <c r="E57" s="2"/>
      <c r="F57" s="2"/>
      <c r="G57" s="2"/>
      <c r="H57" s="2"/>
      <c r="I57" s="2"/>
      <c r="J57" s="2"/>
      <c r="K57" s="2"/>
      <c r="L57" s="2"/>
    </row>
    <row r="58" customFormat="false" ht="15" hidden="false" customHeight="false" outlineLevel="0" collapsed="false">
      <c r="A58" s="2"/>
      <c r="B58" s="2"/>
      <c r="C58" s="2"/>
      <c r="D58" s="2"/>
      <c r="E58" s="2"/>
      <c r="F58" s="2"/>
      <c r="G58" s="2"/>
      <c r="H58" s="2"/>
      <c r="I58" s="2"/>
      <c r="J58" s="2"/>
      <c r="K58" s="2"/>
      <c r="L58" s="2"/>
    </row>
    <row r="59" customFormat="false" ht="15" hidden="false" customHeight="false" outlineLevel="0" collapsed="false">
      <c r="A59" s="2"/>
      <c r="B59" s="2"/>
      <c r="C59" s="2"/>
      <c r="D59" s="2"/>
      <c r="E59" s="2"/>
      <c r="F59" s="2"/>
      <c r="G59" s="2"/>
      <c r="H59" s="2"/>
      <c r="I59" s="2"/>
      <c r="J59" s="2"/>
      <c r="K59" s="2"/>
      <c r="L59" s="2"/>
    </row>
    <row r="60" customFormat="false" ht="15" hidden="false" customHeight="false" outlineLevel="0" collapsed="false">
      <c r="A60" s="2"/>
      <c r="B60" s="2"/>
      <c r="C60" s="2"/>
      <c r="D60" s="2"/>
      <c r="E60" s="2"/>
      <c r="F60" s="2"/>
      <c r="G60" s="2"/>
      <c r="H60" s="2"/>
      <c r="I60" s="2"/>
      <c r="J60" s="2"/>
      <c r="K60" s="2"/>
      <c r="L60" s="2"/>
    </row>
    <row r="61" customFormat="false" ht="15" hidden="false" customHeight="false" outlineLevel="0" collapsed="false">
      <c r="A61" s="2"/>
      <c r="B61" s="2"/>
      <c r="C61" s="2"/>
      <c r="D61" s="2"/>
      <c r="E61" s="2"/>
      <c r="F61" s="2"/>
      <c r="G61" s="2"/>
      <c r="H61" s="2"/>
      <c r="I61" s="2"/>
      <c r="J61" s="2"/>
      <c r="K61" s="2"/>
      <c r="L61" s="2"/>
    </row>
    <row r="62" customFormat="false" ht="15" hidden="false" customHeight="false" outlineLevel="0" collapsed="false">
      <c r="A62" s="2"/>
      <c r="B62" s="2"/>
      <c r="C62" s="2"/>
      <c r="D62" s="2"/>
      <c r="E62" s="2"/>
      <c r="F62" s="2"/>
      <c r="G62" s="2"/>
      <c r="H62" s="2"/>
      <c r="I62" s="2"/>
      <c r="J62" s="2"/>
      <c r="K62" s="2"/>
      <c r="L62" s="2"/>
    </row>
    <row r="63" customFormat="false" ht="15" hidden="false" customHeight="false" outlineLevel="0" collapsed="false">
      <c r="A63" s="2"/>
      <c r="B63" s="2"/>
      <c r="C63" s="2"/>
      <c r="D63" s="2"/>
      <c r="E63" s="2"/>
      <c r="F63" s="2"/>
      <c r="G63" s="2"/>
      <c r="H63" s="2"/>
      <c r="I63" s="2"/>
      <c r="J63" s="2"/>
      <c r="K63" s="2"/>
      <c r="L63" s="2"/>
    </row>
    <row r="64" customFormat="false" ht="15" hidden="false" customHeight="false" outlineLevel="0" collapsed="false">
      <c r="A64" s="2"/>
      <c r="B64" s="2"/>
      <c r="C64" s="2"/>
      <c r="D64" s="2"/>
      <c r="E64" s="2"/>
      <c r="F64" s="2"/>
      <c r="G64" s="2"/>
      <c r="H64" s="2"/>
      <c r="I64" s="2"/>
      <c r="J64" s="2"/>
      <c r="K64" s="2"/>
      <c r="L64" s="2"/>
    </row>
    <row r="65" customFormat="false" ht="15" hidden="false" customHeight="false" outlineLevel="0" collapsed="false">
      <c r="A65" s="2"/>
      <c r="B65" s="2"/>
      <c r="C65" s="2"/>
      <c r="D65" s="2"/>
      <c r="E65" s="2"/>
      <c r="F65" s="2"/>
      <c r="G65" s="2"/>
      <c r="H65" s="2"/>
      <c r="I65" s="2"/>
      <c r="J65" s="2"/>
      <c r="K65" s="2"/>
      <c r="L65" s="2"/>
    </row>
    <row r="66" customFormat="false" ht="15" hidden="false" customHeight="false" outlineLevel="0" collapsed="false">
      <c r="A66" s="2"/>
      <c r="B66" s="2"/>
      <c r="C66" s="2"/>
      <c r="D66" s="2"/>
      <c r="E66" s="2"/>
      <c r="F66" s="2"/>
      <c r="G66" s="2"/>
      <c r="H66" s="2"/>
      <c r="I66" s="2"/>
      <c r="J66" s="2"/>
      <c r="K66" s="2"/>
      <c r="L66" s="2"/>
    </row>
    <row r="67" customFormat="false" ht="15" hidden="false" customHeight="false" outlineLevel="0" collapsed="false">
      <c r="A67" s="2"/>
      <c r="B67" s="2"/>
      <c r="C67" s="2"/>
      <c r="D67" s="2"/>
      <c r="E67" s="2"/>
      <c r="F67" s="2"/>
      <c r="G67" s="2"/>
      <c r="H67" s="2"/>
      <c r="I67" s="2"/>
      <c r="J67" s="2"/>
      <c r="K67" s="2"/>
      <c r="L67" s="2"/>
    </row>
    <row r="68" customFormat="false" ht="15" hidden="false" customHeight="false" outlineLevel="0" collapsed="false">
      <c r="A68" s="2"/>
      <c r="B68" s="2"/>
      <c r="C68" s="2"/>
      <c r="D68" s="2"/>
      <c r="E68" s="2"/>
      <c r="F68" s="2"/>
      <c r="G68" s="2"/>
      <c r="H68" s="2"/>
      <c r="I68" s="2"/>
      <c r="J68" s="2"/>
      <c r="K68" s="2"/>
      <c r="L68" s="2"/>
    </row>
    <row r="69" customFormat="false" ht="15" hidden="false" customHeight="false" outlineLevel="0" collapsed="false">
      <c r="A69" s="2"/>
      <c r="B69" s="2"/>
      <c r="C69" s="2"/>
      <c r="D69" s="2"/>
      <c r="E69" s="2"/>
      <c r="F69" s="2"/>
      <c r="G69" s="2"/>
      <c r="H69" s="2"/>
      <c r="I69" s="2"/>
      <c r="J69" s="2"/>
      <c r="K69" s="2"/>
      <c r="L69" s="2"/>
    </row>
    <row r="70" customFormat="false" ht="15" hidden="false" customHeight="false" outlineLevel="0" collapsed="false">
      <c r="A70" s="2"/>
      <c r="B70" s="2"/>
      <c r="C70" s="2"/>
      <c r="D70" s="2"/>
      <c r="E70" s="2"/>
      <c r="F70" s="2"/>
      <c r="G70" s="2"/>
      <c r="H70" s="2"/>
      <c r="I70" s="2"/>
      <c r="J70" s="2"/>
      <c r="K70" s="2"/>
      <c r="L70" s="2"/>
    </row>
    <row r="71" customFormat="false" ht="15" hidden="false" customHeight="false" outlineLevel="0" collapsed="false">
      <c r="A71" s="2"/>
      <c r="B71" s="2"/>
      <c r="C71" s="2"/>
      <c r="D71" s="2"/>
      <c r="E71" s="2"/>
      <c r="F71" s="2"/>
      <c r="G71" s="2"/>
      <c r="H71" s="2"/>
      <c r="I71" s="2"/>
      <c r="J71" s="2"/>
      <c r="K71" s="2"/>
      <c r="L71" s="2"/>
    </row>
    <row r="72" customFormat="false" ht="15" hidden="false" customHeight="false" outlineLevel="0" collapsed="false">
      <c r="A72" s="2"/>
      <c r="B72" s="2"/>
      <c r="C72" s="2"/>
      <c r="D72" s="2"/>
      <c r="E72" s="2"/>
      <c r="F72" s="2"/>
      <c r="G72" s="2"/>
      <c r="H72" s="2"/>
      <c r="I72" s="2"/>
      <c r="J72" s="2"/>
      <c r="K72" s="2"/>
      <c r="L72" s="2"/>
    </row>
    <row r="73" customFormat="false" ht="15" hidden="false" customHeight="false" outlineLevel="0" collapsed="false">
      <c r="A73" s="2"/>
      <c r="B73" s="2"/>
      <c r="C73" s="2"/>
      <c r="D73" s="2"/>
      <c r="E73" s="2"/>
      <c r="F73" s="2"/>
      <c r="G73" s="2"/>
      <c r="H73" s="2"/>
      <c r="I73" s="2"/>
      <c r="J73" s="2"/>
      <c r="K73" s="2"/>
      <c r="L73" s="2"/>
    </row>
    <row r="74" customFormat="false" ht="15" hidden="false" customHeight="false" outlineLevel="0" collapsed="false">
      <c r="A74" s="2"/>
      <c r="B74" s="2"/>
      <c r="C74" s="2"/>
      <c r="D74" s="2"/>
      <c r="E74" s="2"/>
      <c r="F74" s="2"/>
      <c r="G74" s="2"/>
      <c r="H74" s="2"/>
      <c r="I74" s="2"/>
      <c r="J74" s="2"/>
      <c r="K74" s="2"/>
      <c r="L74" s="2"/>
    </row>
    <row r="75" customFormat="false" ht="15" hidden="false" customHeight="false" outlineLevel="0" collapsed="false">
      <c r="A75" s="2"/>
      <c r="B75" s="2"/>
      <c r="C75" s="2"/>
      <c r="D75" s="2"/>
      <c r="E75" s="2"/>
      <c r="F75" s="2"/>
      <c r="G75" s="2"/>
      <c r="H75" s="2"/>
      <c r="I75" s="2"/>
      <c r="J75" s="2"/>
      <c r="K75" s="2"/>
      <c r="L75" s="2"/>
    </row>
    <row r="76" customFormat="false" ht="15" hidden="false" customHeight="false" outlineLevel="0" collapsed="false">
      <c r="A76" s="2"/>
      <c r="B76" s="2"/>
      <c r="C76" s="2"/>
      <c r="D76" s="2"/>
      <c r="E76" s="2"/>
      <c r="F76" s="2"/>
      <c r="G76" s="2"/>
      <c r="H76" s="2"/>
      <c r="I76" s="2"/>
      <c r="J76" s="2"/>
      <c r="K76" s="2"/>
      <c r="L76" s="2"/>
    </row>
    <row r="77" customFormat="false" ht="15" hidden="false" customHeight="false" outlineLevel="0" collapsed="false">
      <c r="A77" s="2"/>
      <c r="B77" s="2"/>
      <c r="C77" s="2"/>
      <c r="D77" s="2"/>
      <c r="E77" s="2"/>
      <c r="F77" s="2"/>
      <c r="G77" s="2"/>
      <c r="H77" s="2"/>
      <c r="I77" s="2"/>
      <c r="J77" s="2"/>
      <c r="K77" s="2"/>
      <c r="L77" s="2"/>
    </row>
    <row r="78" customFormat="false" ht="15" hidden="false" customHeight="false" outlineLevel="0" collapsed="false">
      <c r="A78" s="2"/>
      <c r="B78" s="2"/>
      <c r="C78" s="2"/>
      <c r="D78" s="2"/>
      <c r="E78" s="2"/>
      <c r="F78" s="2"/>
      <c r="G78" s="2"/>
      <c r="H78" s="2"/>
      <c r="I78" s="2"/>
      <c r="J78" s="2"/>
      <c r="K78" s="2"/>
      <c r="L78" s="2"/>
    </row>
    <row r="79" customFormat="false" ht="15" hidden="false" customHeight="false" outlineLevel="0" collapsed="false">
      <c r="A79" s="2"/>
      <c r="B79" s="2"/>
      <c r="C79" s="2"/>
      <c r="D79" s="2"/>
      <c r="E79" s="2"/>
      <c r="F79" s="2"/>
      <c r="G79" s="2"/>
      <c r="H79" s="2"/>
      <c r="I79" s="2"/>
      <c r="J79" s="2"/>
      <c r="K79" s="2"/>
      <c r="L79" s="2"/>
    </row>
    <row r="80" customFormat="false" ht="15" hidden="false" customHeight="false" outlineLevel="0" collapsed="false">
      <c r="A80" s="2"/>
      <c r="B80" s="2"/>
      <c r="C80" s="2"/>
      <c r="D80" s="2"/>
      <c r="E80" s="2"/>
      <c r="F80" s="2"/>
      <c r="G80" s="2"/>
      <c r="H80" s="2"/>
      <c r="I80" s="2"/>
      <c r="J80" s="2"/>
      <c r="K80" s="2"/>
      <c r="L80" s="2"/>
    </row>
    <row r="81" customFormat="false" ht="15" hidden="false" customHeight="false" outlineLevel="0" collapsed="false">
      <c r="A81" s="2"/>
      <c r="B81" s="2"/>
      <c r="C81" s="2"/>
      <c r="D81" s="2"/>
      <c r="E81" s="2"/>
      <c r="F81" s="2"/>
      <c r="G81" s="2"/>
      <c r="H81" s="2"/>
      <c r="I81" s="2"/>
      <c r="J81" s="2"/>
      <c r="K81" s="2"/>
      <c r="L81" s="2"/>
    </row>
    <row r="82" customFormat="false" ht="15" hidden="false" customHeight="false" outlineLevel="0" collapsed="false">
      <c r="A82" s="2"/>
      <c r="B82" s="2"/>
      <c r="C82" s="2"/>
      <c r="D82" s="2"/>
      <c r="E82" s="2"/>
      <c r="F82" s="2"/>
      <c r="G82" s="2"/>
      <c r="H82" s="2"/>
      <c r="I82" s="2"/>
      <c r="J82" s="2"/>
      <c r="K82" s="2"/>
      <c r="L82" s="2"/>
    </row>
    <row r="83" customFormat="false" ht="15" hidden="false" customHeight="false" outlineLevel="0" collapsed="false">
      <c r="A83" s="2"/>
      <c r="B83" s="2"/>
      <c r="C83" s="2"/>
      <c r="D83" s="2"/>
      <c r="E83" s="2"/>
      <c r="F83" s="2"/>
      <c r="G83" s="2"/>
      <c r="H83" s="2"/>
      <c r="I83" s="2"/>
      <c r="J83" s="2"/>
      <c r="K83" s="2"/>
      <c r="L83" s="2"/>
    </row>
    <row r="84" customFormat="false" ht="15" hidden="false" customHeight="false" outlineLevel="0" collapsed="false">
      <c r="A84" s="2"/>
      <c r="B84" s="2"/>
      <c r="C84" s="2"/>
      <c r="D84" s="2"/>
      <c r="E84" s="2"/>
      <c r="F84" s="2"/>
      <c r="G84" s="2"/>
      <c r="H84" s="2"/>
      <c r="I84" s="2"/>
      <c r="J84" s="2"/>
      <c r="K84" s="2"/>
      <c r="L84" s="2"/>
    </row>
    <row r="85" customFormat="false" ht="15" hidden="false" customHeight="false" outlineLevel="0" collapsed="false">
      <c r="A85" s="2"/>
      <c r="B85" s="2"/>
      <c r="C85" s="2"/>
      <c r="D85" s="2"/>
      <c r="E85" s="2"/>
      <c r="F85" s="2"/>
      <c r="G85" s="2"/>
      <c r="H85" s="2"/>
      <c r="I85" s="2"/>
      <c r="J85" s="2"/>
      <c r="K85" s="2"/>
      <c r="L85" s="2"/>
    </row>
    <row r="86" customFormat="false" ht="15" hidden="false" customHeight="false" outlineLevel="0" collapsed="false">
      <c r="A86" s="2"/>
      <c r="B86" s="2"/>
      <c r="C86" s="2"/>
      <c r="D86" s="2"/>
      <c r="E86" s="2"/>
      <c r="F86" s="2"/>
      <c r="G86" s="2"/>
      <c r="H86" s="2"/>
      <c r="I86" s="2"/>
      <c r="J86" s="2"/>
      <c r="K86" s="2"/>
      <c r="L86" s="2"/>
    </row>
    <row r="87" customFormat="false" ht="15" hidden="false" customHeight="false" outlineLevel="0" collapsed="false">
      <c r="A87" s="2"/>
      <c r="B87" s="2"/>
      <c r="C87" s="2"/>
      <c r="D87" s="2"/>
      <c r="E87" s="2"/>
      <c r="F87" s="2"/>
      <c r="G87" s="2"/>
      <c r="H87" s="2"/>
      <c r="I87" s="2"/>
      <c r="J87" s="2"/>
      <c r="K87" s="2"/>
      <c r="L87" s="2"/>
    </row>
    <row r="88" customFormat="false" ht="15" hidden="false" customHeight="false" outlineLevel="0" collapsed="false">
      <c r="A88" s="2"/>
      <c r="B88" s="2"/>
      <c r="C88" s="2"/>
      <c r="D88" s="2"/>
      <c r="E88" s="2"/>
      <c r="F88" s="2"/>
      <c r="G88" s="2"/>
      <c r="H88" s="2"/>
      <c r="I88" s="2"/>
      <c r="J88" s="2"/>
      <c r="K88" s="2"/>
      <c r="L88" s="2"/>
    </row>
    <row r="89" customFormat="false" ht="15" hidden="false" customHeight="false" outlineLevel="0" collapsed="false">
      <c r="A89" s="2"/>
      <c r="B89" s="2"/>
      <c r="C89" s="2"/>
      <c r="D89" s="2"/>
      <c r="E89" s="2"/>
      <c r="F89" s="2"/>
      <c r="G89" s="2"/>
      <c r="H89" s="2"/>
      <c r="I89" s="2"/>
      <c r="J89" s="2"/>
      <c r="K89" s="2"/>
      <c r="L89" s="2"/>
    </row>
    <row r="90" customFormat="false" ht="15" hidden="false" customHeight="false" outlineLevel="0" collapsed="false">
      <c r="A90" s="2"/>
      <c r="B90" s="2"/>
      <c r="C90" s="2"/>
      <c r="D90" s="2"/>
      <c r="E90" s="2"/>
      <c r="F90" s="2"/>
      <c r="G90" s="2"/>
      <c r="H90" s="2"/>
      <c r="I90" s="2"/>
      <c r="J90" s="2"/>
      <c r="K90" s="2"/>
      <c r="L90" s="2"/>
    </row>
    <row r="91" customFormat="false" ht="15" hidden="false" customHeight="false" outlineLevel="0" collapsed="false">
      <c r="A91" s="2"/>
      <c r="B91" s="2"/>
      <c r="C91" s="2"/>
      <c r="D91" s="2"/>
      <c r="E91" s="2"/>
      <c r="F91" s="2"/>
      <c r="G91" s="2"/>
      <c r="H91" s="2"/>
      <c r="I91" s="2"/>
      <c r="J91" s="2"/>
      <c r="K91" s="2"/>
      <c r="L91" s="2"/>
    </row>
    <row r="92" customFormat="false" ht="15" hidden="false" customHeight="false" outlineLevel="0" collapsed="false">
      <c r="A92" s="2"/>
      <c r="B92" s="2"/>
      <c r="C92" s="2"/>
      <c r="D92" s="2"/>
      <c r="E92" s="2"/>
      <c r="F92" s="2"/>
      <c r="G92" s="2"/>
      <c r="H92" s="2"/>
      <c r="I92" s="2"/>
      <c r="J92" s="2"/>
      <c r="K92" s="2"/>
      <c r="L92" s="2"/>
    </row>
    <row r="93" customFormat="false" ht="15" hidden="false" customHeight="false" outlineLevel="0" collapsed="false">
      <c r="A93" s="2"/>
      <c r="B93" s="2"/>
      <c r="C93" s="2"/>
      <c r="D93" s="2"/>
      <c r="E93" s="2"/>
      <c r="F93" s="2"/>
      <c r="G93" s="2"/>
      <c r="H93" s="2"/>
      <c r="I93" s="2"/>
      <c r="J93" s="2"/>
      <c r="K93" s="2"/>
      <c r="L93" s="2"/>
    </row>
    <row r="94" customFormat="false" ht="15" hidden="false" customHeight="false" outlineLevel="0" collapsed="false">
      <c r="A94" s="2"/>
      <c r="B94" s="2"/>
      <c r="C94" s="2"/>
      <c r="D94" s="2"/>
      <c r="E94" s="2"/>
      <c r="F94" s="2"/>
      <c r="G94" s="2"/>
      <c r="H94" s="2"/>
      <c r="I94" s="2"/>
      <c r="J94" s="2"/>
      <c r="K94" s="2"/>
      <c r="L94" s="2"/>
    </row>
    <row r="95" customFormat="false" ht="15" hidden="false" customHeight="false" outlineLevel="0" collapsed="false">
      <c r="A95" s="2"/>
      <c r="B95" s="2"/>
      <c r="C95" s="2"/>
      <c r="D95" s="2"/>
      <c r="E95" s="2"/>
      <c r="F95" s="2"/>
      <c r="G95" s="2"/>
      <c r="H95" s="2"/>
      <c r="I95" s="2"/>
      <c r="J95" s="2"/>
      <c r="K95" s="2"/>
      <c r="L95" s="2"/>
    </row>
    <row r="96" customFormat="false" ht="15" hidden="false" customHeight="false" outlineLevel="0" collapsed="false">
      <c r="A96" s="2"/>
      <c r="B96" s="2"/>
      <c r="C96" s="2"/>
      <c r="D96" s="2"/>
      <c r="E96" s="2"/>
      <c r="F96" s="2"/>
      <c r="G96" s="2"/>
      <c r="H96" s="2"/>
      <c r="I96" s="2"/>
      <c r="J96" s="2"/>
      <c r="K96" s="2"/>
      <c r="L96" s="2"/>
    </row>
    <row r="97" customFormat="false" ht="15" hidden="false" customHeight="false" outlineLevel="0" collapsed="false">
      <c r="A97" s="2"/>
      <c r="B97" s="2"/>
      <c r="C97" s="2"/>
      <c r="D97" s="2"/>
      <c r="E97" s="2"/>
      <c r="F97" s="2"/>
      <c r="G97" s="2"/>
      <c r="H97" s="2"/>
      <c r="I97" s="2"/>
      <c r="J97" s="2"/>
      <c r="K97" s="2"/>
      <c r="L97" s="2"/>
    </row>
    <row r="98" customFormat="false" ht="15" hidden="false" customHeight="false" outlineLevel="0" collapsed="false">
      <c r="A98" s="2"/>
      <c r="B98" s="2"/>
      <c r="C98" s="2"/>
      <c r="D98" s="2"/>
      <c r="E98" s="2"/>
      <c r="F98" s="2"/>
      <c r="G98" s="2"/>
      <c r="H98" s="2"/>
      <c r="I98" s="2"/>
      <c r="J98" s="2"/>
      <c r="K98" s="2"/>
      <c r="L98" s="2"/>
    </row>
    <row r="99" customFormat="false" ht="15" hidden="false" customHeight="false" outlineLevel="0" collapsed="false">
      <c r="A99" s="2"/>
      <c r="B99" s="2"/>
      <c r="C99" s="2"/>
      <c r="D99" s="2"/>
      <c r="E99" s="2"/>
      <c r="F99" s="2"/>
      <c r="G99" s="2"/>
      <c r="H99" s="2"/>
      <c r="I99" s="2"/>
      <c r="J99" s="2"/>
      <c r="K99" s="2"/>
      <c r="L99" s="2"/>
    </row>
    <row r="100" customFormat="false" ht="15" hidden="false" customHeight="false" outlineLevel="0" collapsed="false">
      <c r="A100" s="2"/>
      <c r="B100" s="2"/>
      <c r="C100" s="2"/>
      <c r="D100" s="2"/>
      <c r="E100" s="2"/>
      <c r="F100" s="2"/>
      <c r="G100" s="2"/>
      <c r="H100" s="2"/>
      <c r="I100" s="2"/>
      <c r="J100" s="2"/>
      <c r="K100" s="2"/>
      <c r="L100" s="2"/>
    </row>
  </sheetData>
  <mergeCells count="12">
    <mergeCell ref="A15:D15"/>
    <mergeCell ref="A16:C16"/>
    <mergeCell ref="A17:C17"/>
    <mergeCell ref="A18:C18"/>
    <mergeCell ref="A19:C19"/>
    <mergeCell ref="A20:C20"/>
    <mergeCell ref="A21:C21"/>
    <mergeCell ref="A22:C22"/>
    <mergeCell ref="A23:C23"/>
    <mergeCell ref="A24:C24"/>
    <mergeCell ref="A25:C25"/>
    <mergeCell ref="A26:C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2026-06-28T15:00:15Z</dcterms:created>
  <dc:creator>openpyxl</dc:creator>
  <dc:description/>
  <dc:language>en-US</dc:language>
  <cp:lastModifiedBy>maciek szczech</cp:lastModifiedBy>
  <dcterms:modified xsi:type="dcterms:W3CDTF">2026-07-05T13:10:26Z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