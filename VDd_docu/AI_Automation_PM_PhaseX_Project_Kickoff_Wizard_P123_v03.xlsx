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Kickoff Questionnaire" sheetId="2" state="visible" r:id="rId4"/>
    <sheet name="Project Card" sheetId="3" state="visible" r:id="rId5"/>
    <sheet name="Setup Checklist" sheetId="4" state="visible" r:id="rId6"/>
    <sheet name="Pre-Population Map" sheetId="5" state="visible" r:id="rId7"/>
    <sheet name="AI Pre-Population Promp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<sst xmlns="http://schemas.openxmlformats.org/spreadsheetml/2006/main" count="264" uniqueCount="220">
  <si>
    <t xml:space="preserve">Project Kickoff Wizard</t>
  </si>
  <si>
    <t xml:space="preserve">One-stop intake for a new client engagement. Fill in the Kickoff Questionnaire with what you know after first contact / before discovery. The other sheets auto-update — use them to set up the project consistently in 15 minutes instead of an hour.</t>
  </si>
  <si>
    <t xml:space="preserve">Sheets in this wizard</t>
  </si>
  <si>
    <t xml:space="preserve">Sheet</t>
  </si>
  <si>
    <t xml:space="preserve">Purpose</t>
  </si>
  <si>
    <t xml:space="preserve">Time</t>
  </si>
  <si>
    <t xml:space="preserve">1. Kickoff Questionnaire</t>
  </si>
  <si>
    <t xml:space="preserve">Fill this first. 20 questions in 5 sections.</t>
  </si>
  <si>
    <t xml:space="preserve">~10 minutes</t>
  </si>
  <si>
    <t xml:space="preserve">2. Project Card</t>
  </si>
  <si>
    <t xml:space="preserve">Auto-computed clean summary of the engagement. Share internally or use as your reference.</t>
  </si>
  <si>
    <t xml:space="preserve">Auto</t>
  </si>
  <si>
    <t xml:space="preserve">3. Setup Checklist</t>
  </si>
  <si>
    <t xml:space="preserve">Concrete tasks to do — file renaming, master-index update, sending pre-interview to client.</t>
  </si>
  <si>
    <t xml:space="preserve">~5 minutes</t>
  </si>
  <si>
    <t xml:space="preserve">4. Pre-Population Map</t>
  </si>
  <si>
    <t xml:space="preserve">Target file → cell → value. Open each target file, copy each value in. Manual but bulletproof.</t>
  </si>
  <si>
    <t xml:space="preserve">5. AI Pre-Population Prompt</t>
  </si>
  <si>
    <t xml:space="preserve">Optional alternative to the map: ready-to-paste prompt for Claude. Faster but verify the result.</t>
  </si>
  <si>
    <t xml:space="preserve">~5 minutes if used</t>
  </si>
  <si>
    <t xml:space="preserve">Recommended workflow</t>
  </si>
  <si>
    <t xml:space="preserve">1. Open this wizard. Save a copy named after the client (e.g., "Kickoff_AcmeCo_2026-06-28.xlsx").</t>
  </si>
  <si>
    <t xml:space="preserve">2. Fill the Kickoff Questionnaire. Leave fields blank if not yet known — they show as [Not yet captured] in derived outputs.</t>
  </si>
  <si>
    <t xml:space="preserve">3. Review the Project Card. Confirms what we know about this engagement.</t>
  </si>
  <si>
    <t xml:space="preserve">4. Use either: the Pre-Population Map (manual copy/paste — bulletproof) OR the AI Pre-Population Prompt (faster but verify result).</t>
  </si>
  <si>
    <t xml:space="preserve">5. Work through the Setup Checklist. Tick items as you complete them.</t>
  </si>
  <si>
    <t xml:space="preserve">6. Keep this wizard file in the project folder as the kickoff record.</t>
  </si>
  <si>
    <t xml:space="preserve">Color guide (same convention as the rest of the framework)</t>
  </si>
  <si>
    <t xml:space="preserve">Grey</t>
  </si>
  <si>
    <t xml:space="preserve">Reference / fixed text</t>
  </si>
  <si>
    <t xml:space="preserve">Yellow</t>
  </si>
  <si>
    <t xml:space="preserve">Your input — edit here</t>
  </si>
  <si>
    <t xml:space="preserve">Green</t>
  </si>
  <si>
    <t xml:space="preserve">Live edit area</t>
  </si>
  <si>
    <t xml:space="preserve">Blue</t>
  </si>
  <si>
    <t xml:space="preserve">Auto-computed output</t>
  </si>
  <si>
    <t xml:space="preserve">Kickoff Questionnaire</t>
  </si>
  <si>
    <t xml:space="preserve">20 questions in 5 sections. Fill what you know. Leave unknown fields blank — the Project Card will show [Not yet captured] for those. Answers feed all other sheets in this wizard via formulas.</t>
  </si>
  <si>
    <t xml:space="preserve">#</t>
  </si>
  <si>
    <t xml:space="preserve">Question</t>
  </si>
  <si>
    <t xml:space="preserve">Allowed values / hint</t>
  </si>
  <si>
    <t xml:space="preserve">Answer</t>
  </si>
  <si>
    <t xml:space="preserve">A. Identity</t>
  </si>
  <si>
    <t xml:space="preserve">Q1</t>
  </si>
  <si>
    <t xml:space="preserve">Q1. Client name / company</t>
  </si>
  <si>
    <t xml:space="preserve">Full legal or trade name. Example: "Acme Therapy GmbH".</t>
  </si>
  <si>
    <t xml:space="preserve">Q2</t>
  </si>
  <si>
    <t xml:space="preserve">Q2. Project name / identifier</t>
  </si>
  <si>
    <t xml:space="preserve">Short internal label. Example: "Acme — Intake Automation".</t>
  </si>
  <si>
    <t xml:space="preserve">Q3</t>
  </si>
  <si>
    <t xml:space="preserve">Q3. Client primary contact name</t>
  </si>
  <si>
    <t xml:space="preserve">Decision-maker or first point of contact.</t>
  </si>
  <si>
    <t xml:space="preserve">Q4</t>
  </si>
  <si>
    <t xml:space="preserve">Q4. Client primary contact email</t>
  </si>
  <si>
    <t xml:space="preserve">Used for sending Pre-Interview and project updates.</t>
  </si>
  <si>
    <t xml:space="preserve">Q5</t>
  </si>
  <si>
    <t xml:space="preserve">Q5. Project start date</t>
  </si>
  <si>
    <t xml:space="preserve">Date as YYYY-MM-DD. Example: "2026-08-15".</t>
  </si>
  <si>
    <t xml:space="preserve">B. Business Context</t>
  </si>
  <si>
    <t xml:space="preserve">Q6</t>
  </si>
  <si>
    <t xml:space="preserve">Q6. Industry / business type</t>
  </si>
  <si>
    <t xml:space="preserve">Free text. Example: "Solo therapy practice", "Small marketing agency".</t>
  </si>
  <si>
    <t xml:space="preserve">Q7</t>
  </si>
  <si>
    <t xml:space="preserve">Q7. Business size</t>
  </si>
  <si>
    <t xml:space="preserve">Solo / Small team (2-10) / SME (11-50) / Larger</t>
  </si>
  <si>
    <t xml:space="preserve">Q8</t>
  </si>
  <si>
    <t xml:space="preserve">Q8. Geographic scope</t>
  </si>
  <si>
    <t xml:space="preserve">Switzerland only / DACH / EU / Global</t>
  </si>
  <si>
    <t xml:space="preserve">Q9</t>
  </si>
  <si>
    <t xml:space="preserve">Q9. Languages of operation</t>
  </si>
  <si>
    <t xml:space="preserve">Free text. Example: "German + English; occasionally French".</t>
  </si>
  <si>
    <t xml:space="preserve">C. Engagement Direction</t>
  </si>
  <si>
    <t xml:space="preserve">Q10</t>
  </si>
  <si>
    <t xml:space="preserve">Q10. Initial package direction</t>
  </si>
  <si>
    <t xml:space="preserve">Best guess based on what you know so far.</t>
  </si>
  <si>
    <t xml:space="preserve">To be decided</t>
  </si>
  <si>
    <t xml:space="preserve">Q10a</t>
  </si>
  <si>
    <t xml:space="preserve">Q10a. Primary automation type</t>
  </si>
  <si>
    <t xml:space="preserve">Communication &amp; Intake  /  Lead &amp; Sales Pipeline  /  Document &amp; Data Processing  /  Content &amp; Marketing  /  Internal Operations &amp; Approvals  /  Reporting &amp; Analytics  /  Finance &amp; Admin  /  Scheduling &amp; Booking  /  Customer Support &amp; After-Sales  /  E-commerce &amp; Fulfilment  /  Mixed</t>
  </si>
  <si>
    <t xml:space="preserve">Q11</t>
  </si>
  <si>
    <t xml:space="preserve">Q11. Indicative budget range (CHF)</t>
  </si>
  <si>
    <t xml:space="preserve">Rough order of magnitude only.</t>
  </si>
  <si>
    <t xml:space="preserve">Not yet discussed</t>
  </si>
  <si>
    <t xml:space="preserve">Q12</t>
  </si>
  <si>
    <t xml:space="preserve">Q12. Engagement type</t>
  </si>
  <si>
    <t xml:space="preserve">One-time build / Managed service / Build-and-transfer</t>
  </si>
  <si>
    <t xml:space="preserve">Not yet decided</t>
  </si>
  <si>
    <t xml:space="preserve">Q13</t>
  </si>
  <si>
    <t xml:space="preserve">Q13. Ownership model</t>
  </si>
  <si>
    <t xml:space="preserve">Who owns the automation environment?</t>
  </si>
  <si>
    <t xml:space="preserve">Q14</t>
  </si>
  <si>
    <t xml:space="preserve">Q14. Expected timeline to go-live</t>
  </si>
  <si>
    <t xml:space="preserve">Rough months from start.</t>
  </si>
  <si>
    <t xml:space="preserve">Open / flexible</t>
  </si>
  <si>
    <t xml:space="preserve">D. Operational Setup</t>
  </si>
  <si>
    <t xml:space="preserve">Q15</t>
  </si>
  <si>
    <t xml:space="preserve">Q15. Discovery call date</t>
  </si>
  <si>
    <t xml:space="preserve">Date as YYYY-MM-DD. If unscheduled, leave blank.</t>
  </si>
  <si>
    <t xml:space="preserve">Q16</t>
  </si>
  <si>
    <t xml:space="preserve">Q16. PM owner (this project)</t>
  </si>
  <si>
    <t xml:space="preserve">Your name, or the PM running this engagement.</t>
  </si>
  <si>
    <t xml:space="preserve">Q17</t>
  </si>
  <si>
    <t xml:space="preserve">Q17. Workspace ownership</t>
  </si>
  <si>
    <t xml:space="preserve">Where will Make / automation tools live?</t>
  </si>
  <si>
    <t xml:space="preserve">Q18</t>
  </si>
  <si>
    <t xml:space="preserve">Q18. Document language preference</t>
  </si>
  <si>
    <t xml:space="preserve">Language for client-facing documents.</t>
  </si>
  <si>
    <t xml:space="preserve">E. Risk Signals</t>
  </si>
  <si>
    <t xml:space="preserve">Q19</t>
  </si>
  <si>
    <t xml:space="preserve">Q19. Known sensitive content areas</t>
  </si>
  <si>
    <t xml:space="preserve">Tick all that may apply.</t>
  </si>
  <si>
    <t xml:space="preserve">Not yet known</t>
  </si>
  <si>
    <t xml:space="preserve">Q20</t>
  </si>
  <si>
    <t xml:space="preserve">Q20. Red flags or special considerations</t>
  </si>
  <si>
    <t xml:space="preserve">Free text. Examples: "Tight regulatory environment", "Previous bad automation experience", "Decision-maker is risk-averse".</t>
  </si>
  <si>
    <t xml:space="preserve">Project Card (auto-computed)</t>
  </si>
  <si>
    <t xml:space="preserve">Clean summary of the engagement. Pull from Kickoff Questionnaire. Share internally with your team or use as your reference card during discovery.</t>
  </si>
  <si>
    <t xml:space="preserve">Project</t>
  </si>
  <si>
    <t xml:space="preserve">Client</t>
  </si>
  <si>
    <t xml:space="preserve">Project name</t>
  </si>
  <si>
    <t xml:space="preserve">Primary contact</t>
  </si>
  <si>
    <t xml:space="preserve">Project start date</t>
  </si>
  <si>
    <t xml:space="preserve">PM owner</t>
  </si>
  <si>
    <t xml:space="preserve">Discovery call</t>
  </si>
  <si>
    <t xml:space="preserve">Business context</t>
  </si>
  <si>
    <t xml:space="preserve">Industry / type</t>
  </si>
  <si>
    <t xml:space="preserve">Business size</t>
  </si>
  <si>
    <t xml:space="preserve">Geographic scope</t>
  </si>
  <si>
    <t xml:space="preserve">Languages</t>
  </si>
  <si>
    <t xml:space="preserve">Engagement direction</t>
  </si>
  <si>
    <t xml:space="preserve">Initial package direction</t>
  </si>
  <si>
    <t xml:space="preserve">Primary automation type</t>
  </si>
  <si>
    <t xml:space="preserve">Indicative budget</t>
  </si>
  <si>
    <t xml:space="preserve">Engagement type</t>
  </si>
  <si>
    <t xml:space="preserve">Ownership model</t>
  </si>
  <si>
    <t xml:space="preserve">Expected timeline</t>
  </si>
  <si>
    <t xml:space="preserve">Workspace ownership</t>
  </si>
  <si>
    <t xml:space="preserve">Document language</t>
  </si>
  <si>
    <t xml:space="preserve">Risk signals</t>
  </si>
  <si>
    <t xml:space="preserve">Sensitive content areas</t>
  </si>
  <si>
    <t xml:space="preserve">Red flags / considerations</t>
  </si>
  <si>
    <t xml:space="preserve">Suggested next actions (auto-derived)</t>
  </si>
  <si>
    <t xml:space="preserve">Discovery action</t>
  </si>
  <si>
    <t xml:space="preserve">Language setup</t>
  </si>
  <si>
    <t xml:space="preserve">Sensitivity flag</t>
  </si>
  <si>
    <t xml:space="preserve">File setup</t>
  </si>
  <si>
    <t xml:space="preserve">Setup Checklist</t>
  </si>
  <si>
    <t xml:space="preserve">Concrete tasks for kicking off this engagement. Tick Status as you complete each one. Some items are auto-derived from the Kickoff Questionnaire (Description column).</t>
  </si>
  <si>
    <t xml:space="preserve">Task</t>
  </si>
  <si>
    <t xml:space="preserve">Description / Detail</t>
  </si>
  <si>
    <t xml:space="preserve">Status</t>
  </si>
  <si>
    <t xml:space="preserve">Not Started</t>
  </si>
  <si>
    <t xml:space="preserve">Master Index — Mini Dashboard</t>
  </si>
  <si>
    <t xml:space="preserve">Open Master Overview Index v2. Update Mini Dashboard (rows 4-12) with client name, project name, package direction, owner. Use Pre-Population Map sheet for exact values.</t>
  </si>
  <si>
    <t xml:space="preserve">Master Index — Phase Progress Tracker</t>
  </si>
  <si>
    <t xml:space="preserve">Set Phase 1 status to "In Progress". Enter Phase 1 start date (= discovery call date). Other phases stay "Not Started".</t>
  </si>
  <si>
    <t xml:space="preserve">Master Index — File Index Status</t>
  </si>
  <si>
    <t xml:space="preserve">Update each row's Status column to "In Use" once the corresponding file has been copied/renamed for this project.</t>
  </si>
  <si>
    <t xml:space="preserve">Pricing Calculator setup</t>
  </si>
  <si>
    <t xml:space="preserve">Open Pricing Calculator. Set Quote Calculator C4-C6 (client name, package, support model) using Pre-Population Map. Don't fill counts yet — those come from Phase 2.</t>
  </si>
  <si>
    <t xml:space="preserve">Phase 1 — language choice</t>
  </si>
  <si>
    <t xml:space="preserve">Pre-Interview send</t>
  </si>
  <si>
    <t xml:space="preserve">Sensitive content brief</t>
  </si>
  <si>
    <t xml:space="preserve">Internal kickoff note</t>
  </si>
  <si>
    <t xml:space="preserve">Share the Project Card with your team (PDF or screenshot). Confirms client name, package direction, language, and risk flags before discovery.</t>
  </si>
  <si>
    <t xml:space="preserve">Save this wizard</t>
  </si>
  <si>
    <t xml:space="preserve">Keep this wizard file in the project folder as the kickoff record. Useful for retrospectives at end of project.</t>
  </si>
  <si>
    <t xml:space="preserve">Setup Progress (auto)</t>
  </si>
  <si>
    <t xml:space="preserve">In Progress</t>
  </si>
  <si>
    <t xml:space="preserve">Done</t>
  </si>
  <si>
    <t xml:space="preserve">Skipped / N/A</t>
  </si>
  <si>
    <t xml:space="preserve">Total tasks</t>
  </si>
  <si>
    <t xml:space="preserve">Pre-Population Map</t>
  </si>
  <si>
    <t xml:space="preserve">Open each target file and copy the Value column into the listed cell. Bulletproof, works in any Excel/LibreOffice/Numbers. Values pull from your Kickoff Questionnaire answers automatically.</t>
  </si>
  <si>
    <t xml:space="preserve">Target file</t>
  </si>
  <si>
    <t xml:space="preserve">Cell</t>
  </si>
  <si>
    <t xml:space="preserve">Value to copy</t>
  </si>
  <si>
    <t xml:space="preserve">Master Overview Index</t>
  </si>
  <si>
    <t xml:space="preserve">Mini Dashboard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</si>
  <si>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</si>
  <si>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</si>
  <si>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</si>
  <si>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</si>
  <si>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</si>
  <si>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</si>
  <si>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</si>
  <si>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</si>
  <si>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</si>
  <si>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B13</t>
  </si>
  <si>
    <t xml:space="preserve">B19</t>
  </si>
  <si>
    <t xml:space="preserve">C19</t>
  </si>
  <si>
    <t xml:space="preserve">Pricing Calculator</t>
  </si>
  <si>
    <t xml:space="preserve">Quote Calculator</t>
  </si>
  <si>
    <t xml:space="preserve">C4</t>
  </si>
  <si>
    <t xml:space="preserve">C5</t>
  </si>
  <si>
    <t xml:space="preserve">C6</t>
  </si>
  <si>
    <t xml:space="preserve">Notes</t>
  </si>
  <si>
    <t xml:space="preserve">Values shown in blue cells are formulas — when you copy, paste as VALUES (Cmd/Ctrl+Shift+V → Values) so the target file holds a static value, not a broken cross-file formula.</t>
  </si>
  <si>
    <t xml:space="preserve">Cells in Mini Dashboard rows 18-23 reflect the Phase Progress Tracker (one row per phase). Phase 1 = In Progress at kickoff; rows 19-23 stay "Not Started" until each phase begins.</t>
  </si>
  <si>
    <t xml:space="preserve">The Pricing Calculator C5 (package) and C6 (support model) must match the values in Package Reference / Complexity Reference EXACTLY. The dropdowns in Q10 and Q13 are designed to produce matching strings — but verify after pasting.</t>
  </si>
  <si>
    <t xml:space="preserve">If "[Set manually after Phase 2]" appears in the support model row, leave C6 blank until Phase 2 scope and ownership are locked.</t>
  </si>
  <si>
    <t xml:space="preserve">If a value is "[Not yet captured]", you can either skip that cell or write "[TBD]" in the target cell as a reminder.</t>
  </si>
  <si>
    <t xml:space="preserve">AI Pre-Population Prompt (optional)</t>
  </si>
  <si>
    <t xml:space="preserve">Optional alternative to the Pre-Population Map. Use this prompt with Claude (or any LLM that accepts file attachments) to automate the kickoff setup. Still always verify the result against your Kickoff Questionnaire.</t>
  </si>
  <si>
    <t xml:space="preserve">How to use</t>
  </si>
  <si>
    <t xml:space="preserve">1. Fill the Kickoff Questionnaire first. Save and close.</t>
  </si>
  <si>
    <t xml:space="preserve">2. Open Claude.ai (or your LLM). Start a new chat.</t>
  </si>
  <si>
    <t xml:space="preserve">3. Attach this Kickoff Wizard file + the Master Overview Index file + the Pricing Calculator file.</t>
  </si>
  <si>
    <t xml:space="preserve">4. Copy the prompt below into the chat. Send.</t>
  </si>
  <si>
    <t xml:space="preserve">5. The AI returns a list of updates per file. Apply them to your copies, OR ask the AI to produce updated files for download.</t>
  </si>
  <si>
    <t xml:space="preserve">6. Verify the result against the Pre-Population Map sheet before considering kickoff done.</t>
  </si>
  <si>
    <t xml:space="preserve">The prompt (copy everything below)</t>
  </si>
  <si>
    <t xml:space="preserve">You are helping me pre-populate a new client project across three framework files for an AI automation managed-services engagement in Switzerland.
ATTACHED:
1. Kickoff Wizard (filled — see "Kickoff Questionnaire" sheet for the answers; "Project Card" shows derived values; "Pre-Population Map" shows the exact target cells)
2. Master Overview Index file
3. Pricing Calculator file
TASK: For each row in the "Pre-Population Map" sheet of the Kickoff Wizard, apply the listed value to the listed target file at the listed sheet and cell. Pay attention especially to:
- Package name in Quote Calculator C5 must match Package Reference column A exactly (the Q10 dropdown already produces matching strings, but verify)
- Support model in Quote Calculator C6 must match Complexity Reference column K exactly
- Phase Progress Tracker on Master Index: only Phase 1 should be "In Progress" at kickoff; other phases stay "Not Started"
- If a Pre-Population Map value reads "[Not yet captured]" or "[Set manually after Phase 2]", do NOT guess — leave the target cell blank or write the placeholder text as-is
OUTPUT: For each of the two target files (Master Overview Index, Pricing Calculator), return:
1. A summary of changes you would make (sheet, cell, new value)
2. Either: produce an updated file for download, OR list the exact changes so I can apply them manually
DO NOT modify the Kickoff Wizard file itself — it is the source of truth.
VERIFY before producing output:
- Every cell update has a matching row in the Pre-Population Map
- No invented values — everything traces back to the Kickoff Questionnaire answers
- Empty Questionnaire answers stay empty in the target (or get a [TBD] placeholder)
Proceed.</t>
  </si>
  <si>
    <t xml:space="preserve">Post-AI verification checklist</t>
  </si>
  <si>
    <t xml:space="preserve">☐  Open the Master Overview Index — Mini Dashboard. Client name in B4 matches Questionnaire Q1?</t>
  </si>
  <si>
    <t xml:space="preserve">☐  Phase Progress Tracker: only Phase 1 is "In Progress"; all others "Not Started"?</t>
  </si>
  <si>
    <t xml:space="preserve">☐  Open Pricing Calculator — Quote Calculator. C5 (package) matches Q10 EXACTLY (case + spelling)?</t>
  </si>
  <si>
    <t xml:space="preserve">☐  C6 (support model) matches Complexity Reference column K (no support / light / normal / high-responsibility / premium / critical)?</t>
  </si>
  <si>
    <t xml:space="preserve">☐  No cells contain hallucinated content — every value traces to a Questionnaire answer or an empty placeholder.</t>
  </si>
  <si>
    <t xml:space="preserve">☐  Re-open the Pre-Population Map sheet and spot-check 2-3 cells against the actual updated files.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</si>
</sst>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i val="true"/>
      <sz val="11"/>
      <color rgb="FF000000"/>
      <name val="Calibri"/>
      <family val="0"/>
      <charset val="1"/>
    </font>
    <font>
      <b val="true"/>
      <sz val="13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name val="Calibri"/>
      <family val="0"/>
      <charset val="1"/>
    </font>
    <font>
      <sz val="10"/>
      <color rgb="FF000000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5F5F5"/>
      </patternFill>
    </fill>
    <fill>
      <patternFill patternType="solid">
        <fgColor rgb="FFE7E6E6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9EAF7"/>
        <bgColor rgb="FFE7E6E6"/>
      </patternFill>
    </fill>
    <fill>
      <patternFill patternType="solid">
        <fgColor rgb="FFF5F5F5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55"/>
    <col collapsed="false" customWidth="true" hidden="false" outlineLevel="0" max="3" min="3" style="1" width="18"/>
  </cols>
  <sheetData>
    <row r="1" customFormat="false" ht="24" hidden="false" customHeight="true" outlineLevel="0" collapsed="false">
      <c r="A1" s="2" t="s">
        <v>0</v>
      </c>
      <c r="B1" s="2"/>
      <c r="C1" s="2"/>
    </row>
    <row r="2" customFormat="false" ht="60" hidden="false" customHeight="true" outlineLevel="0" collapsed="false">
      <c r="A2" s="3" t="s">
        <v>1</v>
      </c>
      <c r="B2" s="3"/>
      <c r="C2" s="3"/>
    </row>
    <row r="4" customFormat="false" ht="21.75" hidden="false" customHeight="true" outlineLevel="0" collapsed="false">
      <c r="A4" s="4" t="s">
        <v>2</v>
      </c>
      <c r="B4" s="4"/>
      <c r="C4" s="4"/>
    </row>
    <row r="5" customFormat="false" ht="21.75" hidden="false" customHeight="true" outlineLevel="0" collapsed="false">
      <c r="A5" s="5" t="s">
        <v>3</v>
      </c>
      <c r="B5" s="5" t="s">
        <v>4</v>
      </c>
      <c r="C5" s="5" t="s">
        <v>5</v>
      </c>
    </row>
    <row r="6" customFormat="false" ht="36" hidden="false" customHeight="true" outlineLevel="0" collapsed="false">
      <c r="A6" s="6" t="s">
        <v>6</v>
      </c>
      <c r="B6" s="7" t="s">
        <v>7</v>
      </c>
      <c r="C6" s="8" t="s">
        <v>8</v>
      </c>
    </row>
    <row r="7" customFormat="false" ht="36" hidden="false" customHeight="true" outlineLevel="0" collapsed="false">
      <c r="A7" s="6" t="s">
        <v>9</v>
      </c>
      <c r="B7" s="7" t="s">
        <v>10</v>
      </c>
      <c r="C7" s="8" t="s">
        <v>11</v>
      </c>
    </row>
    <row r="8" customFormat="false" ht="36" hidden="false" customHeight="true" outlineLevel="0" collapsed="false">
      <c r="A8" s="6" t="s">
        <v>12</v>
      </c>
      <c r="B8" s="7" t="s">
        <v>13</v>
      </c>
      <c r="C8" s="8" t="s">
        <v>14</v>
      </c>
    </row>
    <row r="9" customFormat="false" ht="36" hidden="false" customHeight="true" outlineLevel="0" collapsed="false">
      <c r="A9" s="6" t="s">
        <v>15</v>
      </c>
      <c r="B9" s="7" t="s">
        <v>16</v>
      </c>
      <c r="C9" s="8" t="s">
        <v>8</v>
      </c>
    </row>
    <row r="10" customFormat="false" ht="36" hidden="false" customHeight="true" outlineLevel="0" collapsed="false">
      <c r="A10" s="6" t="s">
        <v>17</v>
      </c>
      <c r="B10" s="7" t="s">
        <v>18</v>
      </c>
      <c r="C10" s="8" t="s">
        <v>19</v>
      </c>
    </row>
    <row r="13" customFormat="false" ht="21.75" hidden="false" customHeight="true" outlineLevel="0" collapsed="false">
      <c r="A13" s="4" t="s">
        <v>20</v>
      </c>
      <c r="B13" s="4"/>
      <c r="C13" s="4"/>
    </row>
    <row r="14" customFormat="false" ht="21.75" hidden="false" customHeight="true" outlineLevel="0" collapsed="false">
      <c r="A14" s="9" t="s">
        <v>21</v>
      </c>
      <c r="B14" s="9"/>
      <c r="C14" s="9"/>
    </row>
    <row r="15" customFormat="false" ht="21.75" hidden="false" customHeight="true" outlineLevel="0" collapsed="false">
      <c r="A15" s="9" t="s">
        <v>22</v>
      </c>
      <c r="B15" s="9"/>
      <c r="C15" s="9"/>
    </row>
    <row r="16" customFormat="false" ht="21.75" hidden="false" customHeight="true" outlineLevel="0" collapsed="false">
      <c r="A16" s="9" t="s">
        <v>23</v>
      </c>
      <c r="B16" s="9"/>
      <c r="C16" s="9"/>
    </row>
    <row r="17" customFormat="false" ht="21.75" hidden="false" customHeight="true" outlineLevel="0" collapsed="false">
      <c r="A17" s="9" t="s">
        <v>24</v>
      </c>
      <c r="B17" s="9"/>
      <c r="C17" s="9"/>
    </row>
    <row r="18" customFormat="false" ht="21.75" hidden="false" customHeight="true" outlineLevel="0" collapsed="false">
      <c r="A18" s="9" t="s">
        <v>25</v>
      </c>
      <c r="B18" s="9"/>
      <c r="C18" s="9"/>
    </row>
    <row r="19" customFormat="false" ht="21.75" hidden="false" customHeight="true" outlineLevel="0" collapsed="false">
      <c r="A19" s="9" t="s">
        <v>26</v>
      </c>
      <c r="B19" s="9"/>
      <c r="C19" s="9"/>
    </row>
    <row r="22" customFormat="false" ht="16.5" hidden="false" customHeight="true" outlineLevel="0" collapsed="false">
      <c r="A22" s="4" t="s">
        <v>27</v>
      </c>
      <c r="B22" s="4"/>
      <c r="C22" s="4"/>
    </row>
    <row r="23" customFormat="false" ht="19.5" hidden="false" customHeight="true" outlineLevel="0" collapsed="false">
      <c r="A23" s="10"/>
      <c r="B23" s="11" t="s">
        <v>28</v>
      </c>
      <c r="C23" s="12" t="s">
        <v>29</v>
      </c>
    </row>
    <row r="24" customFormat="false" ht="19.5" hidden="false" customHeight="true" outlineLevel="0" collapsed="false">
      <c r="A24" s="13"/>
      <c r="B24" s="11" t="s">
        <v>30</v>
      </c>
      <c r="C24" s="12" t="s">
        <v>31</v>
      </c>
    </row>
    <row r="25" customFormat="false" ht="19.5" hidden="false" customHeight="true" outlineLevel="0" collapsed="false">
      <c r="A25" s="14"/>
      <c r="B25" s="11" t="s">
        <v>32</v>
      </c>
      <c r="C25" s="12" t="s">
        <v>33</v>
      </c>
    </row>
    <row r="26" customFormat="false" ht="19.5" hidden="false" customHeight="true" outlineLevel="0" collapsed="false">
      <c r="A26" s="15"/>
      <c r="B26" s="11" t="s">
        <v>34</v>
      </c>
      <c r="C26" s="12" t="s">
        <v>35</v>
      </c>
    </row>
  </sheetData>
  <mergeCells count="11">
    <mergeCell ref="A1:C1"/>
    <mergeCell ref="A2:C2"/>
    <mergeCell ref="A4:C4"/>
    <mergeCell ref="A13:C13"/>
    <mergeCell ref="A14:C14"/>
    <mergeCell ref="A15:C15"/>
    <mergeCell ref="A16:C16"/>
    <mergeCell ref="A17:C17"/>
    <mergeCell ref="A18:C18"/>
    <mergeCell ref="A19:C19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50"/>
    <col collapsed="false" customWidth="true" hidden="false" outlineLevel="0" max="4" min="4" style="1" width="40"/>
  </cols>
  <sheetData>
    <row r="1" customFormat="false" ht="24" hidden="false" customHeight="true" outlineLevel="0" collapsed="false">
      <c r="A1" s="2" t="s">
        <v>36</v>
      </c>
      <c r="B1" s="2"/>
      <c r="C1" s="2"/>
      <c r="D1" s="2"/>
    </row>
    <row r="2" customFormat="false" ht="45" hidden="false" customHeight="true" outlineLevel="0" collapsed="false">
      <c r="A2" s="3" t="s">
        <v>37</v>
      </c>
      <c r="B2" s="3"/>
      <c r="C2" s="3"/>
      <c r="D2" s="3"/>
    </row>
    <row r="4" customFormat="false" ht="24" hidden="false" customHeight="true" outlineLevel="0" collapsed="false">
      <c r="A4" s="5" t="s">
        <v>38</v>
      </c>
      <c r="B4" s="5" t="s">
        <v>39</v>
      </c>
      <c r="C4" s="5" t="s">
        <v>40</v>
      </c>
      <c r="D4" s="16" t="s">
        <v>41</v>
      </c>
    </row>
    <row r="5" customFormat="false" ht="21.75" hidden="false" customHeight="true" outlineLevel="0" collapsed="false">
      <c r="A5" s="17" t="s">
        <v>42</v>
      </c>
      <c r="B5" s="17"/>
      <c r="C5" s="17"/>
      <c r="D5" s="17"/>
    </row>
    <row r="6" customFormat="false" ht="33.75" hidden="false" customHeight="true" outlineLevel="0" collapsed="false">
      <c r="A6" s="18" t="s">
        <v>43</v>
      </c>
      <c r="B6" s="7" t="s">
        <v>44</v>
      </c>
      <c r="C6" s="19" t="s">
        <v>45</v>
      </c>
      <c r="D6" s="20"/>
    </row>
    <row r="7" customFormat="false" ht="33.75" hidden="false" customHeight="true" outlineLevel="0" collapsed="false">
      <c r="A7" s="18" t="s">
        <v>46</v>
      </c>
      <c r="B7" s="7" t="s">
        <v>47</v>
      </c>
      <c r="C7" s="19" t="s">
        <v>48</v>
      </c>
      <c r="D7" s="20"/>
    </row>
    <row r="8" customFormat="false" ht="33.75" hidden="false" customHeight="true" outlineLevel="0" collapsed="false">
      <c r="A8" s="18" t="s">
        <v>49</v>
      </c>
      <c r="B8" s="7" t="s">
        <v>50</v>
      </c>
      <c r="C8" s="19" t="s">
        <v>51</v>
      </c>
      <c r="D8" s="20"/>
    </row>
    <row r="9" customFormat="false" ht="33.75" hidden="false" customHeight="true" outlineLevel="0" collapsed="false">
      <c r="A9" s="18" t="s">
        <v>52</v>
      </c>
      <c r="B9" s="7" t="s">
        <v>53</v>
      </c>
      <c r="C9" s="19" t="s">
        <v>54</v>
      </c>
      <c r="D9" s="20"/>
    </row>
    <row r="10" customFormat="false" ht="33.75" hidden="false" customHeight="true" outlineLevel="0" collapsed="false">
      <c r="A10" s="18" t="s">
        <v>55</v>
      </c>
      <c r="B10" s="7" t="s">
        <v>56</v>
      </c>
      <c r="C10" s="19" t="s">
        <v>57</v>
      </c>
      <c r="D10" s="20"/>
    </row>
    <row r="11" customFormat="false" ht="21.75" hidden="false" customHeight="true" outlineLevel="0" collapsed="false">
      <c r="A11" s="17" t="s">
        <v>58</v>
      </c>
      <c r="B11" s="17"/>
      <c r="C11" s="17"/>
      <c r="D11" s="17"/>
    </row>
    <row r="12" customFormat="false" ht="33.75" hidden="false" customHeight="true" outlineLevel="0" collapsed="false">
      <c r="A12" s="18" t="s">
        <v>59</v>
      </c>
      <c r="B12" s="7" t="s">
        <v>60</v>
      </c>
      <c r="C12" s="19" t="s">
        <v>61</v>
      </c>
      <c r="D12" s="20"/>
    </row>
    <row r="13" customFormat="false" ht="33.75" hidden="false" customHeight="true" outlineLevel="0" collapsed="false">
      <c r="A13" s="18" t="s">
        <v>62</v>
      </c>
      <c r="B13" s="7" t="s">
        <v>63</v>
      </c>
      <c r="C13" s="19" t="s">
        <v>64</v>
      </c>
      <c r="D13" s="20"/>
    </row>
    <row r="14" customFormat="false" ht="33.75" hidden="false" customHeight="true" outlineLevel="0" collapsed="false">
      <c r="A14" s="18" t="s">
        <v>65</v>
      </c>
      <c r="B14" s="7" t="s">
        <v>66</v>
      </c>
      <c r="C14" s="19" t="s">
        <v>67</v>
      </c>
      <c r="D14" s="20"/>
    </row>
    <row r="15" customFormat="false" ht="33.75" hidden="false" customHeight="true" outlineLevel="0" collapsed="false">
      <c r="A15" s="18" t="s">
        <v>68</v>
      </c>
      <c r="B15" s="7" t="s">
        <v>69</v>
      </c>
      <c r="C15" s="19" t="s">
        <v>70</v>
      </c>
      <c r="D15" s="20"/>
    </row>
    <row r="16" customFormat="false" ht="21.75" hidden="false" customHeight="true" outlineLevel="0" collapsed="false">
      <c r="A16" s="17" t="s">
        <v>71</v>
      </c>
      <c r="B16" s="17"/>
      <c r="C16" s="17"/>
      <c r="D16" s="17"/>
    </row>
    <row r="17" customFormat="false" ht="33.75" hidden="false" customHeight="true" outlineLevel="0" collapsed="false">
      <c r="A17" s="18" t="s">
        <v>72</v>
      </c>
      <c r="B17" s="7" t="s">
        <v>73</v>
      </c>
      <c r="C17" s="19" t="s">
        <v>74</v>
      </c>
      <c r="D17" s="20" t="s">
        <v>75</v>
      </c>
    </row>
    <row r="18" customFormat="false" ht="33.75" hidden="false" customHeight="true" outlineLevel="0" collapsed="false">
      <c r="A18" s="21" t="s">
        <v>76</v>
      </c>
      <c r="B18" s="21" t="s">
        <v>77</v>
      </c>
      <c r="C18" s="21" t="s">
        <v>78</v>
      </c>
      <c r="D18" s="22"/>
    </row>
    <row r="19" customFormat="false" ht="33.75" hidden="false" customHeight="true" outlineLevel="0" collapsed="false">
      <c r="A19" s="18" t="s">
        <v>79</v>
      </c>
      <c r="B19" s="7" t="s">
        <v>80</v>
      </c>
      <c r="C19" s="19" t="s">
        <v>81</v>
      </c>
      <c r="D19" s="20" t="s">
        <v>82</v>
      </c>
    </row>
    <row r="20" customFormat="false" ht="33.75" hidden="false" customHeight="true" outlineLevel="0" collapsed="false">
      <c r="A20" s="18" t="s">
        <v>83</v>
      </c>
      <c r="B20" s="7" t="s">
        <v>84</v>
      </c>
      <c r="C20" s="19" t="s">
        <v>85</v>
      </c>
      <c r="D20" s="20" t="s">
        <v>86</v>
      </c>
    </row>
    <row r="21" customFormat="false" ht="33.75" hidden="false" customHeight="true" outlineLevel="0" collapsed="false">
      <c r="A21" s="18" t="s">
        <v>87</v>
      </c>
      <c r="B21" s="7" t="s">
        <v>88</v>
      </c>
      <c r="C21" s="19" t="s">
        <v>89</v>
      </c>
      <c r="D21" s="20" t="s">
        <v>86</v>
      </c>
    </row>
    <row r="22" customFormat="false" ht="33.75" hidden="false" customHeight="true" outlineLevel="0" collapsed="false">
      <c r="A22" s="18" t="s">
        <v>90</v>
      </c>
      <c r="B22" s="21" t="s">
        <v>91</v>
      </c>
      <c r="C22" s="21" t="s">
        <v>92</v>
      </c>
      <c r="D22" s="23" t="s">
        <v>93</v>
      </c>
    </row>
    <row r="23" customFormat="false" ht="33.75" hidden="false" customHeight="true" outlineLevel="0" collapsed="false">
      <c r="A23" s="17" t="s">
        <v>94</v>
      </c>
      <c r="B23" s="17"/>
      <c r="C23" s="17"/>
      <c r="D23" s="17"/>
    </row>
    <row r="24" customFormat="false" ht="33.75" hidden="false" customHeight="true" outlineLevel="0" collapsed="false">
      <c r="A24" s="18" t="s">
        <v>95</v>
      </c>
      <c r="B24" s="7" t="s">
        <v>96</v>
      </c>
      <c r="C24" s="19" t="s">
        <v>97</v>
      </c>
      <c r="D24" s="20"/>
    </row>
    <row r="25" customFormat="false" ht="33.75" hidden="false" customHeight="true" outlineLevel="0" collapsed="false">
      <c r="A25" s="18" t="s">
        <v>98</v>
      </c>
      <c r="B25" s="7" t="s">
        <v>99</v>
      </c>
      <c r="C25" s="19" t="s">
        <v>100</v>
      </c>
      <c r="D25" s="20"/>
    </row>
    <row r="26" customFormat="false" ht="33.75" hidden="false" customHeight="true" outlineLevel="0" collapsed="false">
      <c r="A26" s="18" t="s">
        <v>101</v>
      </c>
      <c r="B26" s="7" t="s">
        <v>102</v>
      </c>
      <c r="C26" s="19" t="s">
        <v>103</v>
      </c>
      <c r="D26" s="20" t="s">
        <v>86</v>
      </c>
    </row>
    <row r="27" customFormat="false" ht="33.75" hidden="false" customHeight="true" outlineLevel="0" collapsed="false">
      <c r="A27" s="18" t="s">
        <v>104</v>
      </c>
      <c r="B27" s="21" t="s">
        <v>105</v>
      </c>
      <c r="C27" s="21" t="s">
        <v>106</v>
      </c>
    </row>
    <row r="28" customFormat="false" ht="33.75" hidden="false" customHeight="true" outlineLevel="0" collapsed="false">
      <c r="A28" s="17" t="s">
        <v>107</v>
      </c>
      <c r="B28" s="17"/>
      <c r="C28" s="17"/>
      <c r="D28" s="17"/>
    </row>
    <row r="29" customFormat="false" ht="33.75" hidden="false" customHeight="true" outlineLevel="0" collapsed="false">
      <c r="A29" s="18" t="s">
        <v>108</v>
      </c>
      <c r="B29" s="7" t="s">
        <v>109</v>
      </c>
      <c r="C29" s="19" t="s">
        <v>110</v>
      </c>
      <c r="D29" s="20" t="s">
        <v>111</v>
      </c>
    </row>
    <row r="30" customFormat="false" ht="41.25" hidden="false" customHeight="true" outlineLevel="0" collapsed="false">
      <c r="A30" s="18" t="s">
        <v>112</v>
      </c>
      <c r="B30" s="7" t="s">
        <v>113</v>
      </c>
      <c r="C30" s="19" t="s">
        <v>114</v>
      </c>
      <c r="D30" s="20"/>
    </row>
  </sheetData>
  <mergeCells count="7">
    <mergeCell ref="A1:D1"/>
    <mergeCell ref="A2:D2"/>
    <mergeCell ref="A5:D5"/>
    <mergeCell ref="A11:D11"/>
    <mergeCell ref="A16:D16"/>
    <mergeCell ref="A23:D23"/>
    <mergeCell ref="A28:D28"/>
  </mergeCells>
  <dataValidations count="11">
    <dataValidation allowBlank="true" errorStyle="stop" operator="between" showDropDown="false" showErrorMessage="false" showInputMessage="false" sqref="D13" type="list">
      <formula1>"Solo,Small team (2-10),SME (11-50),Larger,Not yet known"</formula1>
      <formula2>0</formula2>
    </dataValidation>
    <dataValidation allowBlank="true" errorStyle="stop" operator="between" showDropDown="false" showErrorMessage="false" showInputMessage="false" sqref="D14" type="list">
      <formula1>"Switzerland only,DACH,EU,Global,Other,Not yet known"</formula1>
      <formula2>0</formula2>
    </dataValidation>
    <dataValidation allowBlank="true" errorStyle="stop" operator="between" showDropDown="false" showErrorMessage="false" showInputMessage="false" sqref="D17" type="list">
      <formula1>"Basic Intake,Basic+ AI Triage,Pro Multi-Channel,Managed Operations,Agentic Automation,Mixed,To be decided"</formula1>
      <formula2>0</formula2>
    </dataValidation>
    <dataValidation allowBlank="true" errorStyle="stop" operator="between" showDropDown="false" showErrorMessage="false" showInputMessage="false" sqref="D18" type="list">
      <formula1>"Communication &amp; Intake,Lead &amp; Sales Pipeline,Document &amp; Data Processing,Content &amp; Marketing,Internal Operations &amp; Approvals,Reporting &amp; Analytics,Finance &amp; Admin,Scheduling &amp; Booking,Customer Support &amp; After-Sales,E-commerce &amp; Fulfilment,Mixed,Not yet dec"</formula1>
      <formula2>0</formula2>
    </dataValidation>
    <dataValidation allowBlank="true" errorStyle="stop" operator="between" showDropDown="false" showErrorMessage="false" showInputMessage="false" sqref="D19" type="list">
      <formula1>"Under 5k,5k-15k,15k-30k,30k-50k,50k+,Not yet discussed"</formula1>
      <formula2>0</formula2>
    </dataValidation>
    <dataValidation allowBlank="true" errorStyle="stop" operator="between" showDropDown="false" showErrorMessage="false" showInputMessage="false" sqref="D20" type="list">
      <formula1>"One-time build,Managed service,Licence (bounded right-to-use),Hybrid,Not yet decided"</formula1>
      <formula2>0</formula2>
    </dataValidation>
    <dataValidation allowBlank="true" errorStyle="stop" operator="between" showDropDown="false" showErrorMessage="false" showInputMessage="false" sqref="D21" type="list">
      <formula1>"Managed by us,Client-owned workspace,Hybrid,Wants full ownership (would need Licence,not transfer),Not yet decided"</formula1>
      <formula2>0</formula2>
    </dataValidation>
    <dataValidation allowBlank="true" errorStyle="stop" operator="between" showDropDown="false" showErrorMessage="false" showInputMessage="false" sqref="D22" type="list">
      <formula1>"Under 1 month,1-2 months,2-3 months,3-6 months,6+ months,Open / flexible"</formula1>
      <formula2>0</formula2>
    </dataValidation>
    <dataValidation allowBlank="true" errorStyle="stop" operator="between" showDropDown="false" showErrorMessage="false" showInputMessage="false" sqref="D26" type="list">
      <formula1>"Our workspace (managed),Client workspace,Mixed,Not yet decided"</formula1>
      <formula2>0</formula2>
    </dataValidation>
    <dataValidation allowBlank="true" errorStyle="stop" operator="between" showDropDown="false" showErrorMessage="false" showInputMessage="false" sqref="D27" type="list">
      <formula1>"English,German,Both,Client to confirm"</formula1>
      <formula2>0</formula2>
    </dataValidation>
    <dataValidation allowBlank="true" errorStyle="stop" operator="between" showDropDown="false" showErrorMessage="false" showInputMessage="false" sqref="D29" type="list">
      <formula1>"None known,Personal data (general),Health / medical,Legal,Financial,Multiple sensitive areas,Not yet 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65"/>
  </cols>
  <sheetData>
    <row r="1" customFormat="false" ht="24" hidden="false" customHeight="true" outlineLevel="0" collapsed="false">
      <c r="A1" s="2" t="s">
        <v>115</v>
      </c>
      <c r="B1" s="2"/>
    </row>
    <row r="2" customFormat="false" ht="36" hidden="false" customHeight="true" outlineLevel="0" collapsed="false">
      <c r="A2" s="3" t="s">
        <v>116</v>
      </c>
      <c r="B2" s="3"/>
    </row>
    <row r="4" customFormat="false" ht="21.75" hidden="false" customHeight="true" outlineLevel="0" collapsed="false">
      <c r="A4" s="4" t="s">
        <v>117</v>
      </c>
      <c r="B4" s="4"/>
    </row>
    <row r="5" customFormat="false" ht="21.75" hidden="false" customHeight="true" outlineLevel="0" collapsed="false">
      <c r="A5" s="6" t="s">
        <v>118</v>
      </c>
      <c r="B5" s="24" t="str">
        <f aca="false">IF('Kickoff Questionnaire'!D6="","[Not yet captured]",'Kickoff Questionnaire'!D6)</f>
        <v>[Not yet captured]</v>
      </c>
    </row>
    <row r="6" customFormat="false" ht="21.75" hidden="false" customHeight="true" outlineLevel="0" collapsed="false">
      <c r="A6" s="6" t="s">
        <v>119</v>
      </c>
      <c r="B6" s="24" t="str">
        <f aca="false">IF('Kickoff Questionnaire'!D7="","[Not yet captured]",'Kickoff Questionnaire'!D7)</f>
        <v>[Not yet captured]</v>
      </c>
    </row>
    <row r="7" customFormat="false" ht="21.75" hidden="false" customHeight="true" outlineLevel="0" collapsed="false">
      <c r="A7" s="6" t="s">
        <v>120</v>
      </c>
      <c r="B7" s="24" t="str">
        <f aca="false">IF('Kickoff Questionnaire'!D8="","[Not yet captured]",'Kickoff Questionnaire'!D8&amp;" — "&amp;IF('Kickoff Questionnaire'!D9="","[email not yet captured]",'Kickoff Questionnaire'!D9))</f>
        <v>[Not yet captured]</v>
      </c>
    </row>
    <row r="8" customFormat="false" ht="21.75" hidden="false" customHeight="true" outlineLevel="0" collapsed="false">
      <c r="A8" s="6" t="s">
        <v>121</v>
      </c>
      <c r="B8" s="24" t="str">
        <f aca="false">IF('Kickoff Questionnaire'!D10="","[Not yet captured]",'Kickoff Questionnaire'!D10)</f>
        <v>[Not yet captured]</v>
      </c>
    </row>
    <row r="9" customFormat="false" ht="21.75" hidden="false" customHeight="true" outlineLevel="0" collapsed="false">
      <c r="A9" s="6" t="s">
        <v>122</v>
      </c>
      <c r="B9" s="24" t="str">
        <f aca="false">IF('Kickoff Questionnaire'!D25="","[Not yet captured]",'Kickoff Questionnaire'!D25)</f>
        <v>[Not yet captured]</v>
      </c>
    </row>
    <row r="10" customFormat="false" ht="21.75" hidden="false" customHeight="true" outlineLevel="0" collapsed="false">
      <c r="A10" s="6" t="s">
        <v>123</v>
      </c>
      <c r="B10" s="24" t="str">
        <f aca="false">IF('Kickoff Questionnaire'!D24="","[Not yet captured]",'Kickoff Questionnaire'!D24)</f>
        <v>[Not yet captured]</v>
      </c>
    </row>
    <row r="12" customFormat="false" ht="21.75" hidden="false" customHeight="true" outlineLevel="0" collapsed="false">
      <c r="A12" s="4" t="s">
        <v>124</v>
      </c>
      <c r="B12" s="4"/>
    </row>
    <row r="13" customFormat="false" ht="21.75" hidden="false" customHeight="true" outlineLevel="0" collapsed="false">
      <c r="A13" s="6" t="s">
        <v>125</v>
      </c>
      <c r="B13" s="24" t="str">
        <f aca="false">IF('Kickoff Questionnaire'!D12="","[Not yet captured]",'Kickoff Questionnaire'!D12)</f>
        <v>[Not yet captured]</v>
      </c>
    </row>
    <row r="14" customFormat="false" ht="21.75" hidden="false" customHeight="true" outlineLevel="0" collapsed="false">
      <c r="A14" s="6" t="s">
        <v>126</v>
      </c>
      <c r="B14" s="24" t="str">
        <f aca="false">IF('Kickoff Questionnaire'!D13="","[Not yet captured]",'Kickoff Questionnaire'!D13)</f>
        <v>[Not yet captured]</v>
      </c>
    </row>
    <row r="15" customFormat="false" ht="21.75" hidden="false" customHeight="true" outlineLevel="0" collapsed="false">
      <c r="A15" s="6" t="s">
        <v>127</v>
      </c>
      <c r="B15" s="24" t="str">
        <f aca="false">IF('Kickoff Questionnaire'!D14="","[Not yet captured]",'Kickoff Questionnaire'!D14)</f>
        <v>[Not yet captured]</v>
      </c>
    </row>
    <row r="16" customFormat="false" ht="21.75" hidden="false" customHeight="true" outlineLevel="0" collapsed="false">
      <c r="A16" s="6" t="s">
        <v>128</v>
      </c>
      <c r="B16" s="24" t="str">
        <f aca="false">IF('Kickoff Questionnaire'!D15="","[Not yet captured]",'Kickoff Questionnaire'!D15)</f>
        <v>[Not yet captured]</v>
      </c>
    </row>
    <row r="18" customFormat="false" ht="21.75" hidden="false" customHeight="true" outlineLevel="0" collapsed="false">
      <c r="A18" s="4" t="s">
        <v>129</v>
      </c>
      <c r="B18" s="4"/>
    </row>
    <row r="19" customFormat="false" ht="21.75" hidden="false" customHeight="true" outlineLevel="0" collapsed="false">
      <c r="A19" s="6" t="s">
        <v>130</v>
      </c>
      <c r="B19" s="24" t="str">
        <f aca="false">IF('Kickoff Questionnaire'!D17="","[Not yet captured]",'Kickoff Questionnaire'!D17)</f>
        <v>To be decided</v>
      </c>
    </row>
    <row r="20" customFormat="false" ht="21.75" hidden="false" customHeight="true" outlineLevel="0" collapsed="false">
      <c r="A20" s="25" t="s">
        <v>131</v>
      </c>
      <c r="B20" s="25" t="str">
        <f aca="false">IF('Kickoff Questionnaire'!D18="","[Not yet selected]",'Kickoff Questionnaire'!D18)</f>
        <v>[Not yet selected]</v>
      </c>
    </row>
    <row r="21" customFormat="false" ht="21.75" hidden="false" customHeight="true" outlineLevel="0" collapsed="false">
      <c r="A21" s="6" t="s">
        <v>132</v>
      </c>
      <c r="B21" s="24" t="str">
        <f aca="false">IF('Kickoff Questionnaire'!D19="","[Not yet captured]",'Kickoff Questionnaire'!D19)</f>
        <v>Not yet discussed</v>
      </c>
    </row>
    <row r="22" customFormat="false" ht="21.75" hidden="false" customHeight="true" outlineLevel="0" collapsed="false">
      <c r="A22" s="6" t="s">
        <v>133</v>
      </c>
      <c r="B22" s="24" t="str">
        <f aca="false">IF('Kickoff Questionnaire'!D20="","[Not yet captured]",'Kickoff Questionnaire'!D20)</f>
        <v>Not yet decided</v>
      </c>
    </row>
    <row r="23" customFormat="false" ht="21.75" hidden="false" customHeight="true" outlineLevel="0" collapsed="false">
      <c r="A23" s="6" t="s">
        <v>134</v>
      </c>
      <c r="B23" s="24" t="str">
        <f aca="false">IF('Kickoff Questionnaire'!D21="","[Not yet captured]",'Kickoff Questionnaire'!D21)</f>
        <v>Not yet decided</v>
      </c>
    </row>
    <row r="24" customFormat="false" ht="21.75" hidden="false" customHeight="true" outlineLevel="0" collapsed="false">
      <c r="A24" s="6" t="s">
        <v>135</v>
      </c>
      <c r="B24" s="24" t="str">
        <f aca="false">IF('Kickoff Questionnaire'!D22="","[Not yet captured]",'Kickoff Questionnaire'!D22)</f>
        <v>Open / flexible</v>
      </c>
    </row>
    <row r="25" customFormat="false" ht="21.75" hidden="false" customHeight="true" outlineLevel="0" collapsed="false">
      <c r="A25" s="6" t="s">
        <v>136</v>
      </c>
      <c r="B25" s="24" t="str">
        <f aca="false">IF('Kickoff Questionnaire'!D26="","[Not yet captured]",'Kickoff Questionnaire'!D26)</f>
        <v>Not yet decided</v>
      </c>
    </row>
    <row r="26" customFormat="false" ht="15" hidden="false" customHeight="true" outlineLevel="0" collapsed="false">
      <c r="A26" s="6" t="s">
        <v>137</v>
      </c>
      <c r="B26" s="24" t="str">
        <f aca="false">IF('Kickoff Questionnaire'!D27="","[Not yet captured]",'Kickoff Questionnaire'!D27)</f>
        <v>[Not yet captured]</v>
      </c>
    </row>
    <row r="27" customFormat="false" ht="21.75" hidden="false" customHeight="true" outlineLevel="0" collapsed="false">
      <c r="A27" s="26"/>
      <c r="B27" s="26"/>
    </row>
    <row r="28" customFormat="false" ht="21.75" hidden="false" customHeight="true" outlineLevel="0" collapsed="false">
      <c r="A28" s="27" t="s">
        <v>138</v>
      </c>
    </row>
    <row r="29" customFormat="false" ht="31.5" hidden="false" customHeight="true" outlineLevel="0" collapsed="false">
      <c r="A29" s="6" t="s">
        <v>139</v>
      </c>
      <c r="B29" s="24" t="str">
        <f aca="false">IF('Kickoff Questionnaire'!D29="","[Not yet captured]",'Kickoff Questionnaire'!D29)</f>
        <v>Not yet known</v>
      </c>
    </row>
    <row r="30" customFormat="false" ht="15" hidden="false" customHeight="true" outlineLevel="0" collapsed="false">
      <c r="A30" s="6" t="s">
        <v>140</v>
      </c>
      <c r="B30" s="24" t="str">
        <f aca="false">IF('Kickoff Questionnaire'!D30="","[Not yet captured]",'Kickoff Questionnaire'!D30)</f>
        <v>[Not yet captured]</v>
      </c>
    </row>
    <row r="31" customFormat="false" ht="21.75" hidden="false" customHeight="true" outlineLevel="0" collapsed="false">
      <c r="A31" s="26"/>
      <c r="B31" s="26"/>
    </row>
    <row r="32" customFormat="false" ht="24" hidden="false" customHeight="true" outlineLevel="0" collapsed="false">
      <c r="A32" s="27" t="s">
        <v>141</v>
      </c>
    </row>
    <row r="33" customFormat="false" ht="24" hidden="false" customHeight="true" outlineLevel="0" collapsed="false">
      <c r="A33" s="6" t="s">
        <v>142</v>
      </c>
      <c r="B33" s="28" t="str">
        <f aca="false">IF('Kickoff Questionnaire'!D24="","Schedule discovery call with "&amp;IF('Kickoff Questionnaire'!D8="","client",'Kickoff Questionnaire'!D8),"Send Pre-Interview to "&amp;IF('Kickoff Questionnaire'!D8="","client",'Kickoff Questionnaire'!D8)&amp;" before "&amp;'Kickoff Questionnaire'!D24)</f>
        <v>Schedule discovery call with client</v>
      </c>
    </row>
    <row r="34" customFormat="false" ht="24" hidden="false" customHeight="true" outlineLevel="0" collapsed="false">
      <c r="A34" s="6" t="s">
        <v>143</v>
      </c>
      <c r="B34" s="28" t="str">
        <f aca="false">IF(OR('Kickoff Questionnaire'!D27="German",'Kickoff Questionnaire'!D27="Both"),"Use DE — Kunden-Vorabfragebogen sheet in Phase 1 file","Use Client Pre-Interview (English) in Phase 1 file")</f>
        <v>Use Client Pre-Interview (English) in Phase 1 file</v>
      </c>
    </row>
    <row r="35" customFormat="false" ht="24" hidden="false" customHeight="true" outlineLevel="0" collapsed="false">
      <c r="A35" s="6" t="s">
        <v>144</v>
      </c>
      <c r="B35" s="28" t="str">
        <f aca="false">IF(OR('Kickoff Questionnaire'!D29="Health / medical",'Kickoff Questionnaire'!D29="Legal",'Kickoff Questionnaire'!D29="Financial",'Kickoff Questionnaire'!D29="Multiple sensitive areas"),"Sensitive content: brief team; lock approval workflow before any AI auto-send","Standard risk profile — apply default boundaries during Phase 1")</f>
        <v>Standard risk profile — apply default boundaries during Phase 1</v>
      </c>
    </row>
    <row r="36" customFormat="false" ht="15" hidden="false" customHeight="true" outlineLevel="0" collapsed="false">
      <c r="A36" s="6" t="s">
        <v>145</v>
      </c>
      <c r="B36" s="28" t="str">
        <f aca="false">"Copy all framework files to project folder; rename with client identifier"</f>
        <v>Copy all framework files to project folder; rename with client identifier</v>
      </c>
    </row>
  </sheetData>
  <mergeCells count="7">
    <mergeCell ref="A1:B1"/>
    <mergeCell ref="A2:B2"/>
    <mergeCell ref="A4:B4"/>
    <mergeCell ref="A12:B12"/>
    <mergeCell ref="A18:B18"/>
    <mergeCell ref="A27:B27"/>
    <mergeCell ref="A31:B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65"/>
    <col collapsed="false" customWidth="true" hidden="false" outlineLevel="0" max="4" min="4" style="1" width="18"/>
  </cols>
  <sheetData>
    <row r="1" customFormat="false" ht="24" hidden="false" customHeight="true" outlineLevel="0" collapsed="false">
      <c r="A1" s="2" t="s">
        <v>146</v>
      </c>
      <c r="B1" s="2"/>
      <c r="C1" s="2"/>
      <c r="D1" s="2"/>
    </row>
    <row r="2" customFormat="false" ht="36" hidden="false" customHeight="true" outlineLevel="0" collapsed="false">
      <c r="A2" s="3" t="s">
        <v>147</v>
      </c>
      <c r="B2" s="3"/>
      <c r="C2" s="3"/>
      <c r="D2" s="3"/>
    </row>
    <row r="4" customFormat="false" ht="24" hidden="false" customHeight="true" outlineLevel="0" collapsed="false">
      <c r="A4" s="5" t="s">
        <v>38</v>
      </c>
      <c r="B4" s="5" t="s">
        <v>148</v>
      </c>
      <c r="C4" s="5" t="s">
        <v>149</v>
      </c>
      <c r="D4" s="5" t="s">
        <v>150</v>
      </c>
    </row>
    <row r="5" customFormat="false" ht="39.75" hidden="false" customHeight="true" outlineLevel="0" collapsed="false">
      <c r="A5" s="18" t="n">
        <v>1</v>
      </c>
      <c r="B5" s="6" t="s">
        <v>145</v>
      </c>
      <c r="C5" s="28" t="str">
        <f aca="false">"Copy all 11 framework files to a new project folder. Suggested folder name: "&amp;IF('Kickoff Questionnaire'!D6="","[CLIENT]",'Kickoff Questionnaire'!D6)&amp;" — "&amp;IF('Kickoff Questionnaire'!D7="","[PROJECT]",'Kickoff Questionnaire'!D7)</f>
        <v>Copy all 11 framework files to a new project folder. Suggested folder name: [CLIENT] — [PROJECT]</v>
      </c>
      <c r="D5" s="29" t="s">
        <v>151</v>
      </c>
    </row>
    <row r="6" customFormat="false" ht="39.75" hidden="false" customHeight="true" outlineLevel="0" collapsed="false">
      <c r="A6" s="18" t="n">
        <v>2</v>
      </c>
      <c r="B6" s="6" t="s">
        <v>152</v>
      </c>
      <c r="C6" s="28" t="s">
        <v>153</v>
      </c>
      <c r="D6" s="29" t="s">
        <v>151</v>
      </c>
    </row>
    <row r="7" customFormat="false" ht="39.75" hidden="false" customHeight="true" outlineLevel="0" collapsed="false">
      <c r="A7" s="18" t="n">
        <v>3</v>
      </c>
      <c r="B7" s="6" t="s">
        <v>154</v>
      </c>
      <c r="C7" s="28" t="s">
        <v>155</v>
      </c>
      <c r="D7" s="29" t="s">
        <v>151</v>
      </c>
    </row>
    <row r="8" customFormat="false" ht="39.75" hidden="false" customHeight="true" outlineLevel="0" collapsed="false">
      <c r="A8" s="18" t="n">
        <v>4</v>
      </c>
      <c r="B8" s="6" t="s">
        <v>156</v>
      </c>
      <c r="C8" s="28" t="s">
        <v>157</v>
      </c>
      <c r="D8" s="29" t="s">
        <v>151</v>
      </c>
    </row>
    <row r="9" customFormat="false" ht="39.75" hidden="false" customHeight="true" outlineLevel="0" collapsed="false">
      <c r="A9" s="18" t="n">
        <v>5</v>
      </c>
      <c r="B9" s="6" t="s">
        <v>158</v>
      </c>
      <c r="C9" s="28" t="s">
        <v>159</v>
      </c>
      <c r="D9" s="29" t="s">
        <v>151</v>
      </c>
    </row>
    <row r="10" customFormat="false" ht="39.75" hidden="false" customHeight="true" outlineLevel="0" collapsed="false">
      <c r="A10" s="18" t="n">
        <v>6</v>
      </c>
      <c r="B10" s="6" t="s">
        <v>160</v>
      </c>
      <c r="C10" s="28" t="str">
        <f aca="false">IF(OR('Kickoff Questionnaire'!D27="German",'Kickoff Questionnaire'!D27="Both"),"German output requested: use the DE — Kunden-Vorabfragebogen and DE — Interview-Leitfaden sheets in Phase 1 v5 file.","English output: use Client Pre-Interview and Interview Script sheets in the Phase 1 file.")</f>
        <v>English output: use Client Pre-Interview and Interview Script sheets in the Phase 1 file.</v>
      </c>
      <c r="D10" s="29" t="s">
        <v>151</v>
      </c>
    </row>
    <row r="11" customFormat="false" ht="39.75" hidden="false" customHeight="true" outlineLevel="0" collapsed="false">
      <c r="A11" s="18" t="n">
        <v>7</v>
      </c>
      <c r="B11" s="6" t="s">
        <v>161</v>
      </c>
      <c r="C11" s="28" t="str">
        <f aca="false">"Send Pre-Interview to "&amp;IF('Kickoff Questionnaire'!D9="","[client email]",'Kickoff Questionnaire'!D9)&amp;" by [DATE]. Include 10-minute time estimate and offer to clarify any question."</f>
        <v>Send Pre-Interview to [client email] by [DATE]. Include 10-minute time estimate and offer to clarify any question.</v>
      </c>
      <c r="D11" s="29" t="s">
        <v>151</v>
      </c>
    </row>
    <row r="12" customFormat="false" ht="39.75" hidden="false" customHeight="true" outlineLevel="0" collapsed="false">
      <c r="A12" s="18" t="n">
        <v>8</v>
      </c>
      <c r="B12" s="6" t="s">
        <v>123</v>
      </c>
      <c r="C12" s="28" t="str">
        <f aca="false">IF('Kickoff Questionnaire'!D24="","Schedule discovery call (target ~1 week before project start date).","Discovery call confirmed for "&amp;'Kickoff Questionnaire'!D24&amp;". Prepare Interview Script in advance.")</f>
        <v>Schedule discovery call (target ~1 week before project start date).</v>
      </c>
      <c r="D12" s="29" t="s">
        <v>151</v>
      </c>
    </row>
    <row r="13" customFormat="false" ht="39.75" hidden="false" customHeight="true" outlineLevel="0" collapsed="false">
      <c r="A13" s="18" t="n">
        <v>9</v>
      </c>
      <c r="B13" s="6" t="s">
        <v>162</v>
      </c>
      <c r="C13" s="28" t="str">
        <f aca="false">IF(OR('Kickoff Questionnaire'!D29="Health / medical",'Kickoff Questionnaire'!D29="Legal",'Kickoff Questionnaire'!D29="Financial",'Kickoff Questionnaire'!D29="Multiple sensitive areas"),"SENSITIVE CONTENT FLAGGED. Review boundary rules before discovery. No AI auto-send. Approval workflow mandatory.","Standard risk profile applies. Default boundaries during discovery.")</f>
        <v>Standard risk profile applies. Default boundaries during discovery.</v>
      </c>
      <c r="D13" s="29" t="s">
        <v>151</v>
      </c>
    </row>
    <row r="14" customFormat="false" ht="39.75" hidden="false" customHeight="true" outlineLevel="0" collapsed="false">
      <c r="A14" s="18" t="n">
        <v>10</v>
      </c>
      <c r="B14" s="6" t="s">
        <v>163</v>
      </c>
      <c r="C14" s="28" t="s">
        <v>164</v>
      </c>
      <c r="D14" s="29" t="s">
        <v>151</v>
      </c>
    </row>
    <row r="15" customFormat="false" ht="39.75" hidden="false" customHeight="true" outlineLevel="0" collapsed="false">
      <c r="A15" s="18" t="n">
        <v>11</v>
      </c>
      <c r="B15" s="6" t="s">
        <v>165</v>
      </c>
      <c r="C15" s="28" t="s">
        <v>166</v>
      </c>
      <c r="D15" s="29" t="s">
        <v>151</v>
      </c>
    </row>
    <row r="18" customFormat="false" ht="21.75" hidden="false" customHeight="true" outlineLevel="0" collapsed="false">
      <c r="A18" s="4" t="s">
        <v>167</v>
      </c>
      <c r="B18" s="4"/>
      <c r="C18" s="4"/>
      <c r="D18" s="4"/>
    </row>
    <row r="19" customFormat="false" ht="15" hidden="false" customHeight="true" outlineLevel="0" collapsed="false">
      <c r="B19" s="6" t="s">
        <v>151</v>
      </c>
      <c r="C19" s="30" t="n">
        <f aca="false">COUNTIF(D5:D15,"Not Started")</f>
        <v>11</v>
      </c>
    </row>
    <row r="20" customFormat="false" ht="15" hidden="false" customHeight="true" outlineLevel="0" collapsed="false">
      <c r="B20" s="6" t="s">
        <v>168</v>
      </c>
      <c r="C20" s="30" t="n">
        <f aca="false">COUNTIF(D5:D15,"In Progress")</f>
        <v>0</v>
      </c>
    </row>
    <row r="21" customFormat="false" ht="15" hidden="false" customHeight="true" outlineLevel="0" collapsed="false">
      <c r="B21" s="6" t="s">
        <v>169</v>
      </c>
      <c r="C21" s="30" t="n">
        <f aca="false">COUNTIF(D5:D15,"Done")</f>
        <v>0</v>
      </c>
    </row>
    <row r="22" customFormat="false" ht="15" hidden="false" customHeight="true" outlineLevel="0" collapsed="false">
      <c r="B22" s="6" t="s">
        <v>170</v>
      </c>
      <c r="C22" s="30" t="n">
        <f aca="false">COUNTIF(D5:D15,"Skipped")+COUNTIF(D5:D15,"Not Applicable")</f>
        <v>0</v>
      </c>
    </row>
    <row r="23" customFormat="false" ht="15" hidden="false" customHeight="true" outlineLevel="0" collapsed="false">
      <c r="B23" s="6" t="s">
        <v>171</v>
      </c>
      <c r="C23" s="30" t="n">
        <f aca="false">COUNTA(B5:B15)</f>
        <v>11</v>
      </c>
    </row>
  </sheetData>
  <mergeCells count="3">
    <mergeCell ref="A1:D1"/>
    <mergeCell ref="A2:D2"/>
    <mergeCell ref="A18:D18"/>
  </mergeCells>
  <dataValidations count="1">
    <dataValidation allowBlank="true" errorStyle="stop" operator="between" showDropDown="false" showErrorMessage="false" showInputMessage="false" sqref="D5:D15" type="list">
      <formula1>"Not Started,In Progress,Done,Skipped,Not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50"/>
  </cols>
  <sheetData>
    <row r="1" customFormat="false" ht="24" hidden="false" customHeight="true" outlineLevel="0" collapsed="false">
      <c r="A1" s="2" t="s">
        <v>172</v>
      </c>
      <c r="B1" s="2"/>
      <c r="C1" s="2"/>
      <c r="D1" s="2"/>
    </row>
    <row r="2" customFormat="false" ht="36" hidden="false" customHeight="true" outlineLevel="0" collapsed="false">
      <c r="A2" s="3" t="s">
        <v>173</v>
      </c>
      <c r="B2" s="3"/>
      <c r="C2" s="3"/>
      <c r="D2" s="3"/>
    </row>
    <row r="4" customFormat="false" ht="24" hidden="false" customHeight="true" outlineLevel="0" collapsed="false">
      <c r="A4" s="5" t="s">
        <v>174</v>
      </c>
      <c r="B4" s="5" t="s">
        <v>3</v>
      </c>
      <c r="C4" s="5" t="s">
        <v>175</v>
      </c>
      <c r="D4" s="5" t="s">
        <v>176</v>
      </c>
    </row>
    <row r="5" customFormat="false" ht="21.75" hidden="false" customHeight="true" outlineLevel="0" collapsed="false">
      <c r="A5" s="6" t="s">
        <v>177</v>
      </c>
      <c r="B5" s="31" t="s">
        <v>178</v>
      </c>
      <c r="C5" s="32" t="s">
        <v>179</v>
      </c>
      <c r="D5" s="24" t="str">
        <f aca="false">IF('Kickoff Questionnaire'!D6="","[Not yet captured]",'Kickoff Questionnaire'!D6)</f>
        <v>[Not yet captured]</v>
      </c>
    </row>
    <row r="6" customFormat="false" ht="21.75" hidden="false" customHeight="true" outlineLevel="0" collapsed="false">
      <c r="A6" s="6" t="s">
        <v>177</v>
      </c>
      <c r="B6" s="31" t="s">
        <v>178</v>
      </c>
      <c r="C6" s="32" t="s">
        <v>180</v>
      </c>
      <c r="D6" s="24" t="str">
        <f aca="false">IF('Kickoff Questionnaire'!D7="","[Not yet captured]",'Kickoff Questionnaire'!D7)</f>
        <v>[Not yet captured]</v>
      </c>
    </row>
    <row r="7" customFormat="false" ht="21.75" hidden="false" customHeight="true" outlineLevel="0" collapsed="false">
      <c r="A7" s="6" t="s">
        <v>177</v>
      </c>
      <c r="B7" s="31" t="s">
        <v>178</v>
      </c>
      <c r="C7" s="32" t="s">
        <v>181</v>
      </c>
      <c r="D7" s="24" t="str">
        <f aca="false">"Phase 1 - Discovery"</f>
        <v>Phase 1 - Discovery</v>
      </c>
    </row>
    <row r="8" customFormat="false" ht="21.75" hidden="false" customHeight="true" outlineLevel="0" collapsed="false">
      <c r="A8" s="6" t="s">
        <v>177</v>
      </c>
      <c r="B8" s="31" t="s">
        <v>178</v>
      </c>
      <c r="C8" s="32" t="s">
        <v>182</v>
      </c>
      <c r="D8" s="24" t="str">
        <f aca="false">IF('Kickoff Questionnaire'!D17="","[Not yet captured]",'Kickoff Questionnaire'!D17)</f>
        <v>To be decided</v>
      </c>
    </row>
    <row r="9" customFormat="false" ht="21.75" hidden="false" customHeight="true" outlineLevel="0" collapsed="false">
      <c r="A9" s="25" t="s">
        <v>177</v>
      </c>
      <c r="B9" s="25" t="s">
        <v>178</v>
      </c>
      <c r="C9" s="25" t="s">
        <v>183</v>
      </c>
      <c r="D9" s="25" t="str">
        <f aca="false">IF('Kickoff Questionnaire'!D18="","[Not yet selected]",'Kickoff Questionnaire'!D18)</f>
        <v>[Not yet selected]</v>
      </c>
    </row>
    <row r="10" customFormat="false" ht="21.75" hidden="false" customHeight="true" outlineLevel="0" collapsed="false">
      <c r="A10" s="6" t="s">
        <v>177</v>
      </c>
      <c r="B10" s="31" t="s">
        <v>178</v>
      </c>
      <c r="C10" s="32" t="s">
        <v>184</v>
      </c>
      <c r="D10" s="24" t="str">
        <f aca="false">"[To be defined in Phase 2]"</f>
        <v>[To be defined in Phase 2]</v>
      </c>
    </row>
    <row r="11" customFormat="false" ht="21.75" hidden="false" customHeight="true" outlineLevel="0" collapsed="false">
      <c r="A11" s="6" t="s">
        <v>177</v>
      </c>
      <c r="B11" s="31" t="s">
        <v>178</v>
      </c>
      <c r="C11" s="32" t="s">
        <v>185</v>
      </c>
      <c r="D11" s="24" t="str">
        <f aca="false">IF('Kickoff Questionnaire'!D22="","[Not yet captured]",'Kickoff Questionnaire'!D22)</f>
        <v>Open / flexible</v>
      </c>
    </row>
    <row r="12" customFormat="false" ht="21.75" hidden="false" customHeight="true" outlineLevel="0" collapsed="false">
      <c r="A12" s="6" t="s">
        <v>177</v>
      </c>
      <c r="B12" s="31" t="s">
        <v>178</v>
      </c>
      <c r="C12" s="32" t="s">
        <v>186</v>
      </c>
      <c r="D12" s="24" t="str">
        <f aca="false">IF('Kickoff Questionnaire'!D29="","[Not yet captured]",'Kickoff Questionnaire'!D29)</f>
        <v>Not yet known</v>
      </c>
    </row>
    <row r="13" customFormat="false" ht="21.75" hidden="false" customHeight="true" outlineLevel="0" collapsed="false">
      <c r="A13" s="6" t="s">
        <v>177</v>
      </c>
      <c r="B13" s="31" t="s">
        <v>178</v>
      </c>
      <c r="C13" s="32" t="s">
        <v>187</v>
      </c>
      <c r="D13" s="24" t="str">
        <f aca="false">"Conduct discovery interview"</f>
        <v>Conduct discovery interview</v>
      </c>
    </row>
    <row r="14" customFormat="false" ht="21.75" hidden="false" customHeight="true" outlineLevel="0" collapsed="false">
      <c r="A14" s="6" t="s">
        <v>177</v>
      </c>
      <c r="B14" s="31" t="s">
        <v>178</v>
      </c>
      <c r="C14" s="32" t="s">
        <v>188</v>
      </c>
      <c r="D14" s="24" t="str">
        <f aca="false">IF('Kickoff Questionnaire'!D25="","[Not yet captured]",'Kickoff Questionnaire'!D25)</f>
        <v>[Not yet captured]</v>
      </c>
    </row>
    <row r="15" customFormat="false" ht="21.75" hidden="false" customHeight="true" outlineLevel="0" collapsed="false">
      <c r="A15" s="6" t="s">
        <v>177</v>
      </c>
      <c r="B15" s="31" t="s">
        <v>178</v>
      </c>
      <c r="C15" s="32" t="s">
        <v>189</v>
      </c>
      <c r="D15" s="24" t="str">
        <f aca="false">"In Progress"</f>
        <v>In Progress</v>
      </c>
    </row>
    <row r="16" customFormat="false" ht="21.75" hidden="false" customHeight="true" outlineLevel="0" collapsed="false">
      <c r="A16" s="6" t="s">
        <v>177</v>
      </c>
      <c r="B16" s="31" t="s">
        <v>178</v>
      </c>
      <c r="C16" s="32" t="s">
        <v>190</v>
      </c>
      <c r="D16" s="24" t="str">
        <f aca="false">IF('Kickoff Questionnaire'!D24="","[Not yet captured]",'Kickoff Questionnaire'!D24)</f>
        <v>[Not yet captured]</v>
      </c>
    </row>
    <row r="17" customFormat="false" ht="21.75" hidden="false" customHeight="true" outlineLevel="0" collapsed="false">
      <c r="A17" s="6" t="s">
        <v>191</v>
      </c>
      <c r="B17" s="31" t="s">
        <v>192</v>
      </c>
      <c r="C17" s="32" t="s">
        <v>193</v>
      </c>
      <c r="D17" s="24" t="str">
        <f aca="false">IF('Kickoff Questionnaire'!D6="","[CLIENT NAME]",'Kickoff Questionnaire'!D6)&amp;" — "&amp;IF('Kickoff Questionnaire'!D7="","[PROJECT NAME]",'Kickoff Questionnaire'!D7)</f>
        <v>[CLIENT NAME] — [PROJECT NAME]</v>
      </c>
    </row>
    <row r="18" customFormat="false" ht="21.75" hidden="false" customHeight="true" outlineLevel="0" collapsed="false">
      <c r="A18" s="6" t="s">
        <v>191</v>
      </c>
      <c r="B18" s="31" t="s">
        <v>192</v>
      </c>
      <c r="C18" s="32" t="s">
        <v>194</v>
      </c>
      <c r="D18" s="24" t="str">
        <f aca="false">IF('Kickoff Questionnaire'!D17="","[Not yet captured]",'Kickoff Questionnaire'!D17)</f>
        <v>To be decided</v>
      </c>
    </row>
    <row r="19" customFormat="false" ht="15" hidden="false" customHeight="true" outlineLevel="0" collapsed="false">
      <c r="A19" s="6" t="s">
        <v>191</v>
      </c>
      <c r="B19" s="31" t="s">
        <v>192</v>
      </c>
      <c r="C19" s="32" t="s">
        <v>195</v>
      </c>
      <c r="D19" s="24" t="str">
        <f aca="false">IF('Kickoff Questionnaire'!D21="Managed by us","Normal managed support",IF('Kickoff Questionnaire'!D21="Client-owned workspace","Light support",IF('Kickoff Questionnaire'!D21="Hybrid","Normal managed support",IF('Kickoff Questionnaire'!D21="Wants full ownership (would need Licence, not transfer)","High-responsibility maintenance","[Set manually after Phase 2]"))))</f>
        <v>[Set manually after Phase 2]</v>
      </c>
    </row>
    <row r="21" customFormat="false" ht="16.5" hidden="false" customHeight="true" outlineLevel="0" collapsed="false">
      <c r="A21" s="26"/>
      <c r="B21" s="26"/>
      <c r="C21" s="26"/>
      <c r="D21" s="26"/>
    </row>
    <row r="22" customFormat="false" ht="30" hidden="false" customHeight="true" outlineLevel="0" collapsed="false">
      <c r="A22" s="4" t="s">
        <v>196</v>
      </c>
      <c r="B22" s="4"/>
      <c r="C22" s="4"/>
      <c r="D22" s="4"/>
    </row>
    <row r="23" customFormat="false" ht="30" hidden="false" customHeight="true" outlineLevel="0" collapsed="false">
      <c r="A23" s="3" t="s">
        <v>197</v>
      </c>
      <c r="B23" s="3"/>
      <c r="C23" s="3"/>
      <c r="D23" s="3"/>
    </row>
    <row r="24" customFormat="false" ht="30" hidden="false" customHeight="true" outlineLevel="0" collapsed="false">
      <c r="A24" s="3" t="s">
        <v>198</v>
      </c>
      <c r="B24" s="3"/>
      <c r="C24" s="3"/>
      <c r="D24" s="3"/>
    </row>
    <row r="25" customFormat="false" ht="30" hidden="false" customHeight="true" outlineLevel="0" collapsed="false">
      <c r="A25" s="3" t="s">
        <v>199</v>
      </c>
      <c r="B25" s="3"/>
      <c r="C25" s="3"/>
      <c r="D25" s="3"/>
    </row>
    <row r="26" customFormat="false" ht="30" hidden="false" customHeight="true" outlineLevel="0" collapsed="false">
      <c r="A26" s="3" t="s">
        <v>200</v>
      </c>
      <c r="B26" s="3"/>
      <c r="C26" s="3"/>
      <c r="D26" s="3"/>
    </row>
    <row r="27" customFormat="false" ht="68.25" hidden="false" customHeight="true" outlineLevel="0" collapsed="false">
      <c r="A27" s="33" t="s">
        <v>201</v>
      </c>
    </row>
  </sheetData>
  <mergeCells count="8">
    <mergeCell ref="A1:D1"/>
    <mergeCell ref="A2:D2"/>
    <mergeCell ref="A21:D21"/>
    <mergeCell ref="A22:D22"/>
    <mergeCell ref="A23:D23"/>
    <mergeCell ref="A24:D24"/>
    <mergeCell ref="A25:D25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50"/>
  </cols>
  <sheetData>
    <row r="1" customFormat="false" ht="24" hidden="false" customHeight="true" outlineLevel="0" collapsed="false">
      <c r="A1" s="2" t="s">
        <v>202</v>
      </c>
      <c r="B1" s="2"/>
    </row>
    <row r="2" customFormat="false" ht="36" hidden="false" customHeight="true" outlineLevel="0" collapsed="false">
      <c r="A2" s="3" t="s">
        <v>203</v>
      </c>
      <c r="B2" s="3"/>
    </row>
    <row r="4" customFormat="false" ht="21.75" hidden="false" customHeight="true" outlineLevel="0" collapsed="false">
      <c r="A4" s="4" t="s">
        <v>204</v>
      </c>
      <c r="B4" s="4"/>
    </row>
    <row r="5" customFormat="false" ht="21.75" hidden="false" customHeight="true" outlineLevel="0" collapsed="false">
      <c r="A5" s="9" t="s">
        <v>205</v>
      </c>
      <c r="B5" s="9"/>
    </row>
    <row r="6" customFormat="false" ht="21.75" hidden="false" customHeight="true" outlineLevel="0" collapsed="false">
      <c r="A6" s="9" t="s">
        <v>206</v>
      </c>
      <c r="B6" s="9"/>
    </row>
    <row r="7" customFormat="false" ht="21.75" hidden="false" customHeight="true" outlineLevel="0" collapsed="false">
      <c r="A7" s="9" t="s">
        <v>207</v>
      </c>
      <c r="B7" s="9"/>
    </row>
    <row r="8" customFormat="false" ht="21.75" hidden="false" customHeight="true" outlineLevel="0" collapsed="false">
      <c r="A8" s="9" t="s">
        <v>208</v>
      </c>
      <c r="B8" s="9"/>
    </row>
    <row r="9" customFormat="false" ht="21.75" hidden="false" customHeight="true" outlineLevel="0" collapsed="false">
      <c r="A9" s="9" t="s">
        <v>209</v>
      </c>
      <c r="B9" s="9"/>
    </row>
    <row r="10" customFormat="false" ht="21.75" hidden="false" customHeight="true" outlineLevel="0" collapsed="false">
      <c r="A10" s="9" t="s">
        <v>210</v>
      </c>
      <c r="B10" s="9"/>
    </row>
    <row r="13" customFormat="false" ht="21.75" hidden="false" customHeight="true" outlineLevel="0" collapsed="false">
      <c r="A13" s="4" t="s">
        <v>211</v>
      </c>
      <c r="B13" s="4"/>
    </row>
    <row r="14" customFormat="false" ht="459.75" hidden="false" customHeight="true" outlineLevel="0" collapsed="false">
      <c r="A14" s="34" t="s">
        <v>212</v>
      </c>
      <c r="B14" s="34"/>
    </row>
    <row r="16" customFormat="false" ht="21.75" hidden="false" customHeight="true" outlineLevel="0" collapsed="false">
      <c r="A16" s="4" t="s">
        <v>213</v>
      </c>
      <c r="B16" s="4"/>
    </row>
    <row r="17" customFormat="false" ht="21.75" hidden="false" customHeight="true" outlineLevel="0" collapsed="false">
      <c r="A17" s="9" t="s">
        <v>214</v>
      </c>
      <c r="B17" s="9"/>
    </row>
    <row r="18" customFormat="false" ht="21.75" hidden="false" customHeight="true" outlineLevel="0" collapsed="false">
      <c r="A18" s="9" t="s">
        <v>215</v>
      </c>
      <c r="B18" s="9"/>
    </row>
    <row r="19" customFormat="false" ht="21.75" hidden="false" customHeight="true" outlineLevel="0" collapsed="false">
      <c r="A19" s="9" t="s">
        <v>216</v>
      </c>
      <c r="B19" s="9"/>
    </row>
    <row r="20" customFormat="false" ht="21.75" hidden="false" customHeight="true" outlineLevel="0" collapsed="false">
      <c r="A20" s="9" t="s">
        <v>217</v>
      </c>
      <c r="B20" s="9"/>
    </row>
    <row r="21" customFormat="false" ht="21.75" hidden="false" customHeight="true" outlineLevel="0" collapsed="false">
      <c r="A21" s="9" t="s">
        <v>218</v>
      </c>
      <c r="B21" s="9"/>
    </row>
    <row r="22" customFormat="false" ht="21.75" hidden="false" customHeight="true" outlineLevel="0" collapsed="false">
      <c r="A22" s="9" t="s">
        <v>219</v>
      </c>
      <c r="B22" s="9"/>
    </row>
  </sheetData>
  <mergeCells count="18">
    <mergeCell ref="A1:B1"/>
    <mergeCell ref="A2:B2"/>
    <mergeCell ref="A4:B4"/>
    <mergeCell ref="A5:B5"/>
    <mergeCell ref="A6:B6"/>
    <mergeCell ref="A7:B7"/>
    <mergeCell ref="A8:B8"/>
    <mergeCell ref="A9:B9"/>
    <mergeCell ref="A10:B10"/>
    <mergeCell ref="A13:B13"/>
    <mergeCell ref="A14:B14"/>
    <mergeCell ref="A16:B16"/>
    <mergeCell ref="A17:B17"/>
    <mergeCell ref="A18:B18"/>
    <mergeCell ref="A19:B19"/>
    <mergeCell ref="A20:B20"/>
    <mergeCell ref="A21:B21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2026-06-28T18:38:03Z</dcterms:created>
  <dc:creator>openpyxl</dc:creator>
  <dc:description/>
  <dc:language>en-US</dc:language>
  <cp:lastModifiedBy/>
  <dcterms:modified xsi:type="dcterms:W3CDTF">2026-09-21T13:16:01Z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