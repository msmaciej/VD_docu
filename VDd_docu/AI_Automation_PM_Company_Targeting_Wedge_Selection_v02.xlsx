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Targe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<sst xmlns="http://schemas.openxmlformats.org/spreadsheetml/2006/main" count="60" uniqueCount="59">
  <si>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 xml:space="preserve">VDAIA · Company — Targeting &amp; Wedge Selection</t>
  </si>
  <si>
    <t xml:space="preserve">Choose WHO you serve (segment) and WHAT you lead with (wedge) before Discovery. Fill the yellow cells; totals and verdicts compute automatically.</t>
  </si>
  <si>
    <t xml:space="preserve">Legend:  yellow = you fill or adjust (score 1–5)   ·   grey = worked example   ·   white/bordered = computed, don't edit</t>
  </si>
  <si>
    <t xml:space="preserve">STEP A — Score the SEGMENT (who you target)</t>
  </si>
  <si>
    <t xml:space="preserve">Segment</t>
  </si>
  <si>
    <t xml:space="preserve">Budget
(1–5)</t>
  </si>
  <si>
    <t xml:space="preserve">Repetitive
pain (1–5)</t>
  </si>
  <si>
    <t xml:space="preserve">Weak status
quo (1–5)</t>
  </si>
  <si>
    <t xml:space="preserve">Can't DIY
(1–5)</t>
  </si>
  <si>
    <t xml:space="preserve">Your access
(1–5)</t>
  </si>
  <si>
    <t xml:space="preserve">Total
(/25)</t>
  </si>
  <si>
    <t xml:space="preserve">Verdict</t>
  </si>
  <si>
    <t xml:space="preserve">Chosen?
(mark X)</t>
  </si>
  <si>
    <t xml:space="preserve">Est. firms
in CH</t>
  </si>
  <si>
    <t xml:space="preserve">Addressable %
(can reach/serve)</t>
  </si>
  <si>
    <t xml:space="preserve">SAM (firms)
=J×K</t>
  </si>
  <si>
    <t xml:space="preserve">Avg value
/client/yr (CHF)</t>
  </si>
  <si>
    <t xml:space="preserve">Implied SAM
revenue (CHF/yr)</t>
  </si>
  <si>
    <t xml:space="preserve">EXAMPLE — Local dental clinics</t>
  </si>
  <si>
    <t xml:space="preserve">Energy / engineering / technical SMEs</t>
  </si>
  <si>
    <t xml:space="preserve">Fiduciary / Treuhand offices</t>
  </si>
  <si>
    <t xml:space="preserve">Law / consulting firms</t>
  </si>
  <si>
    <t xml:space="preserve">Trades / Handwerk</t>
  </si>
  <si>
    <t xml:space="preserve">Logistics / transport</t>
  </si>
  <si>
    <t xml:space="preserve">E-commerce / retail</t>
  </si>
  <si>
    <t xml:space="preserve">(your own idea)</t>
  </si>
  <si>
    <t xml:space="preserve">Pick the winner: a HIGH total AND a 4–5 in 'Your access'. A market you can't reach warm loses to a good one you can. Choose ONE.</t>
  </si>
  <si>
    <t xml:space="preserve">Est. firms in CH: look up via bfs.admin.ch STATENT (by NOGA code) or the sector association (e.g. TREUHAND|SUISSE, SSO for dental, economiesuisse for engineering). Addressable %: your realistic reach given warm network + channel, not the whole sector. Avg value/client/yr: use (Blended monthly fee × 12) from the Pricing Calculator's 'Break-Even &amp; Runway' sheet as a starting default, or a package-specific figure from Access &amp; Licence Pricing. (Source for the worked dental example: Val Index / SSO-BFS, 2026 — ~4,800 dental practices in Switzerland.)</t>
  </si>
  <si>
    <t xml:space="preserve">STEP B — Pick the WEDGE for that segment (from your VDAIA catalogue)</t>
  </si>
  <si>
    <t xml:space="preserve">Wedge (lead offer)</t>
  </si>
  <si>
    <t xml:space="preserve">VD_docu process pattern</t>
  </si>
  <si>
    <t xml:space="preserve">Why it's a strong first wedge</t>
  </si>
  <si>
    <t xml:space="preserve">Invoice / document processing</t>
  </si>
  <si>
    <t xml:space="preserve">g7-docs-invoice-extraction · g7-docs-classify-file</t>
  </si>
  <si>
    <t xml:space="preserve">Highest, most provable ROI; strong fiduciary/ops fit</t>
  </si>
  <si>
    <t xml:space="preserve">Inbox / enquiry triage</t>
  </si>
  <si>
    <t xml:space="preserve">g1-intake-single-inbox · g1-intake-language-routing</t>
  </si>
  <si>
    <t xml:space="preserve">Universal pain; already proven (MG Redshift)</t>
  </si>
  <si>
    <t xml:space="preserve">Lead follow-up</t>
  </si>
  <si>
    <t xml:space="preserve">g4-pipeline-lead-qualification · g4-pipeline-stale-deal-nudge</t>
  </si>
  <si>
    <t xml:space="preserve">Direct revenue link; easy before/after</t>
  </si>
  <si>
    <t xml:space="preserve">Finance ops</t>
  </si>
  <si>
    <t xml:space="preserve">g8-finance-expense-claims · g8-finance-payment-run</t>
  </si>
  <si>
    <t xml:space="preserve">Recurring; clear hours saved</t>
  </si>
  <si>
    <t xml:space="preserve">Support</t>
  </si>
  <si>
    <t xml:space="preserve">g2-support-ticket-triage · g2-support-faq-deflection</t>
  </si>
  <si>
    <t xml:space="preserve">High volume; visible customer impact</t>
  </si>
  <si>
    <t xml:space="preserve">STEP C — Write your v1 (one sentence)</t>
  </si>
  <si>
    <t xml:space="preserve">My first market (segment):</t>
  </si>
  <si>
    <t xml:space="preserve">My lead wedge:</t>
  </si>
  <si>
    <t xml:space="preserve">VD_docu pattern:</t>
  </si>
  <si>
    <t xml:space="preserve">STEP D — Market size for your CHOSEN segment (feeds the Market slide TAM/SAM/SOM)</t>
  </si>
  <si>
    <t xml:space="preserve">Mark ONE row above with an X in the 'Chosen?' column (column I, rows 8–15). This block reads that row and checks it against the deck's own Market slide.</t>
  </si>
  <si>
    <t xml:space="preserve">Chosen segment</t>
  </si>
  <si>
    <t xml:space="preserve">Est. firms in CH (≈ TAM for this wedge)</t>
  </si>
  <si>
    <t xml:space="preserve">SAM (addressable firms)</t>
  </si>
  <si>
    <t xml:space="preserve">Avg value/client/yr (CHF)</t>
  </si>
  <si>
    <t xml:space="preserve">Implied SAM revenue (CHF/yr)</t>
  </si>
  <si>
    <t xml:space="preserve">Deck comparison (Slide 4: TAM ~600k · SAM ~50k · SOM CHF 0.25–0.6M ARR by 2029)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</si>
</sst>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3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2"/>
      <color rgb="FF1F2A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77777"/>
      <name val="Arial"/>
      <family val="0"/>
      <charset val="1"/>
    </font>
    <font>
      <i val="true"/>
      <sz val="9"/>
      <color rgb="FF4B5563"/>
      <name val="Cambria"/>
      <family val="0"/>
      <charset val="1"/>
    </font>
    <font>
      <sz val="9"/>
      <color rgb="FF444444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37"/>
        <bgColor rgb="FF003366"/>
      </patternFill>
    </fill>
    <fill>
      <patternFill patternType="solid">
        <fgColor rgb="FFEFEFEF"/>
        <bgColor rgb="FFDCE6F1"/>
      </patternFill>
    </fill>
    <fill>
      <patternFill patternType="solid">
        <fgColor rgb="FFFFF3B0"/>
        <bgColor rgb="FFFDE68A"/>
      </patternFill>
    </fill>
    <fill>
      <patternFill patternType="solid">
        <fgColor rgb="FFDCE6F1"/>
        <bgColor rgb="FFEFEFEF"/>
      </patternFill>
    </fill>
    <fill>
      <patternFill patternType="solid">
        <fgColor rgb="FFFDE68A"/>
        <bgColor rgb="FFFFF3B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EFEFEF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DE68A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444444"/>
      <rgbColor rgb="FF993300"/>
      <rgbColor rgb="FF993366"/>
      <rgbColor rgb="FF555555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14" min="9" style="1" width="15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26.25" hidden="false" customHeight="true" outlineLevel="0" collapsed="false">
      <c r="A5" s="5" t="s">
        <v>3</v>
      </c>
    </row>
    <row r="6" customFormat="false" ht="34.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</row>
    <row r="7" customFormat="false" ht="15" hidden="false" customHeight="true" outlineLevel="0" collapsed="false">
      <c r="A7" s="8" t="s">
        <v>18</v>
      </c>
      <c r="B7" s="9" t="n">
        <v>4</v>
      </c>
      <c r="C7" s="9" t="n">
        <v>5</v>
      </c>
      <c r="D7" s="9" t="n">
        <v>4</v>
      </c>
      <c r="E7" s="9" t="n">
        <v>5</v>
      </c>
      <c r="F7" s="9" t="n">
        <v>2</v>
      </c>
      <c r="G7" s="9" t="n">
        <f aca="false">SUM(B7:F7)</f>
        <v>20</v>
      </c>
      <c r="H7" s="9" t="str">
        <f aca="false">IF(G7&gt;=20,"Strong",IF(G7&gt;=15,"Maybe","Weak"))</f>
        <v>Strong</v>
      </c>
      <c r="J7" s="10" t="n">
        <v>4800</v>
      </c>
      <c r="K7" s="11" t="n">
        <v>0.05</v>
      </c>
      <c r="L7" s="10" t="n">
        <f aca="false">ROUND(J7*K7,0)</f>
        <v>240</v>
      </c>
      <c r="M7" s="10" t="n">
        <v>10000</v>
      </c>
      <c r="N7" s="12" t="n">
        <f aca="false">ROUND(L7*M7,0)</f>
        <v>2400000</v>
      </c>
    </row>
    <row r="8" customFormat="false" ht="15" hidden="false" customHeight="true" outlineLevel="0" collapsed="false">
      <c r="A8" s="13" t="s">
        <v>19</v>
      </c>
      <c r="B8" s="14" t="n">
        <v>4</v>
      </c>
      <c r="C8" s="14" t="n">
        <v>4</v>
      </c>
      <c r="D8" s="14" t="n">
        <v>4</v>
      </c>
      <c r="E8" s="14" t="n">
        <v>4</v>
      </c>
      <c r="F8" s="14"/>
      <c r="G8" s="15" t="n">
        <f aca="false">SUM(B8:F8)</f>
        <v>16</v>
      </c>
      <c r="H8" s="15" t="str">
        <f aca="false">IF(G8&gt;=20,"Strong",IF(G8&gt;=15,"Maybe","Weak"))</f>
        <v>Maybe</v>
      </c>
      <c r="I8" s="16"/>
      <c r="J8" s="17"/>
      <c r="K8" s="18"/>
      <c r="L8" s="19" t="str">
        <f aca="false">IF(OR(J8="",K8=""),"",ROUND(J8*K8,0))</f>
        <v/>
      </c>
      <c r="M8" s="17"/>
      <c r="N8" s="20" t="str">
        <f aca="false">IF(OR(L8="",M8=""),"",ROUND(L8*M8,0))</f>
        <v/>
      </c>
    </row>
    <row r="9" customFormat="false" ht="15" hidden="false" customHeight="true" outlineLevel="0" collapsed="false">
      <c r="A9" s="13" t="s">
        <v>20</v>
      </c>
      <c r="B9" s="14" t="n">
        <v>5</v>
      </c>
      <c r="C9" s="14" t="n">
        <v>5</v>
      </c>
      <c r="D9" s="14" t="n">
        <v>4</v>
      </c>
      <c r="E9" s="14" t="n">
        <v>5</v>
      </c>
      <c r="F9" s="14"/>
      <c r="G9" s="15" t="n">
        <f aca="false">SUM(B9:F9)</f>
        <v>19</v>
      </c>
      <c r="H9" s="15" t="str">
        <f aca="false">IF(G9&gt;=20,"Strong",IF(G9&gt;=15,"Maybe","Weak"))</f>
        <v>Maybe</v>
      </c>
      <c r="I9" s="16"/>
      <c r="J9" s="17"/>
      <c r="K9" s="18"/>
      <c r="L9" s="19" t="str">
        <f aca="false">IF(OR(J9="",K9=""),"",ROUND(J9*K9,0))</f>
        <v/>
      </c>
      <c r="M9" s="17"/>
      <c r="N9" s="20" t="str">
        <f aca="false">IF(OR(L9="",M9=""),"",ROUND(L9*M9,0))</f>
        <v/>
      </c>
    </row>
    <row r="10" customFormat="false" ht="15" hidden="false" customHeight="true" outlineLevel="0" collapsed="false">
      <c r="A10" s="13" t="s">
        <v>21</v>
      </c>
      <c r="B10" s="14" t="n">
        <v>5</v>
      </c>
      <c r="C10" s="14" t="n">
        <v>4</v>
      </c>
      <c r="D10" s="14" t="n">
        <v>4</v>
      </c>
      <c r="E10" s="14" t="n">
        <v>4</v>
      </c>
      <c r="F10" s="14"/>
      <c r="G10" s="15" t="n">
        <f aca="false">SUM(B10:F10)</f>
        <v>17</v>
      </c>
      <c r="H10" s="15" t="str">
        <f aca="false">IF(G10&gt;=20,"Strong",IF(G10&gt;=15,"Maybe","Weak"))</f>
        <v>Maybe</v>
      </c>
      <c r="I10" s="16"/>
      <c r="J10" s="17"/>
      <c r="K10" s="18"/>
      <c r="L10" s="19" t="str">
        <f aca="false">IF(OR(J10="",K10=""),"",ROUND(J10*K10,0))</f>
        <v/>
      </c>
      <c r="M10" s="17"/>
      <c r="N10" s="20" t="str">
        <f aca="false">IF(OR(L10="",M10=""),"",ROUND(L10*M10,0))</f>
        <v/>
      </c>
    </row>
    <row r="11" customFormat="false" ht="15" hidden="false" customHeight="true" outlineLevel="0" collapsed="false">
      <c r="A11" s="13" t="s">
        <v>22</v>
      </c>
      <c r="B11" s="14" t="n">
        <v>3</v>
      </c>
      <c r="C11" s="14" t="n">
        <v>4</v>
      </c>
      <c r="D11" s="14" t="n">
        <v>5</v>
      </c>
      <c r="E11" s="14" t="n">
        <v>5</v>
      </c>
      <c r="F11" s="14"/>
      <c r="G11" s="15" t="n">
        <f aca="false">SUM(B11:F11)</f>
        <v>17</v>
      </c>
      <c r="H11" s="15" t="str">
        <f aca="false">IF(G11&gt;=20,"Strong",IF(G11&gt;=15,"Maybe","Weak"))</f>
        <v>Maybe</v>
      </c>
      <c r="I11" s="16"/>
      <c r="J11" s="17"/>
      <c r="K11" s="18"/>
      <c r="L11" s="19" t="str">
        <f aca="false">IF(OR(J11="",K11=""),"",ROUND(J11*K11,0))</f>
        <v/>
      </c>
      <c r="M11" s="17"/>
      <c r="N11" s="20" t="str">
        <f aca="false">IF(OR(L11="",M11=""),"",ROUND(L11*M11,0))</f>
        <v/>
      </c>
    </row>
    <row r="12" customFormat="false" ht="15" hidden="false" customHeight="true" outlineLevel="0" collapsed="false">
      <c r="A12" s="13" t="s">
        <v>23</v>
      </c>
      <c r="B12" s="14" t="n">
        <v>4</v>
      </c>
      <c r="C12" s="14" t="n">
        <v>5</v>
      </c>
      <c r="D12" s="14" t="n">
        <v>5</v>
      </c>
      <c r="E12" s="14" t="n">
        <v>5</v>
      </c>
      <c r="F12" s="14"/>
      <c r="G12" s="15" t="n">
        <f aca="false">SUM(B12:F12)</f>
        <v>19</v>
      </c>
      <c r="H12" s="15" t="str">
        <f aca="false">IF(G12&gt;=20,"Strong",IF(G12&gt;=15,"Maybe","Weak"))</f>
        <v>Maybe</v>
      </c>
      <c r="I12" s="16"/>
      <c r="J12" s="17"/>
      <c r="K12" s="18"/>
      <c r="L12" s="19" t="str">
        <f aca="false">IF(OR(J12="",K12=""),"",ROUND(J12*K12,0))</f>
        <v/>
      </c>
      <c r="M12" s="17"/>
      <c r="N12" s="20" t="str">
        <f aca="false">IF(OR(L12="",M12=""),"",ROUND(L12*M12,0))</f>
        <v/>
      </c>
    </row>
    <row r="13" customFormat="false" ht="15" hidden="false" customHeight="true" outlineLevel="0" collapsed="false">
      <c r="A13" s="13" t="s">
        <v>24</v>
      </c>
      <c r="B13" s="14" t="n">
        <v>3</v>
      </c>
      <c r="C13" s="14" t="n">
        <v>4</v>
      </c>
      <c r="D13" s="14" t="n">
        <v>3</v>
      </c>
      <c r="E13" s="14" t="n">
        <v>3</v>
      </c>
      <c r="F13" s="14"/>
      <c r="G13" s="15" t="n">
        <f aca="false">SUM(B13:F13)</f>
        <v>13</v>
      </c>
      <c r="H13" s="15" t="str">
        <f aca="false">IF(G13&gt;=20,"Strong",IF(G13&gt;=15,"Maybe","Weak"))</f>
        <v>Weak</v>
      </c>
      <c r="I13" s="16"/>
      <c r="J13" s="17"/>
      <c r="K13" s="18"/>
      <c r="L13" s="19" t="str">
        <f aca="false">IF(OR(J13="",K13=""),"",ROUND(J13*K13,0))</f>
        <v/>
      </c>
      <c r="M13" s="17"/>
      <c r="N13" s="20" t="str">
        <f aca="false">IF(OR(L13="",M13=""),"",ROUND(L13*M13,0))</f>
        <v/>
      </c>
    </row>
    <row r="14" customFormat="false" ht="15" hidden="false" customHeight="true" outlineLevel="0" collapsed="false">
      <c r="A14" s="13" t="s">
        <v>25</v>
      </c>
      <c r="B14" s="14"/>
      <c r="C14" s="14"/>
      <c r="D14" s="14"/>
      <c r="E14" s="14"/>
      <c r="F14" s="14"/>
      <c r="G14" s="15" t="n">
        <f aca="false">SUM(B14:F14)</f>
        <v>0</v>
      </c>
      <c r="H14" s="15" t="str">
        <f aca="false">IF(G14&gt;=20,"Strong",IF(G14&gt;=15,"Maybe","Weak"))</f>
        <v>Weak</v>
      </c>
      <c r="I14" s="16"/>
      <c r="J14" s="17"/>
      <c r="K14" s="18"/>
      <c r="L14" s="19" t="str">
        <f aca="false">IF(OR(J14="",K14=""),"",ROUND(J14*K14,0))</f>
        <v/>
      </c>
      <c r="M14" s="17"/>
      <c r="N14" s="20" t="str">
        <f aca="false">IF(OR(L14="",M14=""),"",ROUND(L14*M14,0))</f>
        <v/>
      </c>
    </row>
    <row r="15" customFormat="false" ht="15" hidden="false" customHeight="true" outlineLevel="0" collapsed="false">
      <c r="A15" s="13" t="s">
        <v>25</v>
      </c>
      <c r="B15" s="14"/>
      <c r="C15" s="14"/>
      <c r="D15" s="14"/>
      <c r="E15" s="14"/>
      <c r="F15" s="14"/>
      <c r="G15" s="15" t="n">
        <f aca="false">SUM(B15:F15)</f>
        <v>0</v>
      </c>
      <c r="H15" s="15" t="str">
        <f aca="false">IF(G15&gt;=20,"Strong",IF(G15&gt;=15,"Maybe","Weak"))</f>
        <v>Weak</v>
      </c>
      <c r="I15" s="16"/>
      <c r="J15" s="17"/>
      <c r="K15" s="18"/>
      <c r="L15" s="19" t="str">
        <f aca="false">IF(OR(J15="",K15=""),"",ROUND(J15*K15,0))</f>
        <v/>
      </c>
      <c r="M15" s="17"/>
      <c r="N15" s="20" t="str">
        <f aca="false">IF(OR(L15="",M15=""),"",ROUND(L15*M15,0))</f>
        <v/>
      </c>
    </row>
    <row r="16" customFormat="false" ht="15" hidden="false" customHeight="true" outlineLevel="0" collapsed="false">
      <c r="A16" s="21" t="s">
        <v>26</v>
      </c>
      <c r="B16" s="21"/>
      <c r="C16" s="21"/>
      <c r="D16" s="21"/>
      <c r="E16" s="21"/>
      <c r="F16" s="21"/>
      <c r="G16" s="21"/>
      <c r="H16" s="21"/>
    </row>
    <row r="17" customFormat="false" ht="15" hidden="false" customHeight="true" outlineLevel="0" collapsed="false">
      <c r="I17" s="22" t="s">
        <v>27</v>
      </c>
      <c r="J17" s="22"/>
      <c r="K17" s="22"/>
      <c r="L17" s="22"/>
      <c r="M17" s="22"/>
      <c r="N17" s="22"/>
    </row>
    <row r="18" customFormat="false" ht="39" hidden="false" customHeight="true" outlineLevel="0" collapsed="false">
      <c r="A18" s="5" t="s">
        <v>28</v>
      </c>
      <c r="I18" s="22"/>
      <c r="J18" s="22"/>
      <c r="K18" s="22"/>
      <c r="L18" s="22"/>
      <c r="M18" s="22"/>
      <c r="N18" s="22"/>
    </row>
    <row r="19" customFormat="false" ht="34.5" hidden="false" customHeight="true" outlineLevel="0" collapsed="false">
      <c r="A19" s="6" t="s">
        <v>29</v>
      </c>
      <c r="B19" s="6" t="s">
        <v>30</v>
      </c>
      <c r="C19" s="6" t="s">
        <v>31</v>
      </c>
      <c r="D19" s="6"/>
      <c r="E19" s="6"/>
      <c r="F19" s="6"/>
      <c r="G19" s="6"/>
      <c r="I19" s="22"/>
      <c r="J19" s="22"/>
      <c r="K19" s="22"/>
      <c r="L19" s="22"/>
      <c r="M19" s="22"/>
      <c r="N19" s="22"/>
    </row>
    <row r="20" customFormat="false" ht="53.25" hidden="false" customHeight="true" outlineLevel="0" collapsed="false">
      <c r="A20" s="13" t="s">
        <v>32</v>
      </c>
      <c r="B20" s="23" t="s">
        <v>33</v>
      </c>
      <c r="C20" s="24" t="s">
        <v>34</v>
      </c>
      <c r="D20" s="24"/>
      <c r="E20" s="24"/>
      <c r="F20" s="24"/>
      <c r="G20" s="24"/>
      <c r="H20" s="14"/>
    </row>
    <row r="21" customFormat="false" ht="53.25" hidden="false" customHeight="true" outlineLevel="0" collapsed="false">
      <c r="A21" s="13" t="s">
        <v>35</v>
      </c>
      <c r="B21" s="23" t="s">
        <v>36</v>
      </c>
      <c r="C21" s="24" t="s">
        <v>37</v>
      </c>
      <c r="D21" s="24"/>
      <c r="E21" s="24"/>
      <c r="F21" s="24"/>
      <c r="G21" s="24"/>
      <c r="H21" s="14"/>
    </row>
    <row r="22" customFormat="false" ht="74.25" hidden="false" customHeight="true" outlineLevel="0" collapsed="false">
      <c r="A22" s="13" t="s">
        <v>38</v>
      </c>
      <c r="B22" s="23" t="s">
        <v>39</v>
      </c>
      <c r="C22" s="24" t="s">
        <v>40</v>
      </c>
      <c r="D22" s="24"/>
      <c r="E22" s="24"/>
      <c r="F22" s="24"/>
      <c r="G22" s="24"/>
      <c r="H22" s="14"/>
    </row>
    <row r="23" customFormat="false" ht="53.25" hidden="false" customHeight="true" outlineLevel="0" collapsed="false">
      <c r="A23" s="13" t="s">
        <v>41</v>
      </c>
      <c r="B23" s="23" t="s">
        <v>42</v>
      </c>
      <c r="C23" s="24" t="s">
        <v>43</v>
      </c>
      <c r="D23" s="24"/>
      <c r="E23" s="24"/>
      <c r="F23" s="24"/>
      <c r="G23" s="24"/>
      <c r="H23" s="14"/>
    </row>
    <row r="24" customFormat="false" ht="53.25" hidden="false" customHeight="true" outlineLevel="0" collapsed="false">
      <c r="A24" s="13" t="s">
        <v>44</v>
      </c>
      <c r="B24" s="23" t="s">
        <v>45</v>
      </c>
      <c r="C24" s="24" t="s">
        <v>46</v>
      </c>
      <c r="D24" s="24"/>
      <c r="E24" s="24"/>
      <c r="F24" s="24"/>
      <c r="G24" s="24"/>
      <c r="H24" s="14"/>
    </row>
    <row r="26" customFormat="false" ht="26.25" hidden="false" customHeight="true" outlineLevel="0" collapsed="false">
      <c r="A26" s="5" t="s">
        <v>47</v>
      </c>
    </row>
    <row r="27" customFormat="false" ht="15" hidden="false" customHeight="true" outlineLevel="0" collapsed="false">
      <c r="A27" s="25" t="s">
        <v>48</v>
      </c>
      <c r="B27" s="26"/>
      <c r="C27" s="26"/>
      <c r="D27" s="26"/>
      <c r="E27" s="26"/>
      <c r="F27" s="26"/>
      <c r="G27" s="26"/>
      <c r="H27" s="26"/>
    </row>
    <row r="28" customFormat="false" ht="23.25" hidden="false" customHeight="true" outlineLevel="0" collapsed="false">
      <c r="A28" s="25" t="s">
        <v>49</v>
      </c>
      <c r="B28" s="26"/>
      <c r="C28" s="26"/>
      <c r="D28" s="26"/>
      <c r="E28" s="26"/>
      <c r="F28" s="25" t="s">
        <v>50</v>
      </c>
      <c r="G28" s="26"/>
      <c r="H28" s="26"/>
    </row>
    <row r="31" customFormat="false" ht="15" hidden="false" customHeight="true" outlineLevel="0" collapsed="false">
      <c r="A31" s="27" t="s">
        <v>51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customFormat="false" ht="15" hidden="false" customHeight="true" outlineLevel="0" collapsed="false">
      <c r="A32" s="22" t="s">
        <v>52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customFormat="false" ht="15" hidden="false" customHeight="true" outlineLevel="0" collapsed="false">
      <c r="A33" s="28" t="str">
        <f aca="false">IF(COUNTIF($I$8:$I$15,"X")=0,"Status: mark exactly one row with X in the Chosen? column above.",IF(COUNTIF($I$8:$I$15,"X")&gt;1,"Status: MORE THAN ONE row is marked X (only the first is being read below) — fix before using these numbers.","Status: OK — one segment chosen."))</f>
        <v>Status: mark exactly one row with X in the Chosen? column above.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 customFormat="false" ht="15" hidden="false" customHeight="true" outlineLevel="0" collapsed="false"/>
    <row r="35" customFormat="false" ht="15" hidden="false" customHeight="true" outlineLevel="0" collapsed="false">
      <c r="A35" s="29" t="s">
        <v>53</v>
      </c>
      <c r="B35" s="29"/>
      <c r="C35" s="29"/>
      <c r="D35" s="29"/>
      <c r="E35" s="29"/>
      <c r="F35" s="30" t="str">
        <f aca="false">IF(COUNTIF($I$8:$I$15,"X")&lt;&gt;1,"",IFERROR(INDEX(A8:A15,MATCH("X",I8:I15,0)),""))</f>
        <v/>
      </c>
      <c r="G35" s="30"/>
      <c r="H35" s="30"/>
      <c r="I35" s="30"/>
      <c r="J35" s="30"/>
      <c r="K35" s="30"/>
      <c r="L35" s="30"/>
      <c r="M35" s="30"/>
      <c r="N35" s="30"/>
    </row>
    <row r="36" customFormat="false" ht="15" hidden="false" customHeight="true" outlineLevel="0" collapsed="false">
      <c r="A36" s="29" t="s">
        <v>54</v>
      </c>
      <c r="B36" s="29"/>
      <c r="C36" s="29"/>
      <c r="D36" s="29"/>
      <c r="E36" s="29"/>
      <c r="F36" s="30" t="str">
        <f aca="false">IF(COUNTIF($I$8:$I$15,"X")&lt;&gt;1,"",IFERROR(INDEX(J8:J15,MATCH("X",I8:I15,0)),""))</f>
        <v/>
      </c>
      <c r="G36" s="30"/>
      <c r="H36" s="30"/>
      <c r="I36" s="30"/>
      <c r="J36" s="30"/>
      <c r="K36" s="30"/>
      <c r="L36" s="30"/>
      <c r="M36" s="30"/>
      <c r="N36" s="30"/>
    </row>
    <row r="37" customFormat="false" ht="15" hidden="false" customHeight="true" outlineLevel="0" collapsed="false">
      <c r="A37" s="29" t="s">
        <v>55</v>
      </c>
      <c r="B37" s="29"/>
      <c r="C37" s="29"/>
      <c r="D37" s="29"/>
      <c r="E37" s="29"/>
      <c r="F37" s="30" t="str">
        <f aca="false">IF(COUNTIF($I$8:$I$15,"X")&lt;&gt;1,"",IFERROR(INDEX(L8:L15,MATCH("X",I8:I15,0)),""))</f>
        <v/>
      </c>
      <c r="G37" s="30"/>
      <c r="H37" s="30"/>
      <c r="I37" s="30"/>
      <c r="J37" s="30"/>
      <c r="K37" s="30"/>
      <c r="L37" s="30"/>
      <c r="M37" s="30"/>
      <c r="N37" s="30"/>
    </row>
    <row r="38" customFormat="false" ht="15" hidden="false" customHeight="true" outlineLevel="0" collapsed="false">
      <c r="A38" s="29" t="s">
        <v>56</v>
      </c>
      <c r="B38" s="29"/>
      <c r="C38" s="29"/>
      <c r="D38" s="29"/>
      <c r="E38" s="29"/>
      <c r="F38" s="30" t="str">
        <f aca="false">IF(COUNTIF($I$8:$I$15,"X")&lt;&gt;1,"",IFERROR(INDEX(M8:M15,MATCH("X",I8:I15,0)),""))</f>
        <v/>
      </c>
      <c r="G38" s="30"/>
      <c r="H38" s="30"/>
      <c r="I38" s="30"/>
      <c r="J38" s="30"/>
      <c r="K38" s="30"/>
      <c r="L38" s="30"/>
      <c r="M38" s="30"/>
      <c r="N38" s="30"/>
    </row>
    <row r="39" customFormat="false" ht="15" hidden="false" customHeight="true" outlineLevel="0" collapsed="false">
      <c r="A39" s="29" t="s">
        <v>57</v>
      </c>
      <c r="B39" s="29"/>
      <c r="C39" s="29"/>
      <c r="D39" s="29"/>
      <c r="E39" s="29"/>
      <c r="F39" s="30" t="str">
        <f aca="false">IF(COUNTIF($I$8:$I$15,"X")&lt;&gt;1,"",IFERROR(INDEX(N8:N15,MATCH("X",I8:I15,0)),""))</f>
        <v/>
      </c>
      <c r="G39" s="30"/>
      <c r="H39" s="30"/>
      <c r="I39" s="30"/>
      <c r="J39" s="30"/>
      <c r="K39" s="30"/>
      <c r="L39" s="30"/>
      <c r="M39" s="30"/>
      <c r="N39" s="30"/>
    </row>
    <row r="40" customFormat="false" ht="15" hidden="false" customHeight="true" outlineLevel="0" collapsed="false">
      <c r="A40" s="29" t="s">
        <v>58</v>
      </c>
      <c r="B40" s="29"/>
      <c r="C40" s="29"/>
      <c r="D40" s="29"/>
      <c r="E40" s="29"/>
      <c r="F40" s="30" t="str">
        <f aca="false">IF(COUNTIF($I$8:$I$15,"X")&lt;&gt;1,"",IF(INDEX(N8:N15,MATCH("X",I8:I15,0))="","",IF(AND(INDEX(N8:N15,MATCH("X",I8:I15,0))&gt;=250000,INDEX(N8:N15,MATCH("X",I8:I15,0))&lt;=600000),"OK — within deck SOM range","CHECK — implied SAM revenue outside the deck stated SOM range; reconcile before reusing the slide")))</f>
        <v/>
      </c>
      <c r="G40" s="30"/>
      <c r="H40" s="30"/>
      <c r="I40" s="30"/>
      <c r="J40" s="30"/>
      <c r="K40" s="30"/>
      <c r="L40" s="30"/>
      <c r="M40" s="30"/>
      <c r="N40" s="30"/>
    </row>
  </sheetData>
  <mergeCells count="29">
    <mergeCell ref="A1:H1"/>
    <mergeCell ref="A2:H2"/>
    <mergeCell ref="A3:H3"/>
    <mergeCell ref="A16:H16"/>
    <mergeCell ref="I17:N19"/>
    <mergeCell ref="C19:G19"/>
    <mergeCell ref="C20:G20"/>
    <mergeCell ref="C21:G21"/>
    <mergeCell ref="C22:G22"/>
    <mergeCell ref="C23:G23"/>
    <mergeCell ref="C24:G24"/>
    <mergeCell ref="B27:H27"/>
    <mergeCell ref="B28:E28"/>
    <mergeCell ref="G28:H28"/>
    <mergeCell ref="A31:N31"/>
    <mergeCell ref="A32:N32"/>
    <mergeCell ref="A33:N33"/>
    <mergeCell ref="A35:E35"/>
    <mergeCell ref="F35:N35"/>
    <mergeCell ref="A36:E36"/>
    <mergeCell ref="F36:N36"/>
    <mergeCell ref="A37:E37"/>
    <mergeCell ref="F37:N37"/>
    <mergeCell ref="A38:E38"/>
    <mergeCell ref="F38:N38"/>
    <mergeCell ref="A39:E39"/>
    <mergeCell ref="F39:N39"/>
    <mergeCell ref="A40:E40"/>
    <mergeCell ref="F40:N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2026-07-18T16:07:33Z</dcterms:created>
  <dc:creator>openpyxl</dc:creator>
  <dc:description/>
  <dc:language>en-US</dc:language>
  <cp:lastModifiedBy/>
  <dcterms:modified xsi:type="dcterms:W3CDTF">2026-09-21T14:59:46Z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