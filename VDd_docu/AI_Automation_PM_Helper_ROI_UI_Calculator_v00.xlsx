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2937"/>
      <sz val="12"/>
    </font>
    <font>
      <name val="Segoe UI"/>
      <b val="1"/>
      <color rgb="004B5563"/>
      <sz val="11"/>
    </font>
    <font>
      <name val="Segoe UI"/>
      <color rgb="00374151"/>
      <sz val="11"/>
    </font>
    <font>
      <name val="Segoe UI"/>
      <b val="1"/>
      <color rgb="00374151"/>
      <sz val="12"/>
    </font>
    <font>
      <name val="Segoe UI"/>
      <b val="1"/>
      <sz val="12"/>
    </font>
    <font>
      <name val="Segoe U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2563EB"/>
        <bgColor rgb="002563EB"/>
      </patternFill>
    </fill>
    <fill>
      <patternFill patternType="solid">
        <fgColor rgb="00E5E7EB"/>
        <bgColor rgb="00E5E7EB"/>
      </patternFill>
    </fill>
    <fill>
      <patternFill patternType="solid">
        <fgColor rgb="00FEF08A"/>
        <bgColor rgb="00FEF08A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4" borderId="0" applyAlignment="1" pivotButton="0" quotePrefix="0" xfId="0">
      <alignment vertical="center"/>
    </xf>
    <xf numFmtId="0" fontId="0" fillId="3" borderId="0" pivotButton="0" quotePrefix="0" xfId="0"/>
    <xf numFmtId="0" fontId="2" fillId="5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horizontal="right" vertical="center"/>
    </xf>
    <xf numFmtId="3" fontId="4" fillId="6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4" fontId="4" fillId="3" borderId="1" applyAlignment="1" pivotButton="0" quotePrefix="0" xfId="0">
      <alignment horizontal="center" vertical="center"/>
    </xf>
    <xf numFmtId="0" fontId="3" fillId="3" borderId="0" pivotButton="0" quotePrefix="0" xfId="0"/>
    <xf numFmtId="0" fontId="5" fillId="3" borderId="0" applyAlignment="1" pivotButton="0" quotePrefix="0" xfId="0">
      <alignment horizontal="right" vertical="center"/>
    </xf>
    <xf numFmtId="4" fontId="6" fillId="3" borderId="1" applyAlignment="1" pivotButton="0" quotePrefix="0" xfId="0">
      <alignment horizontal="center" vertical="center"/>
    </xf>
    <xf numFmtId="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 xml:space="preserve">   ROI Automation Calculator</t>
        </is>
      </c>
      <c r="E2" s="1" t="n"/>
      <c r="F2" s="1" t="n"/>
      <c r="G2" s="1" t="n"/>
    </row>
    <row r="3">
      <c r="A3" s="1" t="n"/>
      <c r="E3" s="1" t="n"/>
      <c r="F3" s="1" t="n"/>
      <c r="G3" s="1" t="n"/>
    </row>
    <row r="4">
      <c r="A4" s="1" t="n"/>
      <c r="B4" s="3" t="n"/>
      <c r="C4" s="3" t="n"/>
      <c r="D4" s="3" t="n"/>
      <c r="E4" s="1" t="n"/>
      <c r="F4" s="1" t="n"/>
      <c r="G4" s="1" t="n"/>
    </row>
    <row r="5">
      <c r="A5" s="1" t="n"/>
      <c r="B5" s="4" t="inlineStr">
        <is>
          <t xml:space="preserve"> 1. CLIENT INPUTS</t>
        </is>
      </c>
      <c r="E5" s="1" t="n"/>
      <c r="F5" s="1" t="n"/>
      <c r="G5" s="1" t="n"/>
    </row>
    <row r="6">
      <c r="A6" s="1" t="n"/>
      <c r="B6" s="3" t="n"/>
      <c r="C6" s="3" t="n"/>
      <c r="D6" s="3" t="n"/>
      <c r="E6" s="1" t="n"/>
      <c r="F6" s="1" t="n"/>
      <c r="G6" s="1" t="n"/>
    </row>
    <row r="7">
      <c r="A7" s="1" t="n"/>
      <c r="B7" s="5" t="inlineStr">
        <is>
          <t>Hard ROI: Time Savings</t>
        </is>
      </c>
      <c r="C7" s="3" t="n"/>
      <c r="D7" s="3" t="n"/>
      <c r="E7" s="1" t="n"/>
      <c r="F7" s="1" t="n"/>
      <c r="G7" s="1" t="n"/>
    </row>
    <row r="8">
      <c r="A8" s="1" t="n"/>
      <c r="B8" s="6" t="inlineStr">
        <is>
          <t>Employees Involved</t>
        </is>
      </c>
      <c r="C8" s="7" t="n">
        <v>2</v>
      </c>
      <c r="D8" s="8" t="inlineStr">
        <is>
          <t xml:space="preserve"> people</t>
        </is>
      </c>
      <c r="E8" s="1" t="n"/>
      <c r="F8" s="1" t="n"/>
      <c r="G8" s="1" t="n"/>
    </row>
    <row r="9">
      <c r="A9" s="1" t="n"/>
      <c r="B9" s="6" t="inlineStr">
        <is>
          <t>Hours Lost / Week</t>
        </is>
      </c>
      <c r="C9" s="7" t="n">
        <v>5</v>
      </c>
      <c r="D9" s="8" t="inlineStr">
        <is>
          <t xml:space="preserve"> hours/week</t>
        </is>
      </c>
      <c r="E9" s="1" t="n"/>
      <c r="F9" s="1" t="n"/>
      <c r="G9" s="1" t="n"/>
    </row>
    <row r="10">
      <c r="A10" s="1" t="n"/>
      <c r="B10" s="6" t="inlineStr">
        <is>
          <t>Hourly Rate (Gross)</t>
        </is>
      </c>
      <c r="C10" s="7" t="n">
        <v>100</v>
      </c>
      <c r="D10" s="8" t="inlineStr">
        <is>
          <t xml:space="preserve"> CHF / hr</t>
        </is>
      </c>
      <c r="E10" s="1" t="n"/>
      <c r="F10" s="1" t="n"/>
      <c r="G10" s="1" t="n"/>
    </row>
    <row r="11">
      <c r="A11" s="1" t="n"/>
      <c r="B11" s="3" t="n"/>
      <c r="C11" s="3" t="n"/>
      <c r="D11" s="3" t="n"/>
      <c r="E11" s="1" t="n"/>
      <c r="F11" s="1" t="n"/>
      <c r="G11" s="1" t="n"/>
    </row>
    <row r="12">
      <c r="A12" s="1" t="n"/>
      <c r="B12" s="5" t="inlineStr">
        <is>
          <t>Hard ROI: Error Reduction</t>
        </is>
      </c>
      <c r="C12" s="3" t="n"/>
      <c r="D12" s="3" t="n"/>
      <c r="E12" s="1" t="n"/>
      <c r="F12" s="1" t="n"/>
      <c r="G12" s="1" t="n"/>
    </row>
    <row r="13">
      <c r="A13" s="1" t="n"/>
      <c r="B13" s="6" t="inlineStr">
        <is>
          <t>Mistakes / Week</t>
        </is>
      </c>
      <c r="C13" s="7" t="n">
        <v>5</v>
      </c>
      <c r="D13" s="8" t="inlineStr">
        <is>
          <t xml:space="preserve"> mistakes/week</t>
        </is>
      </c>
      <c r="E13" s="1" t="n"/>
      <c r="F13" s="1" t="n"/>
      <c r="G13" s="1" t="n"/>
    </row>
    <row r="14">
      <c r="A14" s="1" t="n"/>
      <c r="B14" s="6" t="inlineStr">
        <is>
          <t>Cost per Mistake</t>
        </is>
      </c>
      <c r="C14" s="7" t="n">
        <v>200</v>
      </c>
      <c r="D14" s="8" t="inlineStr">
        <is>
          <t xml:space="preserve"> CHF / mistake</t>
        </is>
      </c>
      <c r="E14" s="1" t="n"/>
      <c r="F14" s="1" t="n"/>
      <c r="G14" s="1" t="n"/>
    </row>
    <row r="15">
      <c r="A15" s="1" t="n"/>
      <c r="B15" s="3" t="n"/>
      <c r="C15" s="3" t="n"/>
      <c r="D15" s="3" t="n"/>
      <c r="E15" s="1" t="n"/>
      <c r="F15" s="1" t="n"/>
      <c r="G15" s="1" t="n"/>
    </row>
    <row r="16">
      <c r="A16" s="1" t="n"/>
      <c r="B16" s="5" t="inlineStr">
        <is>
          <t>Soft ROI: Lost Revenue</t>
        </is>
      </c>
      <c r="C16" s="3" t="n"/>
      <c r="D16" s="3" t="n"/>
      <c r="E16" s="1" t="n"/>
      <c r="F16" s="1" t="n"/>
      <c r="G16" s="1" t="n"/>
    </row>
    <row r="17">
      <c r="A17" s="1" t="n"/>
      <c r="B17" s="6" t="inlineStr">
        <is>
          <t>Lost Leads / Month</t>
        </is>
      </c>
      <c r="C17" s="7" t="n">
        <v>10</v>
      </c>
      <c r="D17" s="8" t="inlineStr">
        <is>
          <t xml:space="preserve"> leads/month</t>
        </is>
      </c>
      <c r="E17" s="1" t="n"/>
      <c r="F17" s="1" t="n"/>
      <c r="G17" s="1" t="n"/>
    </row>
    <row r="18">
      <c r="A18" s="1" t="n"/>
      <c r="B18" s="6" t="inlineStr">
        <is>
          <t>Avg Value per Lead</t>
        </is>
      </c>
      <c r="C18" s="7" t="n">
        <v>1500</v>
      </c>
      <c r="D18" s="8" t="inlineStr">
        <is>
          <t xml:space="preserve"> CHF / lead</t>
        </is>
      </c>
      <c r="E18" s="1" t="n"/>
      <c r="F18" s="1" t="n"/>
      <c r="G18" s="1" t="n"/>
    </row>
    <row r="19">
      <c r="A19" s="1" t="n"/>
      <c r="B19" s="3" t="n"/>
      <c r="C19" s="3" t="n"/>
      <c r="D19" s="3" t="n"/>
      <c r="E19" s="1" t="n"/>
      <c r="F19" s="1" t="n"/>
      <c r="G19" s="1" t="n"/>
    </row>
    <row r="20">
      <c r="A20" s="1" t="n"/>
      <c r="B20" s="5" t="inlineStr">
        <is>
          <t>Investment Details</t>
        </is>
      </c>
      <c r="C20" s="3" t="n"/>
      <c r="D20" s="3" t="n"/>
      <c r="E20" s="1" t="n"/>
      <c r="F20" s="1" t="n"/>
      <c r="G20" s="1" t="n"/>
    </row>
    <row r="21">
      <c r="A21" s="1" t="n"/>
      <c r="B21" s="6" t="inlineStr">
        <is>
          <t>One-Time Automation Cost</t>
        </is>
      </c>
      <c r="C21" s="7" t="n">
        <v>20000</v>
      </c>
      <c r="D21" s="8" t="inlineStr">
        <is>
          <t xml:space="preserve"> CHF total</t>
        </is>
      </c>
      <c r="E21" s="1" t="n"/>
      <c r="F21" s="1" t="n"/>
      <c r="G21" s="1" t="n"/>
    </row>
    <row r="22">
      <c r="A22" s="1" t="n"/>
      <c r="B22" s="3" t="n"/>
      <c r="C22" s="3" t="n"/>
      <c r="D22" s="3" t="n"/>
      <c r="E22" s="1" t="n"/>
      <c r="F22" s="1" t="n"/>
      <c r="G22" s="1" t="n"/>
    </row>
    <row r="23">
      <c r="A23" s="1" t="n"/>
      <c r="B23" s="4" t="inlineStr">
        <is>
          <t xml:space="preserve"> 2. CALCULATED ROI</t>
        </is>
      </c>
      <c r="E23" s="1" t="n"/>
      <c r="F23" s="1" t="n"/>
      <c r="G23" s="1" t="n"/>
    </row>
    <row r="24">
      <c r="A24" s="1" t="n"/>
      <c r="B24" s="3" t="n"/>
      <c r="C24" s="3" t="n"/>
      <c r="D24" s="3" t="n"/>
      <c r="E24" s="1" t="n"/>
      <c r="F24" s="1" t="n"/>
      <c r="G24" s="1" t="n"/>
    </row>
    <row r="25">
      <c r="A25" s="1" t="n"/>
      <c r="B25" s="9" t="inlineStr">
        <is>
          <t>Monthly Cost of Time</t>
        </is>
      </c>
      <c r="C25" s="10">
        <f>C8*C9*C10*4</f>
        <v/>
      </c>
      <c r="D25" s="11" t="inlineStr">
        <is>
          <t xml:space="preserve"> CHF</t>
        </is>
      </c>
      <c r="E25" s="1" t="n"/>
      <c r="F25" s="1" t="n"/>
      <c r="G25" s="1" t="n"/>
    </row>
    <row r="26">
      <c r="A26" s="1" t="n"/>
      <c r="B26" s="9" t="inlineStr">
        <is>
          <t>Monthly Cost of Errors</t>
        </is>
      </c>
      <c r="C26" s="10">
        <f>C13*C14*4</f>
        <v/>
      </c>
      <c r="D26" s="11" t="inlineStr">
        <is>
          <t xml:space="preserve"> CHF</t>
        </is>
      </c>
      <c r="E26" s="1" t="n"/>
      <c r="F26" s="1" t="n"/>
      <c r="G26" s="1" t="n"/>
    </row>
    <row r="27">
      <c r="A27" s="1" t="n"/>
      <c r="B27" s="9" t="inlineStr">
        <is>
          <t>Monthly Lost Revenue</t>
        </is>
      </c>
      <c r="C27" s="10">
        <f>C17*C18</f>
        <v/>
      </c>
      <c r="D27" s="11" t="inlineStr">
        <is>
          <t xml:space="preserve"> CHF</t>
        </is>
      </c>
      <c r="E27" s="1" t="n"/>
      <c r="F27" s="1" t="n"/>
      <c r="G27" s="1" t="n"/>
    </row>
    <row r="28">
      <c r="A28" s="1" t="n"/>
      <c r="B28" s="12" t="inlineStr">
        <is>
          <t>Total Monthly Cost of Inaction</t>
        </is>
      </c>
      <c r="C28" s="13">
        <f>SUM(C25:C27)</f>
        <v/>
      </c>
      <c r="D28" s="11" t="inlineStr">
        <is>
          <t xml:space="preserve"> CHF</t>
        </is>
      </c>
      <c r="E28" s="1" t="n"/>
      <c r="F28" s="1" t="n"/>
      <c r="G28" s="1" t="n"/>
    </row>
    <row r="29">
      <c r="A29" s="1" t="n"/>
      <c r="B29" s="12" t="inlineStr">
        <is>
          <t>Annual Benefit Generated</t>
        </is>
      </c>
      <c r="C29" s="14">
        <f>C28*12</f>
        <v/>
      </c>
      <c r="D29" s="11" t="inlineStr">
        <is>
          <t xml:space="preserve"> CHF</t>
        </is>
      </c>
      <c r="E29" s="1" t="n"/>
      <c r="F29" s="1" t="n"/>
      <c r="G29" s="1" t="n"/>
    </row>
    <row r="30">
      <c r="A30" s="1" t="n"/>
      <c r="B30" s="12" t="inlineStr">
        <is>
          <t>Payback Period (Months)</t>
        </is>
      </c>
      <c r="C30" s="15">
        <f>C21/C28</f>
        <v/>
      </c>
      <c r="D30" s="11" t="inlineStr">
        <is>
          <t xml:space="preserve"> Months</t>
        </is>
      </c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</sheetData>
  <mergeCells count="3">
    <mergeCell ref="B2:D3"/>
    <mergeCell ref="B23:D23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2026-04-12T20:01:55Z</dcterms:created>
  <dcterms:modified xmlns:dcterms="http://purl.org/dc/terms/" xmlns:xsi="http://www.w3.org/2001/XMLSchema-instance" xsi:type="dcterms:W3CDTF">2026-04-12T20:01:55Z</dcterms:modified>
</cp:coreProperties>
</file>