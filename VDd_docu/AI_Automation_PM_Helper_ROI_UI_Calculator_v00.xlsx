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s/Documents/_VORTEXDEEP/VD_docu/VDd_docu/"/>
    </mc:Choice>
  </mc:AlternateContent>
  <xr:revisionPtr revIDLastSave="0" documentId="13_ncr:1_{4277B050-3C73-1441-9106-7E91D386FC1D}" xr6:coauthVersionLast="47" xr6:coauthVersionMax="47" xr10:uidLastSave="{00000000-0000-0000-0000-000000000000}"/>
  <bookViews>
    <workbookView xWindow="0" yWindow="660" windowWidth="15900" windowHeight="20340" xr2:uid="{00000000-000D-0000-FFFF-FFFF00000000}"/>
  </bookViews>
  <sheets>
    <sheet name="ROI App v03" sheetId="4" r:id="rId1"/>
    <sheet name="ROI App v02" sheetId="3" r:id="rId2"/>
    <sheet name="ROI App_v01" sheetId="2" r:id="rId3"/>
    <sheet name="ROI App_v00" sheetId="1" r:id="rId4"/>
  </sheets>
  <externalReferences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4" l="1"/>
  <c r="G43" i="4"/>
  <c r="C43" i="4"/>
  <c r="J32" i="4"/>
  <c r="G32" i="4"/>
  <c r="J29" i="4"/>
  <c r="G29" i="4"/>
  <c r="C29" i="4"/>
  <c r="J28" i="4"/>
  <c r="J30" i="4" s="1"/>
  <c r="J27" i="4"/>
  <c r="G27" i="4"/>
  <c r="C27" i="4"/>
  <c r="J26" i="4"/>
  <c r="G26" i="4"/>
  <c r="C26" i="4"/>
  <c r="C28" i="4" s="1"/>
  <c r="J25" i="4"/>
  <c r="G25" i="4"/>
  <c r="G28" i="4" s="1"/>
  <c r="C25" i="4"/>
  <c r="C21" i="4"/>
  <c r="C20" i="4"/>
  <c r="C32" i="4" s="1"/>
  <c r="G32" i="3"/>
  <c r="C32" i="3"/>
  <c r="G29" i="3"/>
  <c r="C29" i="3"/>
  <c r="G27" i="3"/>
  <c r="C27" i="3"/>
  <c r="G26" i="3"/>
  <c r="G28" i="3" s="1"/>
  <c r="G30" i="3" s="1"/>
  <c r="C26" i="3"/>
  <c r="C28" i="3" s="1"/>
  <c r="C30" i="3" s="1"/>
  <c r="G25" i="3"/>
  <c r="C25" i="3"/>
  <c r="G29" i="2"/>
  <c r="C29" i="2"/>
  <c r="G27" i="2"/>
  <c r="C27" i="2"/>
  <c r="G26" i="2"/>
  <c r="C26" i="2"/>
  <c r="G25" i="2"/>
  <c r="G28" i="2" s="1"/>
  <c r="G30" i="2" s="1"/>
  <c r="C25" i="2"/>
  <c r="C28" i="2" s="1"/>
  <c r="C30" i="2" s="1"/>
  <c r="C27" i="1"/>
  <c r="C26" i="1"/>
  <c r="C25" i="1"/>
  <c r="C28" i="1" s="1"/>
  <c r="J31" i="4" l="1"/>
  <c r="J34" i="4" s="1"/>
  <c r="J33" i="4"/>
  <c r="J35" i="4"/>
  <c r="G30" i="4"/>
  <c r="G38" i="4"/>
  <c r="G39" i="4" s="1"/>
  <c r="C30" i="4"/>
  <c r="C35" i="4" s="1"/>
  <c r="C38" i="4"/>
  <c r="C39" i="4" s="1"/>
  <c r="J38" i="4"/>
  <c r="J39" i="4" s="1"/>
  <c r="C35" i="3"/>
  <c r="C33" i="3"/>
  <c r="C31" i="3"/>
  <c r="C34" i="3" s="1"/>
  <c r="G35" i="3"/>
  <c r="G31" i="3"/>
  <c r="G33" i="3"/>
  <c r="G34" i="3"/>
  <c r="C33" i="2"/>
  <c r="C32" i="2"/>
  <c r="C31" i="2"/>
  <c r="G33" i="2"/>
  <c r="G32" i="2"/>
  <c r="G31" i="2"/>
  <c r="C30" i="1"/>
  <c r="C29" i="1"/>
  <c r="G35" i="4" l="1"/>
  <c r="G31" i="4"/>
  <c r="G34" i="4" s="1"/>
  <c r="G33" i="4"/>
  <c r="C31" i="4"/>
  <c r="C34" i="4" s="1"/>
  <c r="C33" i="4"/>
</calcChain>
</file>

<file path=xl/sharedStrings.xml><?xml version="1.0" encoding="utf-8"?>
<sst xmlns="http://schemas.openxmlformats.org/spreadsheetml/2006/main" count="289" uniqueCount="86">
  <si>
    <t xml:space="preserve">   ROI Automation Calculator</t>
  </si>
  <si>
    <t xml:space="preserve"> 1. CLIENT INPUTS</t>
  </si>
  <si>
    <t>Hard ROI: Time Savings</t>
  </si>
  <si>
    <t>Employees Involved</t>
  </si>
  <si>
    <t xml:space="preserve"> people</t>
  </si>
  <si>
    <t>Hours Lost / Week</t>
  </si>
  <si>
    <t xml:space="preserve"> hours/week</t>
  </si>
  <si>
    <t>Hourly Rate (Gross)</t>
  </si>
  <si>
    <t xml:space="preserve"> CHF / hr</t>
  </si>
  <si>
    <t>Hard ROI: Error Reduction</t>
  </si>
  <si>
    <t>Mistakes / Week</t>
  </si>
  <si>
    <t xml:space="preserve"> mistakes/week</t>
  </si>
  <si>
    <t>Cost per Mistake</t>
  </si>
  <si>
    <t xml:space="preserve"> CHF / mistake</t>
  </si>
  <si>
    <t>Soft ROI: Lost Revenue</t>
  </si>
  <si>
    <t>Lost Leads / Month</t>
  </si>
  <si>
    <t xml:space="preserve"> leads/month</t>
  </si>
  <si>
    <t>Avg Value per Lead</t>
  </si>
  <si>
    <t xml:space="preserve"> CHF / lead</t>
  </si>
  <si>
    <t>Investment Details</t>
  </si>
  <si>
    <t>One-Time Automation Cost</t>
  </si>
  <si>
    <t xml:space="preserve"> CHF total</t>
  </si>
  <si>
    <t xml:space="preserve"> 2. CALCULATED ROI</t>
  </si>
  <si>
    <t>Monthly Cost of Time</t>
  </si>
  <si>
    <t xml:space="preserve"> CHF</t>
  </si>
  <si>
    <t>Monthly Cost of Errors</t>
  </si>
  <si>
    <t>Monthly Lost Revenue</t>
  </si>
  <si>
    <t>Total Monthly Cost of Inaction</t>
  </si>
  <si>
    <t>Annual Benefit Generated</t>
  </si>
  <si>
    <t>Payback Period (Months)</t>
  </si>
  <si>
    <t xml:space="preserve"> Months</t>
  </si>
  <si>
    <t>Field</t>
  </si>
  <si>
    <t>Value</t>
  </si>
  <si>
    <t>Unit / Notes</t>
  </si>
  <si>
    <t>MGREDSHIFT</t>
  </si>
  <si>
    <t>Hard ROI — Time Savings</t>
  </si>
  <si>
    <t>people</t>
  </si>
  <si>
    <t>hours / week</t>
  </si>
  <si>
    <t>CHF / hour</t>
  </si>
  <si>
    <t>Hard ROI — Error Reduction</t>
  </si>
  <si>
    <t>mistakes / week</t>
  </si>
  <si>
    <t>CHF / mistake</t>
  </si>
  <si>
    <t>Soft ROI — Lost Revenue</t>
  </si>
  <si>
    <t>leads / month</t>
  </si>
  <si>
    <t>CHF / lead</t>
  </si>
  <si>
    <t>Investment &amp; Ongoing Costs</t>
  </si>
  <si>
    <t>One-Time Setup Cost</t>
  </si>
  <si>
    <t>CHF total</t>
  </si>
  <si>
    <t>Monthly Managed AI Ops Cost</t>
  </si>
  <si>
    <t>CHF / month — paste from Quote Calculator C39 (Recommended monthly quote)</t>
  </si>
  <si>
    <t>CHF / month</t>
  </si>
  <si>
    <t>ROI</t>
  </si>
  <si>
    <t>CHF</t>
  </si>
  <si>
    <t>Monthly Gross Benefit</t>
  </si>
  <si>
    <t>CHF — cost of inaction</t>
  </si>
  <si>
    <t>(−) Monthly Managed AI Ops</t>
  </si>
  <si>
    <t>Net Monthly Benefit</t>
  </si>
  <si>
    <t>Annual Net Benefit</t>
  </si>
  <si>
    <t>Payback Period</t>
  </si>
  <si>
    <t>Months</t>
  </si>
  <si>
    <t>First-Year Net ROI</t>
  </si>
  <si>
    <t>% (over Year 1)</t>
  </si>
  <si>
    <t>Tip: Monthly Managed AI Ops (C20) should match 'Recommended monthly quote' from the Quote Calculator tab (cell C39). Yellow = edit, light blue = calculated.</t>
  </si>
  <si>
    <t>Total Year 1 Investment</t>
  </si>
  <si>
    <t>CHF — setup + 12× monthly managed</t>
  </si>
  <si>
    <t>% — net Y1 return ÷ total Y1 investment (setup + 12× monthly)</t>
  </si>
  <si>
    <t>%</t>
  </si>
  <si>
    <t>Year 2+ Annual ROI</t>
  </si>
  <si>
    <t>Tip: Monthly Managed AI Ops (C20) should match 'Recommended monthly quote' from Quote Calculator tab. First-Year Net ROI divides by total Year 1 spend (setup + 12× monthly). Year 2+ ROI shows the recurring return once setup is fully amortised.</t>
  </si>
  <si>
    <t>CASE STUDY</t>
  </si>
  <si>
    <t>MG1</t>
  </si>
  <si>
    <t>MG2</t>
  </si>
  <si>
    <t>CHF total — live-linked to Quote Calculator F39 (Recommended setup quote). Overtype with a fixed number to freeze a scenario.</t>
  </si>
  <si>
    <t>CHF / month — live-linked to Quote Calculator F40 (Recommended monthly quote). Overtype with a fixed number to freeze a scenario.</t>
  </si>
  <si>
    <t xml:space="preserve"> 3. NEGOTIATION VIEW</t>
  </si>
  <si>
    <t>Value Ceiling (monthly)</t>
  </si>
  <si>
    <t>CHF/month — max fee where client still breaks even in Year 1</t>
  </si>
  <si>
    <t>CHF/month</t>
  </si>
  <si>
    <t>Headroom — value kept by client</t>
  </si>
  <si>
    <t>CHF/month below the ceiling. Use this when client says fee is high.</t>
  </si>
  <si>
    <t>Staffing alternative comparison</t>
  </si>
  <si>
    <t>Equiv. manual staffing cost</t>
  </si>
  <si>
    <t>CHF/month — est. cost of person doing this manually. Rule of thumb CH: CHF 70k salary ≈ CHF 8,300/month fully loaded. Even 1 day/week ≈ CHF 2,000+.</t>
  </si>
  <si>
    <t>Automation saving vs. staffing</t>
  </si>
  <si>
    <t>CHF/month saved vs. hiring. Negative = staffing is cheaper.</t>
  </si>
  <si>
    <t>Talking point — monthly fee objection: "Think of it like Krankenkasse. The best months are the ones where you never needed to call us. That's not money wasted — that's the system working. You pay for the guarantee of continuity, not for the number of incidents. And unlike Krankenkasse, here you can calculate the return."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</si>
</sst>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5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12"/>
      <color rgb="FF1F2937"/>
      <name val="Segoe UI"/>
    </font>
    <font>
      <b/>
      <sz val="11"/>
      <color rgb="FF4B5563"/>
      <name val="Segoe UI"/>
    </font>
    <font>
      <sz val="11"/>
      <color rgb="FF374151"/>
      <name val="Segoe UI"/>
    </font>
    <font>
      <b/>
      <sz val="12"/>
      <color rgb="FF374151"/>
      <name val="Segoe UI"/>
    </font>
    <font>
      <b/>
      <sz val="12"/>
      <name val="Segoe UI"/>
    </font>
    <font>
      <b/>
      <sz val="12"/>
      <color rgb="FFFFFFFF"/>
      <name val="Segoe UI"/>
    </font>
    <font>
      <sz val="11"/>
      <name val="Segoe UI"/>
      <charset val="1"/>
    </font>
    <font>
      <b/>
      <sz val="16"/>
      <color rgb="FFFFFFFF"/>
      <name val="Segoe UI"/>
      <charset val="1"/>
    </font>
    <font>
      <b/>
      <sz val="11"/>
      <color rgb="FFFFFFFF"/>
      <name val="Segoe UI"/>
      <charset val="1"/>
    </font>
    <font>
      <b/>
      <sz val="12"/>
      <color rgb="FF1F2937"/>
      <name val="Segoe UI"/>
      <charset val="1"/>
    </font>
    <font>
      <b/>
      <sz val="11"/>
      <name val="Segoe UI"/>
      <charset val="1"/>
    </font>
    <font>
      <b/>
      <sz val="11"/>
      <color rgb="FF4B5563"/>
      <name val="Segoe UI"/>
      <charset val="1"/>
    </font>
    <font>
      <sz val="11"/>
      <color rgb="FF374151"/>
      <name val="Segoe UI"/>
      <charset val="1"/>
    </font>
    <font>
      <sz val="11"/>
      <color rgb="FF4B5563"/>
      <name val="Segoe UI"/>
      <charset val="1"/>
    </font>
    <font>
      <b/>
      <sz val="11"/>
      <color rgb="FFFF0000"/>
      <name val="Segoe UI"/>
      <charset val="1"/>
    </font>
    <font>
      <sz val="11"/>
      <color rgb="FFB91C1C"/>
      <name val="Segoe UI"/>
      <charset val="1"/>
    </font>
    <font>
      <b/>
      <sz val="12"/>
      <color rgb="FF374151"/>
      <name val="Segoe UI"/>
      <charset val="1"/>
    </font>
    <font>
      <b/>
      <sz val="12"/>
      <color rgb="FFFFFFFF"/>
      <name val="Segoe UI"/>
      <charset val="1"/>
    </font>
    <font>
      <sz val="10"/>
      <color rgb="FF4B5563"/>
      <name val="Segoe UI"/>
      <charset val="1"/>
    </font>
    <font>
      <sz val="11"/>
      <color rgb="FF000000"/>
      <name val="Calibri"/>
      <family val="2"/>
      <charset val="1"/>
    </font>
    <font>
      <i/>
      <sz val="11"/>
      <color rgb="FF000000"/>
      <name val="Calibri"/>
      <family val="2"/>
      <charset val="1"/>
    </font>
    <font>
      <i/>
      <sz val="10"/>
      <color rgb="FF374151"/>
      <name val="Calibri"/>
      <family val="2"/>
      <charset val="1"/>
    </font>
    <font>
      <i/>
      <sz val="1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3F4F6"/>
        <bgColor rgb="FFF3F4F6"/>
      </patternFill>
    </fill>
    <fill>
      <patternFill patternType="solid">
        <fgColor rgb="FFFFFFFF"/>
        <bgColor rgb="FFFFFFFF"/>
      </patternFill>
    </fill>
    <fill>
      <patternFill patternType="solid">
        <fgColor rgb="FF2563EB"/>
        <bgColor rgb="FF2563EB"/>
      </patternFill>
    </fill>
    <fill>
      <patternFill patternType="solid">
        <fgColor rgb="FFE5E7EB"/>
        <bgColor rgb="FFE5E7EB"/>
      </patternFill>
    </fill>
    <fill>
      <patternFill patternType="solid">
        <fgColor rgb="FFFEF08A"/>
        <bgColor rgb="FFFEF08A"/>
      </patternFill>
    </fill>
    <fill>
      <patternFill patternType="solid">
        <fgColor rgb="FF10B981"/>
        <bgColor rgb="FF10B981"/>
      </patternFill>
    </fill>
    <fill>
      <patternFill patternType="solid">
        <fgColor rgb="FFF3F4F6"/>
        <bgColor rgb="FFF1F5F9"/>
      </patternFill>
    </fill>
    <fill>
      <patternFill patternType="solid">
        <fgColor rgb="FF2563EB"/>
        <bgColor rgb="FF0070C0"/>
      </patternFill>
    </fill>
    <fill>
      <patternFill patternType="solid">
        <fgColor rgb="FF0F766E"/>
        <bgColor rgb="FF1F6F6F"/>
      </patternFill>
    </fill>
    <fill>
      <patternFill patternType="solid">
        <fgColor rgb="FFE5E7EB"/>
        <bgColor rgb="FFE6E6E6"/>
      </patternFill>
    </fill>
    <fill>
      <patternFill patternType="solid">
        <fgColor rgb="FFF2F2F2"/>
        <bgColor rgb="FFF3F4F6"/>
      </patternFill>
    </fill>
    <fill>
      <patternFill patternType="solid">
        <fgColor rgb="FFFFFFFF"/>
        <bgColor rgb="FFF1F5F9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CEAF7"/>
      </patternFill>
    </fill>
    <fill>
      <patternFill patternType="solid">
        <fgColor rgb="FFE0F2FE"/>
        <bgColor rgb="FFDBEAFE"/>
      </patternFill>
    </fill>
    <fill>
      <patternFill patternType="solid">
        <fgColor rgb="FF10B981"/>
        <bgColor rgb="FF0F766E"/>
      </patternFill>
    </fill>
    <fill>
      <patternFill patternType="solid">
        <fgColor rgb="FFFEF9C3"/>
        <bgColor rgb="FFFEF3C7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3" fillId="3" borderId="0" xfId="0" applyFont="1" applyFill="1" applyAlignment="1">
      <alignment vertical="center"/>
    </xf>
    <xf numFmtId="0" fontId="4" fillId="3" borderId="0" xfId="0" applyFont="1" applyFill="1" applyAlignment="1">
      <alignment horizontal="right" vertical="center"/>
    </xf>
    <xf numFmtId="3" fontId="4" fillId="6" borderId="1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right" vertical="center"/>
    </xf>
    <xf numFmtId="4" fontId="4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/>
    <xf numFmtId="0" fontId="5" fillId="3" borderId="0" xfId="0" applyFont="1" applyFill="1" applyAlignment="1">
      <alignment horizontal="right" vertical="center"/>
    </xf>
    <xf numFmtId="4" fontId="6" fillId="3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0" fillId="0" borderId="0" xfId="0"/>
    <xf numFmtId="0" fontId="2" fillId="5" borderId="0" xfId="0" applyFont="1" applyFill="1" applyAlignment="1">
      <alignment vertical="center"/>
    </xf>
    <xf numFmtId="0" fontId="8" fillId="8" borderId="0" xfId="0" applyFont="1" applyFill="1"/>
    <xf numFmtId="0" fontId="8" fillId="0" borderId="0" xfId="0" applyFont="1"/>
    <xf numFmtId="0" fontId="9" fillId="9" borderId="0" xfId="0" applyFont="1" applyFill="1" applyAlignment="1">
      <alignment vertical="center"/>
    </xf>
    <xf numFmtId="0" fontId="10" fillId="10" borderId="0" xfId="0" applyFont="1" applyFill="1" applyAlignment="1">
      <alignment horizontal="left" vertical="center"/>
    </xf>
    <xf numFmtId="0" fontId="11" fillId="11" borderId="0" xfId="0" applyFont="1" applyFill="1" applyAlignment="1">
      <alignment horizontal="left" vertical="center"/>
    </xf>
    <xf numFmtId="0" fontId="12" fillId="12" borderId="0" xfId="0" applyFont="1" applyFill="1"/>
    <xf numFmtId="0" fontId="8" fillId="12" borderId="0" xfId="0" applyFont="1" applyFill="1"/>
    <xf numFmtId="0" fontId="13" fillId="13" borderId="0" xfId="0" applyFont="1" applyFill="1" applyAlignment="1">
      <alignment horizontal="left" vertical="center"/>
    </xf>
    <xf numFmtId="0" fontId="8" fillId="13" borderId="0" xfId="0" applyFont="1" applyFill="1"/>
    <xf numFmtId="0" fontId="14" fillId="13" borderId="0" xfId="0" applyFont="1" applyFill="1" applyAlignment="1">
      <alignment horizontal="left" vertical="center"/>
    </xf>
    <xf numFmtId="3" fontId="14" fillId="14" borderId="0" xfId="0" applyNumberFormat="1" applyFont="1" applyFill="1" applyAlignment="1">
      <alignment horizontal="right" vertical="center"/>
    </xf>
    <xf numFmtId="0" fontId="15" fillId="13" borderId="0" xfId="0" applyFont="1" applyFill="1" applyAlignment="1">
      <alignment horizontal="left" vertical="center"/>
    </xf>
    <xf numFmtId="3" fontId="14" fillId="15" borderId="0" xfId="0" applyNumberFormat="1" applyFont="1" applyFill="1" applyAlignment="1">
      <alignment horizontal="right" vertical="center"/>
    </xf>
    <xf numFmtId="3" fontId="16" fillId="16" borderId="0" xfId="0" applyNumberFormat="1" applyFont="1" applyFill="1" applyAlignment="1">
      <alignment horizontal="right" vertical="center"/>
    </xf>
    <xf numFmtId="3" fontId="17" fillId="15" borderId="0" xfId="0" applyNumberFormat="1" applyFont="1" applyFill="1" applyAlignment="1">
      <alignment horizontal="right" vertical="center"/>
    </xf>
    <xf numFmtId="3" fontId="18" fillId="16" borderId="0" xfId="0" applyNumberFormat="1" applyFont="1" applyFill="1" applyAlignment="1">
      <alignment horizontal="right" vertical="center"/>
    </xf>
    <xf numFmtId="3" fontId="19" fillId="17" borderId="0" xfId="0" applyNumberFormat="1" applyFont="1" applyFill="1" applyAlignment="1">
      <alignment horizontal="right" vertical="center"/>
    </xf>
    <xf numFmtId="164" fontId="19" fillId="17" borderId="0" xfId="0" applyNumberFormat="1" applyFont="1" applyFill="1" applyAlignment="1">
      <alignment horizontal="right" vertical="center"/>
    </xf>
    <xf numFmtId="165" fontId="18" fillId="16" borderId="0" xfId="0" applyNumberFormat="1" applyFont="1" applyFill="1" applyAlignment="1">
      <alignment horizontal="right" vertical="center"/>
    </xf>
    <xf numFmtId="0" fontId="20" fillId="11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1" fillId="15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/>
    </xf>
    <xf numFmtId="9" fontId="21" fillId="15" borderId="0" xfId="0" applyNumberFormat="1" applyFont="1" applyFill="1" applyAlignment="1">
      <alignment horizontal="left" vertical="center" wrapText="1"/>
    </xf>
    <xf numFmtId="9" fontId="0" fillId="17" borderId="0" xfId="0" applyNumberFormat="1" applyFill="1" applyAlignment="1">
      <alignment horizontal="left" vertical="center" wrapText="1"/>
    </xf>
    <xf numFmtId="9" fontId="21" fillId="17" borderId="0" xfId="0" applyNumberFormat="1" applyFont="1" applyFill="1" applyAlignment="1">
      <alignment horizontal="left" vertical="center" wrapText="1"/>
    </xf>
    <xf numFmtId="0" fontId="21" fillId="11" borderId="0" xfId="0" applyFont="1" applyFill="1" applyAlignment="1">
      <alignment horizontal="left" vertical="center" wrapText="1"/>
    </xf>
    <xf numFmtId="3" fontId="21" fillId="17" borderId="0" xfId="0" applyNumberFormat="1" applyFont="1" applyFill="1" applyAlignment="1">
      <alignment horizontal="left" vertical="center" wrapText="1"/>
    </xf>
    <xf numFmtId="0" fontId="22" fillId="11" borderId="0" xfId="0" applyFont="1" applyFill="1" applyAlignment="1">
      <alignment horizontal="left" vertical="center" wrapText="1"/>
    </xf>
    <xf numFmtId="3" fontId="21" fillId="14" borderId="0" xfId="0" applyNumberFormat="1" applyFont="1" applyFill="1" applyAlignment="1">
      <alignment horizontal="left" vertical="center" wrapText="1"/>
    </xf>
    <xf numFmtId="3" fontId="21" fillId="15" borderId="0" xfId="0" applyNumberFormat="1" applyFont="1" applyFill="1" applyAlignment="1">
      <alignment horizontal="left" vertical="center"/>
    </xf>
    <xf numFmtId="0" fontId="23" fillId="18" borderId="0" xfId="0" applyFont="1" applyFill="1" applyAlignment="1">
      <alignment vertical="center" wrapText="1"/>
    </xf>
    <xf numFmtId="0" fontId="24" fillId="11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s/Documents/_VORTEXDEEP/VD_docu/VDd_docu/AI_Automation_PM_Helper_Pricing_Calculator_v28.xlsx" TargetMode="External"/><Relationship Id="rId1" Type="http://schemas.openxmlformats.org/officeDocument/2006/relationships/externalLinkPath" Target="AI_Automation_PM_Helper_Pricing_Calculator_v2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 HERE"/>
      <sheetName val="Product Catalogue"/>
      <sheetName val="Quote Calculator"/>
      <sheetName val="ROI App_v03"/>
      <sheetName val="ROI App_v02"/>
      <sheetName val="ROI App_v01"/>
      <sheetName val="Package Reference"/>
      <sheetName val="Access Models"/>
      <sheetName val="Complexity Reference"/>
      <sheetName val="Example Quotes"/>
      <sheetName val="Example Quotes — 3 options"/>
      <sheetName val="Access &amp; Licence Pricing"/>
      <sheetName val="Break-Even &amp; Runway"/>
      <sheetName val="Front-Door Tools — Pricing"/>
      <sheetName val="Client Quote Summary"/>
      <sheetName val="MGRS - EMAIL Logic"/>
      <sheetName val="AUDIT Pricing"/>
      <sheetName val="Access Support Matrix"/>
      <sheetName val="DOCU - Pricing Logic"/>
    </sheetNames>
    <sheetDataSet>
      <sheetData sheetId="0" refreshError="1"/>
      <sheetData sheetId="1" refreshError="1"/>
      <sheetData sheetId="2">
        <row r="39">
          <cell r="F39">
            <v>5500</v>
          </cell>
        </row>
        <row r="40">
          <cell r="F40">
            <v>1400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BAA78-7D13-A64D-A130-3E0EAF9FE542}">
  <dimension ref="A1:K47"/>
  <sheetViews>
    <sheetView showGridLines="0" tabSelected="1" workbookViewId="0"/>
  </sheetViews>
  <sheetFormatPr baseColWidth="10" defaultColWidth="8.83203125" defaultRowHeight="16" x14ac:dyDescent="0.25"/>
  <cols>
    <col min="1" max="1" width="2.83203125" style="18" customWidth="1"/>
    <col min="2" max="2" width="25.83203125" style="18" customWidth="1"/>
    <col min="3" max="3" width="13.83203125" style="18" customWidth="1"/>
    <col min="4" max="4" width="21.83203125" style="18" customWidth="1"/>
    <col min="5" max="5" width="5" style="18" customWidth="1"/>
    <col min="6" max="16384" width="8.83203125" style="18"/>
  </cols>
  <sheetData>
    <row r="1" spans="1:11" x14ac:dyDescent="0.25">
      <c r="A1" s="17"/>
      <c r="B1" s="17"/>
      <c r="C1" s="17"/>
      <c r="D1" s="17"/>
      <c r="E1" s="17"/>
    </row>
    <row r="2" spans="1:11" ht="23" x14ac:dyDescent="0.25">
      <c r="A2" s="17"/>
      <c r="B2" s="19" t="s">
        <v>0</v>
      </c>
      <c r="C2" s="19"/>
      <c r="D2" s="19"/>
      <c r="E2" s="17"/>
    </row>
    <row r="3" spans="1:11" x14ac:dyDescent="0.25">
      <c r="A3" s="17"/>
      <c r="B3" s="17"/>
      <c r="C3" s="17"/>
      <c r="D3" s="17"/>
      <c r="E3" s="17"/>
    </row>
    <row r="4" spans="1:11" x14ac:dyDescent="0.25">
      <c r="A4" s="17"/>
      <c r="B4" s="20" t="s">
        <v>31</v>
      </c>
      <c r="C4" s="20" t="s">
        <v>32</v>
      </c>
      <c r="D4" s="20" t="s">
        <v>33</v>
      </c>
      <c r="E4" s="17"/>
      <c r="G4" s="18" t="s">
        <v>69</v>
      </c>
      <c r="J4" s="18" t="s">
        <v>69</v>
      </c>
    </row>
    <row r="5" spans="1:11" x14ac:dyDescent="0.25">
      <c r="A5" s="17"/>
      <c r="B5" s="21" t="s">
        <v>1</v>
      </c>
      <c r="C5" s="21"/>
      <c r="D5" s="21"/>
      <c r="E5" s="17"/>
      <c r="G5" s="22" t="s">
        <v>70</v>
      </c>
      <c r="H5" s="23"/>
      <c r="J5" s="22" t="s">
        <v>71</v>
      </c>
      <c r="K5" s="23"/>
    </row>
    <row r="6" spans="1:11" x14ac:dyDescent="0.25">
      <c r="A6" s="17"/>
      <c r="B6" s="24" t="s">
        <v>35</v>
      </c>
      <c r="C6" s="25"/>
      <c r="D6" s="25"/>
      <c r="E6" s="17"/>
    </row>
    <row r="7" spans="1:11" x14ac:dyDescent="0.25">
      <c r="A7" s="17"/>
      <c r="B7" s="26" t="s">
        <v>3</v>
      </c>
      <c r="C7" s="27">
        <v>2</v>
      </c>
      <c r="D7" s="28" t="s">
        <v>36</v>
      </c>
      <c r="E7" s="17"/>
      <c r="G7" s="27">
        <v>4</v>
      </c>
      <c r="H7" s="28" t="s">
        <v>36</v>
      </c>
      <c r="J7" s="27">
        <v>2</v>
      </c>
      <c r="K7" s="28" t="s">
        <v>36</v>
      </c>
    </row>
    <row r="8" spans="1:11" x14ac:dyDescent="0.25">
      <c r="A8" s="17"/>
      <c r="B8" s="26" t="s">
        <v>5</v>
      </c>
      <c r="C8" s="27">
        <v>5</v>
      </c>
      <c r="D8" s="28" t="s">
        <v>37</v>
      </c>
      <c r="E8" s="17"/>
      <c r="G8" s="27">
        <v>2</v>
      </c>
      <c r="H8" s="28" t="s">
        <v>37</v>
      </c>
      <c r="J8" s="27">
        <v>2</v>
      </c>
      <c r="K8" s="28" t="s">
        <v>37</v>
      </c>
    </row>
    <row r="9" spans="1:11" x14ac:dyDescent="0.25">
      <c r="A9" s="17"/>
      <c r="B9" s="26" t="s">
        <v>7</v>
      </c>
      <c r="C9" s="27">
        <v>100</v>
      </c>
      <c r="D9" s="28" t="s">
        <v>38</v>
      </c>
      <c r="E9" s="17"/>
      <c r="G9" s="27">
        <v>80</v>
      </c>
      <c r="H9" s="28" t="s">
        <v>38</v>
      </c>
      <c r="J9" s="27">
        <v>80</v>
      </c>
      <c r="K9" s="28" t="s">
        <v>38</v>
      </c>
    </row>
    <row r="10" spans="1:11" x14ac:dyDescent="0.25">
      <c r="A10" s="17"/>
      <c r="B10" s="25"/>
      <c r="C10" s="25"/>
      <c r="D10" s="25"/>
      <c r="E10" s="17"/>
      <c r="G10" s="25"/>
      <c r="H10" s="25"/>
      <c r="J10" s="25"/>
      <c r="K10" s="25"/>
    </row>
    <row r="11" spans="1:11" x14ac:dyDescent="0.25">
      <c r="A11" s="17"/>
      <c r="B11" s="24" t="s">
        <v>39</v>
      </c>
      <c r="C11" s="25"/>
      <c r="D11" s="25"/>
      <c r="E11" s="17"/>
      <c r="G11" s="25"/>
      <c r="H11" s="25"/>
      <c r="J11" s="25"/>
      <c r="K11" s="25"/>
    </row>
    <row r="12" spans="1:11" x14ac:dyDescent="0.25">
      <c r="A12" s="17"/>
      <c r="B12" s="26" t="s">
        <v>10</v>
      </c>
      <c r="C12" s="27">
        <v>5</v>
      </c>
      <c r="D12" s="28" t="s">
        <v>40</v>
      </c>
      <c r="E12" s="17"/>
      <c r="G12" s="27">
        <v>1</v>
      </c>
      <c r="H12" s="28" t="s">
        <v>40</v>
      </c>
      <c r="J12" s="27">
        <v>1</v>
      </c>
      <c r="K12" s="28" t="s">
        <v>40</v>
      </c>
    </row>
    <row r="13" spans="1:11" x14ac:dyDescent="0.25">
      <c r="A13" s="17"/>
      <c r="B13" s="26" t="s">
        <v>12</v>
      </c>
      <c r="C13" s="27">
        <v>200</v>
      </c>
      <c r="D13" s="28" t="s">
        <v>41</v>
      </c>
      <c r="E13" s="17"/>
      <c r="G13" s="27">
        <v>75</v>
      </c>
      <c r="H13" s="28" t="s">
        <v>41</v>
      </c>
      <c r="J13" s="27">
        <v>125</v>
      </c>
      <c r="K13" s="28" t="s">
        <v>41</v>
      </c>
    </row>
    <row r="14" spans="1:11" x14ac:dyDescent="0.25">
      <c r="A14" s="17"/>
      <c r="B14" s="25"/>
      <c r="C14" s="25"/>
      <c r="D14" s="25"/>
      <c r="E14" s="17"/>
      <c r="G14" s="25"/>
      <c r="H14" s="25"/>
      <c r="J14" s="25"/>
      <c r="K14" s="25"/>
    </row>
    <row r="15" spans="1:11" x14ac:dyDescent="0.25">
      <c r="A15" s="17"/>
      <c r="B15" s="24" t="s">
        <v>42</v>
      </c>
      <c r="C15" s="25"/>
      <c r="D15" s="25"/>
      <c r="E15" s="17"/>
      <c r="G15" s="25"/>
      <c r="H15" s="25"/>
      <c r="J15" s="25"/>
      <c r="K15" s="25"/>
    </row>
    <row r="16" spans="1:11" x14ac:dyDescent="0.25">
      <c r="A16" s="17"/>
      <c r="B16" s="26" t="s">
        <v>15</v>
      </c>
      <c r="C16" s="27">
        <v>10</v>
      </c>
      <c r="D16" s="28" t="s">
        <v>43</v>
      </c>
      <c r="E16" s="17"/>
      <c r="G16" s="27">
        <v>1</v>
      </c>
      <c r="H16" s="28" t="s">
        <v>43</v>
      </c>
      <c r="J16" s="27">
        <v>2</v>
      </c>
      <c r="K16" s="28" t="s">
        <v>43</v>
      </c>
    </row>
    <row r="17" spans="1:11" x14ac:dyDescent="0.25">
      <c r="A17" s="17"/>
      <c r="B17" s="26" t="s">
        <v>17</v>
      </c>
      <c r="C17" s="27">
        <v>1500</v>
      </c>
      <c r="D17" s="28" t="s">
        <v>44</v>
      </c>
      <c r="E17" s="17"/>
      <c r="G17" s="27">
        <v>1000</v>
      </c>
      <c r="H17" s="28" t="s">
        <v>44</v>
      </c>
      <c r="J17" s="27">
        <v>125</v>
      </c>
      <c r="K17" s="28" t="s">
        <v>44</v>
      </c>
    </row>
    <row r="18" spans="1:11" x14ac:dyDescent="0.25">
      <c r="A18" s="17"/>
      <c r="B18" s="25"/>
      <c r="C18" s="25"/>
      <c r="D18" s="25"/>
      <c r="E18" s="17"/>
      <c r="G18" s="25"/>
      <c r="H18" s="25"/>
      <c r="J18" s="25"/>
      <c r="K18" s="25"/>
    </row>
    <row r="19" spans="1:11" x14ac:dyDescent="0.25">
      <c r="A19" s="17"/>
      <c r="B19" s="24" t="s">
        <v>45</v>
      </c>
      <c r="C19" s="25"/>
      <c r="D19" s="25"/>
      <c r="E19" s="17"/>
      <c r="G19" s="25"/>
      <c r="H19" s="25"/>
      <c r="J19" s="25"/>
      <c r="K19" s="25"/>
    </row>
    <row r="20" spans="1:11" x14ac:dyDescent="0.25">
      <c r="A20" s="17"/>
      <c r="B20" s="26" t="s">
        <v>46</v>
      </c>
      <c r="C20" s="29">
        <f>'[1]Quote Calculator'!F39</f>
        <v>5500</v>
      </c>
      <c r="D20" s="28" t="s">
        <v>72</v>
      </c>
      <c r="E20" s="17"/>
      <c r="G20" s="27">
        <v>3500</v>
      </c>
      <c r="H20" s="28" t="s">
        <v>47</v>
      </c>
      <c r="J20" s="27">
        <v>2500</v>
      </c>
      <c r="K20" s="28" t="s">
        <v>47</v>
      </c>
    </row>
    <row r="21" spans="1:11" x14ac:dyDescent="0.25">
      <c r="A21" s="17"/>
      <c r="B21" s="26" t="s">
        <v>48</v>
      </c>
      <c r="C21" s="29">
        <f>'[1]Quote Calculator'!F40</f>
        <v>1400</v>
      </c>
      <c r="D21" s="28" t="s">
        <v>73</v>
      </c>
      <c r="E21" s="17"/>
      <c r="G21" s="27">
        <v>1600</v>
      </c>
      <c r="H21" s="28" t="s">
        <v>50</v>
      </c>
      <c r="J21" s="27">
        <v>800</v>
      </c>
      <c r="K21" s="28" t="s">
        <v>50</v>
      </c>
    </row>
    <row r="22" spans="1:11" x14ac:dyDescent="0.25">
      <c r="A22" s="17"/>
      <c r="B22" s="25"/>
      <c r="C22" s="25"/>
      <c r="D22" s="25"/>
      <c r="E22" s="17"/>
    </row>
    <row r="23" spans="1:11" x14ac:dyDescent="0.25">
      <c r="A23" s="17"/>
      <c r="B23" s="21" t="s">
        <v>22</v>
      </c>
      <c r="C23" s="21"/>
      <c r="D23" s="21"/>
      <c r="E23" s="17"/>
      <c r="G23" s="22" t="s">
        <v>51</v>
      </c>
      <c r="H23" s="23"/>
      <c r="J23" s="22" t="s">
        <v>51</v>
      </c>
      <c r="K23" s="23"/>
    </row>
    <row r="24" spans="1:11" x14ac:dyDescent="0.25">
      <c r="A24" s="17"/>
      <c r="B24" s="25"/>
      <c r="C24" s="25"/>
      <c r="D24" s="25"/>
      <c r="E24" s="17"/>
    </row>
    <row r="25" spans="1:11" x14ac:dyDescent="0.25">
      <c r="A25" s="17"/>
      <c r="B25" s="28" t="s">
        <v>23</v>
      </c>
      <c r="C25" s="29">
        <f>C7*C8*C9*4</f>
        <v>4000</v>
      </c>
      <c r="D25" s="28" t="s">
        <v>52</v>
      </c>
      <c r="E25" s="17"/>
      <c r="G25" s="29">
        <f>G7*G8*G9*4</f>
        <v>2560</v>
      </c>
      <c r="H25" s="28" t="s">
        <v>52</v>
      </c>
      <c r="J25" s="29">
        <f>J7*J8*J9*4</f>
        <v>1280</v>
      </c>
      <c r="K25" s="28" t="s">
        <v>52</v>
      </c>
    </row>
    <row r="26" spans="1:11" x14ac:dyDescent="0.25">
      <c r="A26" s="17"/>
      <c r="B26" s="28" t="s">
        <v>25</v>
      </c>
      <c r="C26" s="29">
        <f>C12*C13*4</f>
        <v>4000</v>
      </c>
      <c r="D26" s="28" t="s">
        <v>52</v>
      </c>
      <c r="E26" s="17"/>
      <c r="G26" s="29">
        <f>G12*G13*4</f>
        <v>300</v>
      </c>
      <c r="H26" s="28" t="s">
        <v>52</v>
      </c>
      <c r="J26" s="29">
        <f>J12*J13*4</f>
        <v>500</v>
      </c>
      <c r="K26" s="28" t="s">
        <v>52</v>
      </c>
    </row>
    <row r="27" spans="1:11" x14ac:dyDescent="0.25">
      <c r="A27" s="17"/>
      <c r="B27" s="28" t="s">
        <v>26</v>
      </c>
      <c r="C27" s="29">
        <f>C16*C17</f>
        <v>15000</v>
      </c>
      <c r="D27" s="28" t="s">
        <v>52</v>
      </c>
      <c r="E27" s="17"/>
      <c r="G27" s="29">
        <f>G16*G17</f>
        <v>1000</v>
      </c>
      <c r="H27" s="28" t="s">
        <v>52</v>
      </c>
      <c r="J27" s="29">
        <f>J16*J17</f>
        <v>250</v>
      </c>
      <c r="K27" s="28" t="s">
        <v>52</v>
      </c>
    </row>
    <row r="28" spans="1:11" x14ac:dyDescent="0.25">
      <c r="A28" s="17"/>
      <c r="B28" s="24" t="s">
        <v>53</v>
      </c>
      <c r="C28" s="30">
        <f>SUM(C25:C27)</f>
        <v>23000</v>
      </c>
      <c r="D28" s="24" t="s">
        <v>54</v>
      </c>
      <c r="E28" s="17"/>
      <c r="G28" s="30">
        <f>SUM(G25:G27)</f>
        <v>3860</v>
      </c>
      <c r="H28" s="24" t="s">
        <v>54</v>
      </c>
      <c r="J28" s="30">
        <f>SUM(J25:J27)</f>
        <v>2030</v>
      </c>
      <c r="K28" s="24" t="s">
        <v>54</v>
      </c>
    </row>
    <row r="29" spans="1:11" x14ac:dyDescent="0.25">
      <c r="A29" s="17"/>
      <c r="B29" s="28" t="s">
        <v>55</v>
      </c>
      <c r="C29" s="31">
        <f>C21</f>
        <v>1400</v>
      </c>
      <c r="D29" s="28" t="s">
        <v>52</v>
      </c>
      <c r="E29" s="17"/>
      <c r="G29" s="31">
        <f>G21</f>
        <v>1600</v>
      </c>
      <c r="H29" s="28" t="s">
        <v>52</v>
      </c>
      <c r="J29" s="31">
        <f>J21</f>
        <v>800</v>
      </c>
      <c r="K29" s="28" t="s">
        <v>52</v>
      </c>
    </row>
    <row r="30" spans="1:11" x14ac:dyDescent="0.25">
      <c r="A30" s="17"/>
      <c r="B30" s="24" t="s">
        <v>56</v>
      </c>
      <c r="C30" s="32">
        <f>C28-C29</f>
        <v>21600</v>
      </c>
      <c r="D30" s="24" t="s">
        <v>52</v>
      </c>
      <c r="E30" s="17"/>
      <c r="G30" s="32">
        <f>G28-G29</f>
        <v>2260</v>
      </c>
      <c r="H30" s="24" t="s">
        <v>52</v>
      </c>
      <c r="J30" s="32">
        <f>J28-J29</f>
        <v>1230</v>
      </c>
      <c r="K30" s="24" t="s">
        <v>52</v>
      </c>
    </row>
    <row r="31" spans="1:11" x14ac:dyDescent="0.25">
      <c r="A31" s="17"/>
      <c r="B31" s="24" t="s">
        <v>57</v>
      </c>
      <c r="C31" s="33">
        <f>C30*12</f>
        <v>259200</v>
      </c>
      <c r="D31" s="24" t="s">
        <v>52</v>
      </c>
      <c r="E31" s="17"/>
      <c r="G31" s="33">
        <f>G30*12</f>
        <v>27120</v>
      </c>
      <c r="H31" s="24" t="s">
        <v>52</v>
      </c>
      <c r="J31" s="33">
        <f>J30*12</f>
        <v>14760</v>
      </c>
      <c r="K31" s="24" t="s">
        <v>52</v>
      </c>
    </row>
    <row r="32" spans="1:11" x14ac:dyDescent="0.25">
      <c r="B32" s="37" t="s">
        <v>63</v>
      </c>
      <c r="C32" s="38">
        <f>C20+C21*12</f>
        <v>22300</v>
      </c>
      <c r="D32" s="39" t="s">
        <v>64</v>
      </c>
      <c r="G32" s="38">
        <f>G20+G21*12</f>
        <v>22700</v>
      </c>
      <c r="H32" s="37" t="s">
        <v>52</v>
      </c>
      <c r="J32" s="38">
        <f>J20+J21*12</f>
        <v>12100</v>
      </c>
      <c r="K32" s="37" t="s">
        <v>52</v>
      </c>
    </row>
    <row r="33" spans="1:11" x14ac:dyDescent="0.25">
      <c r="A33" s="17"/>
      <c r="B33" s="24" t="s">
        <v>58</v>
      </c>
      <c r="C33" s="34">
        <f>IF(C30&lt;=0,"N/A",C20/C30)</f>
        <v>0.25462962962962965</v>
      </c>
      <c r="D33" s="24" t="s">
        <v>59</v>
      </c>
      <c r="E33" s="17"/>
      <c r="G33" s="34">
        <f>IF(G30&lt;=0,"N/A",G20/G30)</f>
        <v>1.5486725663716814</v>
      </c>
      <c r="H33" s="24" t="s">
        <v>59</v>
      </c>
      <c r="J33" s="34">
        <f>IF(J30&lt;=0,"N/A",J20/J30)</f>
        <v>2.0325203252032522</v>
      </c>
      <c r="K33" s="24" t="s">
        <v>59</v>
      </c>
    </row>
    <row r="34" spans="1:11" x14ac:dyDescent="0.25">
      <c r="A34" s="17"/>
      <c r="B34" s="37" t="s">
        <v>60</v>
      </c>
      <c r="C34" s="40">
        <f>IF(C32=0,"N/A",(C31-C20)/C32)</f>
        <v>11.376681614349776</v>
      </c>
      <c r="D34" s="39" t="s">
        <v>65</v>
      </c>
      <c r="E34" s="17"/>
      <c r="G34" s="40">
        <f>IF(G32=0,"N/A",(G31-G20)/G32)</f>
        <v>1.0405286343612334</v>
      </c>
      <c r="H34" s="37" t="s">
        <v>66</v>
      </c>
      <c r="J34" s="40">
        <f>IF(J32=0,"N/A",(J31-J20)/J32)</f>
        <v>1.0132231404958678</v>
      </c>
      <c r="K34" s="37" t="s">
        <v>66</v>
      </c>
    </row>
    <row r="35" spans="1:11" x14ac:dyDescent="0.25">
      <c r="A35" s="17"/>
      <c r="B35" s="37" t="s">
        <v>67</v>
      </c>
      <c r="C35" s="41">
        <f>IF(C21=0,"N/A",C30*12/(C21*12))</f>
        <v>15.428571428571429</v>
      </c>
      <c r="E35" s="17"/>
      <c r="G35" s="42">
        <f>IF(G21=0,"N/A",G30*12/(G21*12))</f>
        <v>1.4125000000000001</v>
      </c>
      <c r="H35" s="37" t="s">
        <v>66</v>
      </c>
      <c r="J35" s="42">
        <f>IF(J21=0,"N/A",J30*12/(J21*12))</f>
        <v>1.5375000000000001</v>
      </c>
      <c r="K35" s="37" t="s">
        <v>66</v>
      </c>
    </row>
    <row r="36" spans="1:11" x14ac:dyDescent="0.25">
      <c r="A36" s="17"/>
      <c r="B36" s="37"/>
      <c r="C36" s="37"/>
      <c r="E36" s="17"/>
      <c r="G36" s="37"/>
      <c r="H36" s="37"/>
      <c r="J36" s="37"/>
      <c r="K36" s="37"/>
    </row>
    <row r="37" spans="1:11" x14ac:dyDescent="0.25">
      <c r="B37" s="21" t="s">
        <v>74</v>
      </c>
      <c r="C37" s="21"/>
      <c r="D37" s="21"/>
      <c r="E37" s="17"/>
    </row>
    <row r="38" spans="1:11" x14ac:dyDescent="0.25">
      <c r="B38" s="37" t="s">
        <v>75</v>
      </c>
      <c r="C38" s="44">
        <f>IF(C20+C28=0,"N/A",(C28*12-C20)/12)</f>
        <v>22541.666666666668</v>
      </c>
      <c r="D38" s="39" t="s">
        <v>76</v>
      </c>
      <c r="E38" s="17"/>
      <c r="G38" s="44">
        <f>IF(G20+G28=0,"N/A",(G28*12-G20)/12)</f>
        <v>3568.3333333333335</v>
      </c>
      <c r="H38" s="39" t="s">
        <v>77</v>
      </c>
      <c r="J38" s="44">
        <f>IF(J20+J28=0,"N/A",(J28*12-J20)/12)</f>
        <v>1821.6666666666667</v>
      </c>
      <c r="K38" s="39" t="s">
        <v>77</v>
      </c>
    </row>
    <row r="39" spans="1:11" x14ac:dyDescent="0.25">
      <c r="B39" s="39" t="s">
        <v>78</v>
      </c>
      <c r="C39" s="44">
        <f>IF(C38="N/A","N/A",C38-C21)</f>
        <v>21141.666666666668</v>
      </c>
      <c r="D39" s="39" t="s">
        <v>79</v>
      </c>
      <c r="E39" s="17"/>
      <c r="G39" s="44">
        <f>IF(G38="N/A","N/A",G38-G21)</f>
        <v>1968.3333333333335</v>
      </c>
      <c r="H39" s="39" t="s">
        <v>77</v>
      </c>
      <c r="J39" s="44">
        <f>IF(J38="N/A","N/A",J38-J21)</f>
        <v>1021.6666666666667</v>
      </c>
      <c r="K39" s="39" t="s">
        <v>77</v>
      </c>
    </row>
    <row r="40" spans="1:11" x14ac:dyDescent="0.25">
      <c r="B40" s="37"/>
      <c r="C40" s="39"/>
      <c r="D40" s="39"/>
      <c r="E40" s="17"/>
      <c r="G40" s="39"/>
      <c r="H40" s="39"/>
      <c r="J40" s="39"/>
      <c r="K40" s="39"/>
    </row>
    <row r="41" spans="1:11" ht="32" x14ac:dyDescent="0.25">
      <c r="B41" s="45" t="s">
        <v>80</v>
      </c>
      <c r="C41" s="45"/>
      <c r="D41" s="45"/>
      <c r="E41" s="17"/>
    </row>
    <row r="42" spans="1:11" x14ac:dyDescent="0.25">
      <c r="B42" s="37" t="s">
        <v>81</v>
      </c>
      <c r="C42" s="46">
        <v>0</v>
      </c>
      <c r="D42" s="39" t="s">
        <v>82</v>
      </c>
      <c r="E42" s="17"/>
      <c r="G42" s="46">
        <v>0</v>
      </c>
      <c r="H42" s="39" t="s">
        <v>77</v>
      </c>
      <c r="J42" s="46">
        <v>0</v>
      </c>
      <c r="K42" s="39" t="s">
        <v>77</v>
      </c>
    </row>
    <row r="43" spans="1:11" x14ac:dyDescent="0.25">
      <c r="B43" s="37" t="s">
        <v>83</v>
      </c>
      <c r="C43" s="47" t="str">
        <f>IF(C42=0,"(enter staffing cost above)",C42-C21)</f>
        <v>(enter staffing cost above)</v>
      </c>
      <c r="D43" s="39" t="s">
        <v>84</v>
      </c>
      <c r="E43" s="17"/>
      <c r="G43" s="47" t="str">
        <f>IF(G42=0,"(enter staffing cost above)",G42-G21)</f>
        <v>(enter staffing cost above)</v>
      </c>
      <c r="H43" s="39" t="s">
        <v>77</v>
      </c>
      <c r="J43" s="47" t="str">
        <f>IF(J42=0,"(enter staffing cost above)",J42-J21)</f>
        <v>(enter staffing cost above)</v>
      </c>
      <c r="K43" s="39" t="s">
        <v>77</v>
      </c>
    </row>
    <row r="44" spans="1:11" x14ac:dyDescent="0.25">
      <c r="E44" s="17"/>
    </row>
    <row r="45" spans="1:11" ht="60" customHeight="1" x14ac:dyDescent="0.25">
      <c r="B45" s="48" t="s">
        <v>85</v>
      </c>
      <c r="C45" s="48"/>
      <c r="D45" s="48"/>
      <c r="E45" s="17"/>
      <c r="J45" s="39"/>
    </row>
    <row r="46" spans="1:11" x14ac:dyDescent="0.25">
      <c r="E46" s="17"/>
    </row>
    <row r="47" spans="1:11" ht="60" customHeight="1" x14ac:dyDescent="0.25">
      <c r="A47" s="17"/>
      <c r="B47" s="49" t="s">
        <v>68</v>
      </c>
      <c r="C47" s="49"/>
      <c r="D47" s="49"/>
      <c r="E47" s="17"/>
    </row>
  </sheetData>
  <mergeCells count="5">
    <mergeCell ref="B5:D5"/>
    <mergeCell ref="B23:D23"/>
    <mergeCell ref="B37:D37"/>
    <mergeCell ref="B45:D45"/>
    <mergeCell ref="B47:D4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D3E91-0802-8B42-898C-DA622B61F7A4}">
  <dimension ref="A1:H36"/>
  <sheetViews>
    <sheetView showGridLines="0" workbookViewId="0"/>
  </sheetViews>
  <sheetFormatPr baseColWidth="10" defaultColWidth="8.83203125" defaultRowHeight="16" x14ac:dyDescent="0.25"/>
  <cols>
    <col min="1" max="1" width="2.83203125" style="18" customWidth="1"/>
    <col min="2" max="2" width="25.83203125" style="18" customWidth="1"/>
    <col min="3" max="3" width="13.83203125" style="18" customWidth="1"/>
    <col min="4" max="4" width="21.83203125" style="18" customWidth="1"/>
    <col min="5" max="5" width="5" style="18" customWidth="1"/>
    <col min="6" max="16384" width="8.83203125" style="18"/>
  </cols>
  <sheetData>
    <row r="1" spans="1:8" x14ac:dyDescent="0.25">
      <c r="A1" s="17"/>
      <c r="B1" s="17"/>
      <c r="C1" s="17"/>
      <c r="D1" s="17"/>
      <c r="E1" s="17"/>
    </row>
    <row r="2" spans="1:8" ht="23" x14ac:dyDescent="0.25">
      <c r="A2" s="17"/>
      <c r="B2" s="19" t="s">
        <v>0</v>
      </c>
      <c r="C2" s="19"/>
      <c r="D2" s="19"/>
      <c r="E2" s="17"/>
    </row>
    <row r="3" spans="1:8" x14ac:dyDescent="0.25">
      <c r="A3" s="17"/>
      <c r="B3" s="17"/>
      <c r="C3" s="17"/>
      <c r="D3" s="17"/>
      <c r="E3" s="17"/>
    </row>
    <row r="4" spans="1:8" x14ac:dyDescent="0.25">
      <c r="A4" s="17"/>
      <c r="B4" s="20" t="s">
        <v>31</v>
      </c>
      <c r="C4" s="20" t="s">
        <v>32</v>
      </c>
      <c r="D4" s="20" t="s">
        <v>33</v>
      </c>
      <c r="E4" s="17"/>
    </row>
    <row r="5" spans="1:8" x14ac:dyDescent="0.25">
      <c r="A5" s="17"/>
      <c r="B5" s="21" t="s">
        <v>1</v>
      </c>
      <c r="C5" s="21"/>
      <c r="D5" s="21"/>
      <c r="E5" s="17"/>
      <c r="G5" s="22" t="s">
        <v>34</v>
      </c>
      <c r="H5" s="23"/>
    </row>
    <row r="6" spans="1:8" x14ac:dyDescent="0.25">
      <c r="A6" s="17"/>
      <c r="B6" s="24" t="s">
        <v>35</v>
      </c>
      <c r="C6" s="25"/>
      <c r="D6" s="25"/>
      <c r="E6" s="17"/>
    </row>
    <row r="7" spans="1:8" x14ac:dyDescent="0.25">
      <c r="A7" s="17"/>
      <c r="B7" s="26" t="s">
        <v>3</v>
      </c>
      <c r="C7" s="27">
        <v>2</v>
      </c>
      <c r="D7" s="28" t="s">
        <v>36</v>
      </c>
      <c r="E7" s="17"/>
      <c r="G7" s="27">
        <v>4</v>
      </c>
      <c r="H7" s="28" t="s">
        <v>36</v>
      </c>
    </row>
    <row r="8" spans="1:8" x14ac:dyDescent="0.25">
      <c r="A8" s="17"/>
      <c r="B8" s="26" t="s">
        <v>5</v>
      </c>
      <c r="C8" s="27">
        <v>5</v>
      </c>
      <c r="D8" s="28" t="s">
        <v>37</v>
      </c>
      <c r="E8" s="17"/>
      <c r="G8" s="27">
        <v>2</v>
      </c>
      <c r="H8" s="28" t="s">
        <v>37</v>
      </c>
    </row>
    <row r="9" spans="1:8" x14ac:dyDescent="0.25">
      <c r="A9" s="17"/>
      <c r="B9" s="26" t="s">
        <v>7</v>
      </c>
      <c r="C9" s="27">
        <v>100</v>
      </c>
      <c r="D9" s="28" t="s">
        <v>38</v>
      </c>
      <c r="E9" s="17"/>
      <c r="G9" s="27">
        <v>80</v>
      </c>
      <c r="H9" s="28" t="s">
        <v>38</v>
      </c>
    </row>
    <row r="10" spans="1:8" x14ac:dyDescent="0.25">
      <c r="A10" s="17"/>
      <c r="B10" s="25"/>
      <c r="C10" s="25"/>
      <c r="D10" s="25"/>
      <c r="E10" s="17"/>
      <c r="G10" s="25"/>
      <c r="H10" s="25"/>
    </row>
    <row r="11" spans="1:8" x14ac:dyDescent="0.25">
      <c r="A11" s="17"/>
      <c r="B11" s="24" t="s">
        <v>39</v>
      </c>
      <c r="C11" s="25"/>
      <c r="D11" s="25"/>
      <c r="E11" s="17"/>
      <c r="G11" s="25"/>
      <c r="H11" s="25"/>
    </row>
    <row r="12" spans="1:8" x14ac:dyDescent="0.25">
      <c r="A12" s="17"/>
      <c r="B12" s="26" t="s">
        <v>10</v>
      </c>
      <c r="C12" s="27">
        <v>5</v>
      </c>
      <c r="D12" s="28" t="s">
        <v>40</v>
      </c>
      <c r="E12" s="17"/>
      <c r="G12" s="27">
        <v>1</v>
      </c>
      <c r="H12" s="28" t="s">
        <v>40</v>
      </c>
    </row>
    <row r="13" spans="1:8" x14ac:dyDescent="0.25">
      <c r="A13" s="17"/>
      <c r="B13" s="26" t="s">
        <v>12</v>
      </c>
      <c r="C13" s="27">
        <v>200</v>
      </c>
      <c r="D13" s="28" t="s">
        <v>41</v>
      </c>
      <c r="E13" s="17"/>
      <c r="G13" s="27">
        <v>75</v>
      </c>
      <c r="H13" s="28" t="s">
        <v>41</v>
      </c>
    </row>
    <row r="14" spans="1:8" x14ac:dyDescent="0.25">
      <c r="A14" s="17"/>
      <c r="B14" s="25"/>
      <c r="C14" s="25"/>
      <c r="D14" s="25"/>
      <c r="E14" s="17"/>
      <c r="G14" s="25"/>
      <c r="H14" s="25"/>
    </row>
    <row r="15" spans="1:8" x14ac:dyDescent="0.25">
      <c r="A15" s="17"/>
      <c r="B15" s="24" t="s">
        <v>42</v>
      </c>
      <c r="C15" s="25"/>
      <c r="D15" s="25"/>
      <c r="E15" s="17"/>
      <c r="G15" s="25"/>
      <c r="H15" s="25"/>
    </row>
    <row r="16" spans="1:8" x14ac:dyDescent="0.25">
      <c r="A16" s="17"/>
      <c r="B16" s="26" t="s">
        <v>15</v>
      </c>
      <c r="C16" s="27">
        <v>10</v>
      </c>
      <c r="D16" s="28" t="s">
        <v>43</v>
      </c>
      <c r="E16" s="17"/>
      <c r="G16" s="27">
        <v>1</v>
      </c>
      <c r="H16" s="28" t="s">
        <v>43</v>
      </c>
    </row>
    <row r="17" spans="1:8" x14ac:dyDescent="0.25">
      <c r="A17" s="17"/>
      <c r="B17" s="26" t="s">
        <v>17</v>
      </c>
      <c r="C17" s="27">
        <v>1500</v>
      </c>
      <c r="D17" s="28" t="s">
        <v>44</v>
      </c>
      <c r="E17" s="17"/>
      <c r="G17" s="27">
        <v>1000</v>
      </c>
      <c r="H17" s="28" t="s">
        <v>44</v>
      </c>
    </row>
    <row r="18" spans="1:8" x14ac:dyDescent="0.25">
      <c r="A18" s="17"/>
      <c r="B18" s="25"/>
      <c r="C18" s="25"/>
      <c r="D18" s="25"/>
      <c r="E18" s="17"/>
      <c r="G18" s="25"/>
      <c r="H18" s="25"/>
    </row>
    <row r="19" spans="1:8" x14ac:dyDescent="0.25">
      <c r="A19" s="17"/>
      <c r="B19" s="24" t="s">
        <v>45</v>
      </c>
      <c r="C19" s="25"/>
      <c r="D19" s="25"/>
      <c r="E19" s="17"/>
      <c r="G19" s="25"/>
      <c r="H19" s="25"/>
    </row>
    <row r="20" spans="1:8" x14ac:dyDescent="0.25">
      <c r="A20" s="17"/>
      <c r="B20" s="26" t="s">
        <v>46</v>
      </c>
      <c r="C20" s="27">
        <v>20000</v>
      </c>
      <c r="D20" s="28" t="s">
        <v>47</v>
      </c>
      <c r="E20" s="17"/>
      <c r="G20" s="27">
        <v>3500</v>
      </c>
      <c r="H20" s="28" t="s">
        <v>47</v>
      </c>
    </row>
    <row r="21" spans="1:8" x14ac:dyDescent="0.25">
      <c r="A21" s="17"/>
      <c r="B21" s="26" t="s">
        <v>48</v>
      </c>
      <c r="C21" s="27">
        <v>2350</v>
      </c>
      <c r="D21" s="28" t="s">
        <v>49</v>
      </c>
      <c r="E21" s="17"/>
      <c r="G21" s="27">
        <v>1600</v>
      </c>
      <c r="H21" s="28" t="s">
        <v>50</v>
      </c>
    </row>
    <row r="22" spans="1:8" x14ac:dyDescent="0.25">
      <c r="A22" s="17"/>
      <c r="B22" s="25"/>
      <c r="C22" s="25"/>
      <c r="D22" s="25"/>
      <c r="E22" s="17"/>
    </row>
    <row r="23" spans="1:8" x14ac:dyDescent="0.25">
      <c r="A23" s="17"/>
      <c r="B23" s="21" t="s">
        <v>22</v>
      </c>
      <c r="C23" s="21"/>
      <c r="D23" s="21"/>
      <c r="E23" s="17"/>
      <c r="G23" s="22" t="s">
        <v>51</v>
      </c>
      <c r="H23" s="23"/>
    </row>
    <row r="24" spans="1:8" x14ac:dyDescent="0.25">
      <c r="A24" s="17"/>
      <c r="B24" s="25"/>
      <c r="C24" s="25"/>
      <c r="D24" s="25"/>
      <c r="E24" s="17"/>
    </row>
    <row r="25" spans="1:8" x14ac:dyDescent="0.25">
      <c r="A25" s="17"/>
      <c r="B25" s="28" t="s">
        <v>23</v>
      </c>
      <c r="C25" s="29">
        <f>C7*C8*C9*4</f>
        <v>4000</v>
      </c>
      <c r="D25" s="28" t="s">
        <v>52</v>
      </c>
      <c r="E25" s="17"/>
      <c r="G25" s="29">
        <f>G7*G8*G9*4</f>
        <v>2560</v>
      </c>
      <c r="H25" s="28" t="s">
        <v>52</v>
      </c>
    </row>
    <row r="26" spans="1:8" x14ac:dyDescent="0.25">
      <c r="A26" s="17"/>
      <c r="B26" s="28" t="s">
        <v>25</v>
      </c>
      <c r="C26" s="29">
        <f>C12*C13*4</f>
        <v>4000</v>
      </c>
      <c r="D26" s="28" t="s">
        <v>52</v>
      </c>
      <c r="E26" s="17"/>
      <c r="G26" s="29">
        <f>G12*G13*4</f>
        <v>300</v>
      </c>
      <c r="H26" s="28" t="s">
        <v>52</v>
      </c>
    </row>
    <row r="27" spans="1:8" x14ac:dyDescent="0.25">
      <c r="A27" s="17"/>
      <c r="B27" s="28" t="s">
        <v>26</v>
      </c>
      <c r="C27" s="29">
        <f>C16*C17</f>
        <v>15000</v>
      </c>
      <c r="D27" s="28" t="s">
        <v>52</v>
      </c>
      <c r="E27" s="17"/>
      <c r="G27" s="29">
        <f>G16*G17</f>
        <v>1000</v>
      </c>
      <c r="H27" s="28" t="s">
        <v>52</v>
      </c>
    </row>
    <row r="28" spans="1:8" x14ac:dyDescent="0.25">
      <c r="A28" s="17"/>
      <c r="B28" s="24" t="s">
        <v>53</v>
      </c>
      <c r="C28" s="30">
        <f>SUM(C25:C27)</f>
        <v>23000</v>
      </c>
      <c r="D28" s="24" t="s">
        <v>54</v>
      </c>
      <c r="E28" s="17"/>
      <c r="G28" s="30">
        <f>SUM(G25:G27)</f>
        <v>3860</v>
      </c>
      <c r="H28" s="24" t="s">
        <v>54</v>
      </c>
    </row>
    <row r="29" spans="1:8" x14ac:dyDescent="0.25">
      <c r="A29" s="17"/>
      <c r="B29" s="28" t="s">
        <v>55</v>
      </c>
      <c r="C29" s="31">
        <f>C21</f>
        <v>2350</v>
      </c>
      <c r="D29" s="28" t="s">
        <v>52</v>
      </c>
      <c r="E29" s="17"/>
      <c r="G29" s="31">
        <f>G21</f>
        <v>1600</v>
      </c>
      <c r="H29" s="28" t="s">
        <v>52</v>
      </c>
    </row>
    <row r="30" spans="1:8" x14ac:dyDescent="0.25">
      <c r="A30" s="17"/>
      <c r="B30" s="24" t="s">
        <v>56</v>
      </c>
      <c r="C30" s="32">
        <f>C28-C29</f>
        <v>20650</v>
      </c>
      <c r="D30" s="24" t="s">
        <v>52</v>
      </c>
      <c r="E30" s="17"/>
      <c r="G30" s="32">
        <f>G28-G29</f>
        <v>2260</v>
      </c>
      <c r="H30" s="24" t="s">
        <v>52</v>
      </c>
    </row>
    <row r="31" spans="1:8" x14ac:dyDescent="0.25">
      <c r="A31" s="17"/>
      <c r="B31" s="24" t="s">
        <v>57</v>
      </c>
      <c r="C31" s="33">
        <f>C30*12</f>
        <v>247800</v>
      </c>
      <c r="D31" s="24" t="s">
        <v>52</v>
      </c>
      <c r="E31" s="17"/>
      <c r="G31" s="33">
        <f>G30*12</f>
        <v>27120</v>
      </c>
      <c r="H31" s="24" t="s">
        <v>52</v>
      </c>
    </row>
    <row r="32" spans="1:8" x14ac:dyDescent="0.25">
      <c r="B32" s="37" t="s">
        <v>63</v>
      </c>
      <c r="C32" s="38">
        <f>C20+C21*12</f>
        <v>48200</v>
      </c>
      <c r="D32" s="39" t="s">
        <v>64</v>
      </c>
      <c r="G32" s="38">
        <f>G20+G21*12</f>
        <v>22700</v>
      </c>
      <c r="H32" s="37" t="s">
        <v>52</v>
      </c>
    </row>
    <row r="33" spans="1:8" x14ac:dyDescent="0.25">
      <c r="A33" s="17"/>
      <c r="B33" s="24" t="s">
        <v>58</v>
      </c>
      <c r="C33" s="34">
        <f>IF(C30&lt;=0,"N/A",C20/C30)</f>
        <v>0.96852300242130751</v>
      </c>
      <c r="D33" s="24" t="s">
        <v>59</v>
      </c>
      <c r="E33" s="17"/>
      <c r="G33" s="34">
        <f>IF(G30&lt;=0,"N/A",G20/G30)</f>
        <v>1.5486725663716814</v>
      </c>
      <c r="H33" s="24" t="s">
        <v>59</v>
      </c>
    </row>
    <row r="34" spans="1:8" x14ac:dyDescent="0.25">
      <c r="A34" s="17"/>
      <c r="B34" s="37" t="s">
        <v>60</v>
      </c>
      <c r="C34" s="40">
        <f>IF(C32=0,"N/A",(C31-C20)/C32)</f>
        <v>4.7261410788381744</v>
      </c>
      <c r="D34" s="39" t="s">
        <v>65</v>
      </c>
      <c r="E34" s="17"/>
      <c r="G34" s="40">
        <f>IF(G32=0,"N/A",(G31-G20)/G32)</f>
        <v>1.0405286343612334</v>
      </c>
      <c r="H34" s="37" t="s">
        <v>66</v>
      </c>
    </row>
    <row r="35" spans="1:8" x14ac:dyDescent="0.25">
      <c r="A35" s="17"/>
      <c r="B35" s="37" t="s">
        <v>67</v>
      </c>
      <c r="C35" s="41">
        <f>IF(C21=0,"N/A",C30*12/(C21*12))</f>
        <v>8.787234042553191</v>
      </c>
      <c r="E35" s="17"/>
      <c r="G35" s="42">
        <f>IF(G21=0,"N/A",G30*12/(G21*12))</f>
        <v>1.4125000000000001</v>
      </c>
      <c r="H35" s="37" t="s">
        <v>66</v>
      </c>
    </row>
    <row r="36" spans="1:8" ht="60" customHeight="1" x14ac:dyDescent="0.25">
      <c r="A36" s="17"/>
      <c r="B36" s="43" t="s">
        <v>68</v>
      </c>
      <c r="C36" s="43"/>
      <c r="D36" s="43"/>
      <c r="E36" s="17"/>
    </row>
  </sheetData>
  <mergeCells count="3">
    <mergeCell ref="B5:D5"/>
    <mergeCell ref="B23:D23"/>
    <mergeCell ref="B36:D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BE19-D31F-B647-AC59-C76E5D367207}">
  <dimension ref="A1:H35"/>
  <sheetViews>
    <sheetView showGridLines="0" workbookViewId="0"/>
  </sheetViews>
  <sheetFormatPr baseColWidth="10" defaultColWidth="8.83203125" defaultRowHeight="16" x14ac:dyDescent="0.25"/>
  <cols>
    <col min="1" max="1" width="2.83203125" style="18" customWidth="1"/>
    <col min="2" max="2" width="25.83203125" style="18" customWidth="1"/>
    <col min="3" max="3" width="13.83203125" style="18" customWidth="1"/>
    <col min="4" max="4" width="21.83203125" style="18" customWidth="1"/>
    <col min="5" max="5" width="5" style="18" customWidth="1"/>
    <col min="6" max="16384" width="8.83203125" style="18"/>
  </cols>
  <sheetData>
    <row r="1" spans="1:8" x14ac:dyDescent="0.25">
      <c r="A1" s="17"/>
      <c r="B1" s="17"/>
      <c r="C1" s="17"/>
      <c r="D1" s="17"/>
      <c r="E1" s="17"/>
    </row>
    <row r="2" spans="1:8" ht="23" x14ac:dyDescent="0.25">
      <c r="A2" s="17"/>
      <c r="B2" s="19" t="s">
        <v>0</v>
      </c>
      <c r="C2" s="19"/>
      <c r="D2" s="19"/>
      <c r="E2" s="17"/>
    </row>
    <row r="3" spans="1:8" x14ac:dyDescent="0.25">
      <c r="A3" s="17"/>
      <c r="B3" s="17"/>
      <c r="C3" s="17"/>
      <c r="D3" s="17"/>
      <c r="E3" s="17"/>
    </row>
    <row r="4" spans="1:8" x14ac:dyDescent="0.25">
      <c r="A4" s="17"/>
      <c r="B4" s="20" t="s">
        <v>31</v>
      </c>
      <c r="C4" s="20" t="s">
        <v>32</v>
      </c>
      <c r="D4" s="20" t="s">
        <v>33</v>
      </c>
      <c r="E4" s="17"/>
    </row>
    <row r="5" spans="1:8" x14ac:dyDescent="0.25">
      <c r="A5" s="17"/>
      <c r="B5" s="21" t="s">
        <v>1</v>
      </c>
      <c r="C5" s="21"/>
      <c r="D5" s="21"/>
      <c r="E5" s="17"/>
      <c r="G5" s="22" t="s">
        <v>34</v>
      </c>
      <c r="H5" s="23"/>
    </row>
    <row r="6" spans="1:8" x14ac:dyDescent="0.25">
      <c r="A6" s="17"/>
      <c r="B6" s="24" t="s">
        <v>35</v>
      </c>
      <c r="C6" s="25"/>
      <c r="D6" s="25"/>
      <c r="E6" s="17"/>
    </row>
    <row r="7" spans="1:8" x14ac:dyDescent="0.25">
      <c r="A7" s="17"/>
      <c r="B7" s="26" t="s">
        <v>3</v>
      </c>
      <c r="C7" s="27">
        <v>2</v>
      </c>
      <c r="D7" s="28" t="s">
        <v>36</v>
      </c>
      <c r="E7" s="17"/>
      <c r="G7" s="27">
        <v>4</v>
      </c>
      <c r="H7" s="28" t="s">
        <v>36</v>
      </c>
    </row>
    <row r="8" spans="1:8" x14ac:dyDescent="0.25">
      <c r="A8" s="17"/>
      <c r="B8" s="26" t="s">
        <v>5</v>
      </c>
      <c r="C8" s="27">
        <v>5</v>
      </c>
      <c r="D8" s="28" t="s">
        <v>37</v>
      </c>
      <c r="E8" s="17"/>
      <c r="G8" s="27">
        <v>2</v>
      </c>
      <c r="H8" s="28" t="s">
        <v>37</v>
      </c>
    </row>
    <row r="9" spans="1:8" x14ac:dyDescent="0.25">
      <c r="A9" s="17"/>
      <c r="B9" s="26" t="s">
        <v>7</v>
      </c>
      <c r="C9" s="27">
        <v>100</v>
      </c>
      <c r="D9" s="28" t="s">
        <v>38</v>
      </c>
      <c r="E9" s="17"/>
      <c r="G9" s="27">
        <v>80</v>
      </c>
      <c r="H9" s="28" t="s">
        <v>38</v>
      </c>
    </row>
    <row r="10" spans="1:8" x14ac:dyDescent="0.25">
      <c r="A10" s="17"/>
      <c r="B10" s="25"/>
      <c r="C10" s="25"/>
      <c r="D10" s="25"/>
      <c r="E10" s="17"/>
      <c r="G10" s="25"/>
      <c r="H10" s="25"/>
    </row>
    <row r="11" spans="1:8" x14ac:dyDescent="0.25">
      <c r="A11" s="17"/>
      <c r="B11" s="24" t="s">
        <v>39</v>
      </c>
      <c r="C11" s="25"/>
      <c r="D11" s="25"/>
      <c r="E11" s="17"/>
      <c r="G11" s="25"/>
      <c r="H11" s="25"/>
    </row>
    <row r="12" spans="1:8" x14ac:dyDescent="0.25">
      <c r="A12" s="17"/>
      <c r="B12" s="26" t="s">
        <v>10</v>
      </c>
      <c r="C12" s="27">
        <v>5</v>
      </c>
      <c r="D12" s="28" t="s">
        <v>40</v>
      </c>
      <c r="E12" s="17"/>
      <c r="G12" s="27">
        <v>1</v>
      </c>
      <c r="H12" s="28" t="s">
        <v>40</v>
      </c>
    </row>
    <row r="13" spans="1:8" x14ac:dyDescent="0.25">
      <c r="A13" s="17"/>
      <c r="B13" s="26" t="s">
        <v>12</v>
      </c>
      <c r="C13" s="27">
        <v>200</v>
      </c>
      <c r="D13" s="28" t="s">
        <v>41</v>
      </c>
      <c r="E13" s="17"/>
      <c r="G13" s="27">
        <v>75</v>
      </c>
      <c r="H13" s="28" t="s">
        <v>41</v>
      </c>
    </row>
    <row r="14" spans="1:8" x14ac:dyDescent="0.25">
      <c r="A14" s="17"/>
      <c r="B14" s="25"/>
      <c r="C14" s="25"/>
      <c r="D14" s="25"/>
      <c r="E14" s="17"/>
      <c r="G14" s="25"/>
      <c r="H14" s="25"/>
    </row>
    <row r="15" spans="1:8" x14ac:dyDescent="0.25">
      <c r="A15" s="17"/>
      <c r="B15" s="24" t="s">
        <v>42</v>
      </c>
      <c r="C15" s="25"/>
      <c r="D15" s="25"/>
      <c r="E15" s="17"/>
      <c r="G15" s="25"/>
      <c r="H15" s="25"/>
    </row>
    <row r="16" spans="1:8" x14ac:dyDescent="0.25">
      <c r="A16" s="17"/>
      <c r="B16" s="26" t="s">
        <v>15</v>
      </c>
      <c r="C16" s="27">
        <v>10</v>
      </c>
      <c r="D16" s="28" t="s">
        <v>43</v>
      </c>
      <c r="E16" s="17"/>
      <c r="G16" s="27">
        <v>1</v>
      </c>
      <c r="H16" s="28" t="s">
        <v>43</v>
      </c>
    </row>
    <row r="17" spans="1:8" x14ac:dyDescent="0.25">
      <c r="A17" s="17"/>
      <c r="B17" s="26" t="s">
        <v>17</v>
      </c>
      <c r="C17" s="27">
        <v>1500</v>
      </c>
      <c r="D17" s="28" t="s">
        <v>44</v>
      </c>
      <c r="E17" s="17"/>
      <c r="G17" s="27">
        <v>1000</v>
      </c>
      <c r="H17" s="28" t="s">
        <v>44</v>
      </c>
    </row>
    <row r="18" spans="1:8" x14ac:dyDescent="0.25">
      <c r="A18" s="17"/>
      <c r="B18" s="25"/>
      <c r="C18" s="25"/>
      <c r="D18" s="25"/>
      <c r="E18" s="17"/>
      <c r="G18" s="25"/>
      <c r="H18" s="25"/>
    </row>
    <row r="19" spans="1:8" x14ac:dyDescent="0.25">
      <c r="A19" s="17"/>
      <c r="B19" s="24" t="s">
        <v>45</v>
      </c>
      <c r="C19" s="25"/>
      <c r="D19" s="25"/>
      <c r="E19" s="17"/>
      <c r="G19" s="25"/>
      <c r="H19" s="25"/>
    </row>
    <row r="20" spans="1:8" x14ac:dyDescent="0.25">
      <c r="A20" s="17"/>
      <c r="B20" s="26" t="s">
        <v>46</v>
      </c>
      <c r="C20" s="27">
        <v>20000</v>
      </c>
      <c r="D20" s="28" t="s">
        <v>47</v>
      </c>
      <c r="E20" s="17"/>
      <c r="G20" s="27">
        <v>3500</v>
      </c>
      <c r="H20" s="28" t="s">
        <v>47</v>
      </c>
    </row>
    <row r="21" spans="1:8" x14ac:dyDescent="0.25">
      <c r="A21" s="17"/>
      <c r="B21" s="26" t="s">
        <v>48</v>
      </c>
      <c r="C21" s="27">
        <v>2350</v>
      </c>
      <c r="D21" s="28" t="s">
        <v>49</v>
      </c>
      <c r="E21" s="17"/>
      <c r="G21" s="27">
        <v>1600</v>
      </c>
      <c r="H21" s="28" t="s">
        <v>50</v>
      </c>
    </row>
    <row r="22" spans="1:8" x14ac:dyDescent="0.25">
      <c r="A22" s="17"/>
      <c r="B22" s="25"/>
      <c r="C22" s="25"/>
      <c r="D22" s="25"/>
      <c r="E22" s="17"/>
    </row>
    <row r="23" spans="1:8" x14ac:dyDescent="0.25">
      <c r="A23" s="17"/>
      <c r="B23" s="21" t="s">
        <v>22</v>
      </c>
      <c r="C23" s="21"/>
      <c r="D23" s="21"/>
      <c r="E23" s="17"/>
      <c r="G23" s="22" t="s">
        <v>51</v>
      </c>
      <c r="H23" s="23"/>
    </row>
    <row r="24" spans="1:8" x14ac:dyDescent="0.25">
      <c r="A24" s="17"/>
      <c r="B24" s="25"/>
      <c r="C24" s="25"/>
      <c r="D24" s="25"/>
      <c r="E24" s="17"/>
    </row>
    <row r="25" spans="1:8" x14ac:dyDescent="0.25">
      <c r="A25" s="17"/>
      <c r="B25" s="28" t="s">
        <v>23</v>
      </c>
      <c r="C25" s="29">
        <f>C7*C8*C9*4</f>
        <v>4000</v>
      </c>
      <c r="D25" s="28" t="s">
        <v>52</v>
      </c>
      <c r="E25" s="17"/>
      <c r="G25" s="29">
        <f>G7*G8*G9*4</f>
        <v>2560</v>
      </c>
      <c r="H25" s="28" t="s">
        <v>52</v>
      </c>
    </row>
    <row r="26" spans="1:8" x14ac:dyDescent="0.25">
      <c r="A26" s="17"/>
      <c r="B26" s="28" t="s">
        <v>25</v>
      </c>
      <c r="C26" s="29">
        <f>C12*C13*4</f>
        <v>4000</v>
      </c>
      <c r="D26" s="28" t="s">
        <v>52</v>
      </c>
      <c r="E26" s="17"/>
      <c r="G26" s="29">
        <f>G12*G13*4</f>
        <v>300</v>
      </c>
      <c r="H26" s="28" t="s">
        <v>52</v>
      </c>
    </row>
    <row r="27" spans="1:8" x14ac:dyDescent="0.25">
      <c r="A27" s="17"/>
      <c r="B27" s="28" t="s">
        <v>26</v>
      </c>
      <c r="C27" s="29">
        <f>C16*C17</f>
        <v>15000</v>
      </c>
      <c r="D27" s="28" t="s">
        <v>52</v>
      </c>
      <c r="E27" s="17"/>
      <c r="G27" s="29">
        <f>G16*G17</f>
        <v>1000</v>
      </c>
      <c r="H27" s="28" t="s">
        <v>52</v>
      </c>
    </row>
    <row r="28" spans="1:8" x14ac:dyDescent="0.25">
      <c r="A28" s="17"/>
      <c r="B28" s="24" t="s">
        <v>53</v>
      </c>
      <c r="C28" s="30">
        <f>SUM(C25:C27)</f>
        <v>23000</v>
      </c>
      <c r="D28" s="24" t="s">
        <v>54</v>
      </c>
      <c r="E28" s="17"/>
      <c r="G28" s="30">
        <f>SUM(G25:G27)</f>
        <v>3860</v>
      </c>
      <c r="H28" s="24" t="s">
        <v>54</v>
      </c>
    </row>
    <row r="29" spans="1:8" x14ac:dyDescent="0.25">
      <c r="A29" s="17"/>
      <c r="B29" s="28" t="s">
        <v>55</v>
      </c>
      <c r="C29" s="31">
        <f>C21</f>
        <v>2350</v>
      </c>
      <c r="D29" s="28" t="s">
        <v>52</v>
      </c>
      <c r="E29" s="17"/>
      <c r="G29" s="31">
        <f>G21</f>
        <v>1600</v>
      </c>
      <c r="H29" s="28" t="s">
        <v>52</v>
      </c>
    </row>
    <row r="30" spans="1:8" x14ac:dyDescent="0.25">
      <c r="A30" s="17"/>
      <c r="B30" s="24" t="s">
        <v>56</v>
      </c>
      <c r="C30" s="32">
        <f>C28-C29</f>
        <v>20650</v>
      </c>
      <c r="D30" s="24" t="s">
        <v>52</v>
      </c>
      <c r="E30" s="17"/>
      <c r="G30" s="32">
        <f>G28-G29</f>
        <v>2260</v>
      </c>
      <c r="H30" s="24" t="s">
        <v>52</v>
      </c>
    </row>
    <row r="31" spans="1:8" x14ac:dyDescent="0.25">
      <c r="A31" s="17"/>
      <c r="B31" s="24" t="s">
        <v>57</v>
      </c>
      <c r="C31" s="33">
        <f>C30*12</f>
        <v>247800</v>
      </c>
      <c r="D31" s="24" t="s">
        <v>52</v>
      </c>
      <c r="E31" s="17"/>
      <c r="G31" s="33">
        <f>G30*12</f>
        <v>27120</v>
      </c>
      <c r="H31" s="24" t="s">
        <v>52</v>
      </c>
    </row>
    <row r="32" spans="1:8" x14ac:dyDescent="0.25">
      <c r="A32" s="17"/>
      <c r="B32" s="24" t="s">
        <v>58</v>
      </c>
      <c r="C32" s="34">
        <f>IF(C30&lt;=0,"N/A",C20/C30)</f>
        <v>0.96852300242130751</v>
      </c>
      <c r="D32" s="24" t="s">
        <v>59</v>
      </c>
      <c r="E32" s="17"/>
      <c r="G32" s="34">
        <f>IF(G30&lt;=0,"N/A",G20/G30)</f>
        <v>1.5486725663716814</v>
      </c>
      <c r="H32" s="24" t="s">
        <v>59</v>
      </c>
    </row>
    <row r="33" spans="1:8" x14ac:dyDescent="0.25">
      <c r="A33" s="17"/>
      <c r="B33" s="24" t="s">
        <v>60</v>
      </c>
      <c r="C33" s="35">
        <f>IF(C20=0,"N/A",(C30*12-C20)/C20)</f>
        <v>11.39</v>
      </c>
      <c r="D33" s="24" t="s">
        <v>61</v>
      </c>
      <c r="E33" s="17"/>
      <c r="G33" s="35">
        <f>IF(G20=0,"N/A",(G30*12-G20)/G20)</f>
        <v>6.7485714285714282</v>
      </c>
      <c r="H33" s="24" t="s">
        <v>61</v>
      </c>
    </row>
    <row r="34" spans="1:8" x14ac:dyDescent="0.25">
      <c r="A34" s="17"/>
      <c r="B34" s="25"/>
      <c r="C34" s="25"/>
      <c r="D34" s="25"/>
      <c r="E34" s="17"/>
    </row>
    <row r="35" spans="1:8" ht="60" customHeight="1" x14ac:dyDescent="0.25">
      <c r="A35" s="17"/>
      <c r="B35" s="36" t="s">
        <v>62</v>
      </c>
      <c r="C35" s="36"/>
      <c r="D35" s="36"/>
      <c r="E35" s="17"/>
    </row>
  </sheetData>
  <mergeCells count="3">
    <mergeCell ref="B5:D5"/>
    <mergeCell ref="B23:D23"/>
    <mergeCell ref="B35:D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showGridLines="0" workbookViewId="0"/>
  </sheetViews>
  <sheetFormatPr baseColWidth="10" defaultColWidth="8.83203125" defaultRowHeight="15" x14ac:dyDescent="0.2"/>
  <cols>
    <col min="1" max="1" width="5" customWidth="1"/>
    <col min="2" max="2" width="35" customWidth="1"/>
    <col min="3" max="3" width="18" customWidth="1"/>
    <col min="4" max="4" width="15" customWidth="1"/>
    <col min="5" max="5" width="5" customWidth="1"/>
  </cols>
  <sheetData>
    <row r="1" spans="1:7" x14ac:dyDescent="0.2">
      <c r="A1" s="1"/>
      <c r="B1" s="1"/>
      <c r="C1" s="1"/>
      <c r="D1" s="1"/>
      <c r="E1" s="1"/>
      <c r="F1" s="1"/>
      <c r="G1" s="1"/>
    </row>
    <row r="2" spans="1:7" x14ac:dyDescent="0.2">
      <c r="A2" s="1"/>
      <c r="B2" s="14" t="s">
        <v>0</v>
      </c>
      <c r="C2" s="15"/>
      <c r="D2" s="15"/>
      <c r="E2" s="1"/>
      <c r="F2" s="1"/>
      <c r="G2" s="1"/>
    </row>
    <row r="3" spans="1:7" x14ac:dyDescent="0.2">
      <c r="A3" s="1"/>
      <c r="B3" s="15"/>
      <c r="C3" s="15"/>
      <c r="D3" s="15"/>
      <c r="E3" s="1"/>
      <c r="F3" s="1"/>
      <c r="G3" s="1"/>
    </row>
    <row r="4" spans="1:7" x14ac:dyDescent="0.2">
      <c r="A4" s="1"/>
      <c r="B4" s="2"/>
      <c r="C4" s="2"/>
      <c r="D4" s="2"/>
      <c r="E4" s="1"/>
      <c r="F4" s="1"/>
      <c r="G4" s="1"/>
    </row>
    <row r="5" spans="1:7" ht="16" x14ac:dyDescent="0.2">
      <c r="A5" s="1"/>
      <c r="B5" s="16" t="s">
        <v>1</v>
      </c>
      <c r="C5" s="15"/>
      <c r="D5" s="15"/>
      <c r="E5" s="1"/>
      <c r="F5" s="1"/>
      <c r="G5" s="1"/>
    </row>
    <row r="6" spans="1:7" x14ac:dyDescent="0.2">
      <c r="A6" s="1"/>
      <c r="B6" s="2"/>
      <c r="C6" s="2"/>
      <c r="D6" s="2"/>
      <c r="E6" s="1"/>
      <c r="F6" s="1"/>
      <c r="G6" s="1"/>
    </row>
    <row r="7" spans="1:7" ht="16" x14ac:dyDescent="0.2">
      <c r="A7" s="1"/>
      <c r="B7" s="3" t="s">
        <v>2</v>
      </c>
      <c r="C7" s="2"/>
      <c r="D7" s="2"/>
      <c r="E7" s="1"/>
      <c r="F7" s="1"/>
      <c r="G7" s="1"/>
    </row>
    <row r="8" spans="1:7" ht="16" x14ac:dyDescent="0.2">
      <c r="A8" s="1"/>
      <c r="B8" s="4" t="s">
        <v>3</v>
      </c>
      <c r="C8" s="5">
        <v>2</v>
      </c>
      <c r="D8" s="6" t="s">
        <v>4</v>
      </c>
      <c r="E8" s="1"/>
      <c r="F8" s="1"/>
      <c r="G8" s="1"/>
    </row>
    <row r="9" spans="1:7" ht="16" x14ac:dyDescent="0.2">
      <c r="A9" s="1"/>
      <c r="B9" s="4" t="s">
        <v>5</v>
      </c>
      <c r="C9" s="5">
        <v>5</v>
      </c>
      <c r="D9" s="6" t="s">
        <v>6</v>
      </c>
      <c r="E9" s="1"/>
      <c r="F9" s="1"/>
      <c r="G9" s="1"/>
    </row>
    <row r="10" spans="1:7" ht="16" x14ac:dyDescent="0.2">
      <c r="A10" s="1"/>
      <c r="B10" s="4" t="s">
        <v>7</v>
      </c>
      <c r="C10" s="5">
        <v>100</v>
      </c>
      <c r="D10" s="6" t="s">
        <v>8</v>
      </c>
      <c r="E10" s="1"/>
      <c r="F10" s="1"/>
      <c r="G10" s="1"/>
    </row>
    <row r="11" spans="1:7" x14ac:dyDescent="0.2">
      <c r="A11" s="1"/>
      <c r="B11" s="2"/>
      <c r="C11" s="2"/>
      <c r="D11" s="2"/>
      <c r="E11" s="1"/>
      <c r="F11" s="1"/>
      <c r="G11" s="1"/>
    </row>
    <row r="12" spans="1:7" ht="16" x14ac:dyDescent="0.2">
      <c r="A12" s="1"/>
      <c r="B12" s="3" t="s">
        <v>9</v>
      </c>
      <c r="C12" s="2"/>
      <c r="D12" s="2"/>
      <c r="E12" s="1"/>
      <c r="F12" s="1"/>
      <c r="G12" s="1"/>
    </row>
    <row r="13" spans="1:7" ht="16" x14ac:dyDescent="0.2">
      <c r="A13" s="1"/>
      <c r="B13" s="4" t="s">
        <v>10</v>
      </c>
      <c r="C13" s="5">
        <v>5</v>
      </c>
      <c r="D13" s="6" t="s">
        <v>11</v>
      </c>
      <c r="E13" s="1"/>
      <c r="F13" s="1"/>
      <c r="G13" s="1"/>
    </row>
    <row r="14" spans="1:7" ht="16" x14ac:dyDescent="0.2">
      <c r="A14" s="1"/>
      <c r="B14" s="4" t="s">
        <v>12</v>
      </c>
      <c r="C14" s="5">
        <v>200</v>
      </c>
      <c r="D14" s="6" t="s">
        <v>13</v>
      </c>
      <c r="E14" s="1"/>
      <c r="F14" s="1"/>
      <c r="G14" s="1"/>
    </row>
    <row r="15" spans="1:7" x14ac:dyDescent="0.2">
      <c r="A15" s="1"/>
      <c r="B15" s="2"/>
      <c r="C15" s="2"/>
      <c r="D15" s="2"/>
      <c r="E15" s="1"/>
      <c r="F15" s="1"/>
      <c r="G15" s="1"/>
    </row>
    <row r="16" spans="1:7" ht="16" x14ac:dyDescent="0.2">
      <c r="A16" s="1"/>
      <c r="B16" s="3" t="s">
        <v>14</v>
      </c>
      <c r="C16" s="2"/>
      <c r="D16" s="2"/>
      <c r="E16" s="1"/>
      <c r="F16" s="1"/>
      <c r="G16" s="1"/>
    </row>
    <row r="17" spans="1:7" ht="16" x14ac:dyDescent="0.2">
      <c r="A17" s="1"/>
      <c r="B17" s="4" t="s">
        <v>15</v>
      </c>
      <c r="C17" s="5">
        <v>10</v>
      </c>
      <c r="D17" s="6" t="s">
        <v>16</v>
      </c>
      <c r="E17" s="1"/>
      <c r="F17" s="1"/>
      <c r="G17" s="1"/>
    </row>
    <row r="18" spans="1:7" ht="16" x14ac:dyDescent="0.2">
      <c r="A18" s="1"/>
      <c r="B18" s="4" t="s">
        <v>17</v>
      </c>
      <c r="C18" s="5">
        <v>1500</v>
      </c>
      <c r="D18" s="6" t="s">
        <v>18</v>
      </c>
      <c r="E18" s="1"/>
      <c r="F18" s="1"/>
      <c r="G18" s="1"/>
    </row>
    <row r="19" spans="1:7" x14ac:dyDescent="0.2">
      <c r="A19" s="1"/>
      <c r="B19" s="2"/>
      <c r="C19" s="2"/>
      <c r="D19" s="2"/>
      <c r="E19" s="1"/>
      <c r="F19" s="1"/>
      <c r="G19" s="1"/>
    </row>
    <row r="20" spans="1:7" ht="16" x14ac:dyDescent="0.2">
      <c r="A20" s="1"/>
      <c r="B20" s="3" t="s">
        <v>19</v>
      </c>
      <c r="C20" s="2"/>
      <c r="D20" s="2"/>
      <c r="E20" s="1"/>
      <c r="F20" s="1"/>
      <c r="G20" s="1"/>
    </row>
    <row r="21" spans="1:7" ht="16" x14ac:dyDescent="0.2">
      <c r="A21" s="1"/>
      <c r="B21" s="4" t="s">
        <v>20</v>
      </c>
      <c r="C21" s="5">
        <v>20000</v>
      </c>
      <c r="D21" s="6" t="s">
        <v>21</v>
      </c>
      <c r="E21" s="1"/>
      <c r="F21" s="1"/>
      <c r="G21" s="1"/>
    </row>
    <row r="22" spans="1:7" x14ac:dyDescent="0.2">
      <c r="A22" s="1"/>
      <c r="B22" s="2"/>
      <c r="C22" s="2"/>
      <c r="D22" s="2"/>
      <c r="E22" s="1"/>
      <c r="F22" s="1"/>
      <c r="G22" s="1"/>
    </row>
    <row r="23" spans="1:7" ht="16" x14ac:dyDescent="0.2">
      <c r="A23" s="1"/>
      <c r="B23" s="16" t="s">
        <v>22</v>
      </c>
      <c r="C23" s="15"/>
      <c r="D23" s="15"/>
      <c r="E23" s="1"/>
      <c r="F23" s="1"/>
      <c r="G23" s="1"/>
    </row>
    <row r="24" spans="1:7" x14ac:dyDescent="0.2">
      <c r="A24" s="1"/>
      <c r="B24" s="2"/>
      <c r="C24" s="2"/>
      <c r="D24" s="2"/>
      <c r="E24" s="1"/>
      <c r="F24" s="1"/>
      <c r="G24" s="1"/>
    </row>
    <row r="25" spans="1:7" ht="16" x14ac:dyDescent="0.25">
      <c r="A25" s="1"/>
      <c r="B25" s="7" t="s">
        <v>23</v>
      </c>
      <c r="C25" s="8">
        <f>C8*C9*C10*4</f>
        <v>4000</v>
      </c>
      <c r="D25" s="9" t="s">
        <v>24</v>
      </c>
      <c r="E25" s="1"/>
      <c r="F25" s="1"/>
      <c r="G25" s="1"/>
    </row>
    <row r="26" spans="1:7" ht="16" x14ac:dyDescent="0.25">
      <c r="A26" s="1"/>
      <c r="B26" s="7" t="s">
        <v>25</v>
      </c>
      <c r="C26" s="8">
        <f>C13*C14*4</f>
        <v>4000</v>
      </c>
      <c r="D26" s="9" t="s">
        <v>24</v>
      </c>
      <c r="E26" s="1"/>
      <c r="F26" s="1"/>
      <c r="G26" s="1"/>
    </row>
    <row r="27" spans="1:7" ht="16" x14ac:dyDescent="0.25">
      <c r="A27" s="1"/>
      <c r="B27" s="7" t="s">
        <v>26</v>
      </c>
      <c r="C27" s="8">
        <f>C17*C18</f>
        <v>15000</v>
      </c>
      <c r="D27" s="9" t="s">
        <v>24</v>
      </c>
      <c r="E27" s="1"/>
      <c r="F27" s="1"/>
      <c r="G27" s="1"/>
    </row>
    <row r="28" spans="1:7" ht="16" x14ac:dyDescent="0.25">
      <c r="A28" s="1"/>
      <c r="B28" s="10" t="s">
        <v>27</v>
      </c>
      <c r="C28" s="11">
        <f>SUM(C25:C27)</f>
        <v>23000</v>
      </c>
      <c r="D28" s="9" t="s">
        <v>24</v>
      </c>
      <c r="E28" s="1"/>
      <c r="F28" s="1"/>
      <c r="G28" s="1"/>
    </row>
    <row r="29" spans="1:7" ht="16" x14ac:dyDescent="0.25">
      <c r="A29" s="1"/>
      <c r="B29" s="10" t="s">
        <v>28</v>
      </c>
      <c r="C29" s="12">
        <f>C28*12</f>
        <v>276000</v>
      </c>
      <c r="D29" s="9" t="s">
        <v>24</v>
      </c>
      <c r="E29" s="1"/>
      <c r="F29" s="1"/>
      <c r="G29" s="1"/>
    </row>
    <row r="30" spans="1:7" ht="16" x14ac:dyDescent="0.25">
      <c r="A30" s="1"/>
      <c r="B30" s="10" t="s">
        <v>29</v>
      </c>
      <c r="C30" s="13">
        <f>C21/C28</f>
        <v>0.86956521739130432</v>
      </c>
      <c r="D30" s="9" t="s">
        <v>30</v>
      </c>
      <c r="E30" s="1"/>
      <c r="F30" s="1"/>
      <c r="G30" s="1"/>
    </row>
    <row r="31" spans="1:7" x14ac:dyDescent="0.2">
      <c r="A31" s="1"/>
      <c r="B31" s="1"/>
      <c r="C31" s="1"/>
      <c r="D31" s="1"/>
      <c r="E31" s="1"/>
      <c r="F31" s="1"/>
      <c r="G31" s="1"/>
    </row>
    <row r="32" spans="1:7" x14ac:dyDescent="0.2">
      <c r="A32" s="1"/>
      <c r="B32" s="1"/>
      <c r="C32" s="1"/>
      <c r="D32" s="1"/>
      <c r="E32" s="1"/>
      <c r="F32" s="1"/>
      <c r="G32" s="1"/>
    </row>
    <row r="33" spans="1:7" x14ac:dyDescent="0.2">
      <c r="A33" s="1"/>
      <c r="B33" s="1"/>
      <c r="C33" s="1"/>
      <c r="D33" s="1"/>
      <c r="E33" s="1"/>
      <c r="F33" s="1"/>
      <c r="G33" s="1"/>
    </row>
    <row r="34" spans="1:7" x14ac:dyDescent="0.2">
      <c r="A34" s="1"/>
      <c r="B34" s="1"/>
      <c r="C34" s="1"/>
      <c r="D34" s="1"/>
      <c r="E34" s="1"/>
      <c r="F34" s="1"/>
      <c r="G34" s="1"/>
    </row>
    <row r="35" spans="1:7" x14ac:dyDescent="0.2">
      <c r="A35" s="1"/>
      <c r="B35" s="1"/>
      <c r="C35" s="1"/>
      <c r="D35" s="1"/>
      <c r="E35" s="1"/>
      <c r="F35" s="1"/>
      <c r="G35" s="1"/>
    </row>
    <row r="36" spans="1:7" x14ac:dyDescent="0.2">
      <c r="A36" s="1"/>
      <c r="B36" s="1"/>
      <c r="C36" s="1"/>
      <c r="D36" s="1"/>
      <c r="E36" s="1"/>
      <c r="F36" s="1"/>
      <c r="G36" s="1"/>
    </row>
    <row r="37" spans="1:7" x14ac:dyDescent="0.2">
      <c r="A37" s="1"/>
      <c r="B37" s="1"/>
      <c r="C37" s="1"/>
      <c r="D37" s="1"/>
      <c r="E37" s="1"/>
      <c r="F37" s="1"/>
      <c r="G37" s="1"/>
    </row>
    <row r="38" spans="1:7" x14ac:dyDescent="0.2">
      <c r="A38" s="1"/>
      <c r="B38" s="1"/>
      <c r="C38" s="1"/>
      <c r="D38" s="1"/>
      <c r="E38" s="1"/>
      <c r="F38" s="1"/>
      <c r="G38" s="1"/>
    </row>
    <row r="39" spans="1:7" x14ac:dyDescent="0.2">
      <c r="A39" s="1"/>
      <c r="B39" s="1"/>
      <c r="C39" s="1"/>
      <c r="D39" s="1"/>
      <c r="E39" s="1"/>
      <c r="F39" s="1"/>
      <c r="G39" s="1"/>
    </row>
  </sheetData>
  <mergeCells count="3">
    <mergeCell ref="B2:D3"/>
    <mergeCell ref="B23:D23"/>
    <mergeCell ref="B5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ROI App v03</vt:lpstr>
      <vt:lpstr>ROI App v02</vt:lpstr>
      <vt:lpstr>ROI App_v01</vt:lpstr>
      <vt:lpstr>ROI App_v00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maciek szczech</cp:lastModifiedBy>
  <dcterms:created xsi:type="dcterms:W3CDTF">2026-04-12T20:01:55Z</dcterms:created>
  <dcterms:modified xsi:type="dcterms:W3CDTF">2026-09-21T17:42:46Z</dcterms:modified>
</cp:coreProperties>
</file>