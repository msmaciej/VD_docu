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RT HERE" sheetId="1" state="visible" r:id="rId3"/>
    <sheet name="Product Catalogue" sheetId="2" state="visible" r:id="rId4"/>
    <sheet name="Quote Calculator" sheetId="3" state="visible" r:id="rId5"/>
    <sheet name="ROI App" sheetId="4" state="visible" r:id="rId6"/>
    <sheet name="ROI App_v1" sheetId="5" state="visible" r:id="rId7"/>
    <sheet name="ROI App_v0" sheetId="6" state="visible" r:id="rId8"/>
    <sheet name="Package Reference" sheetId="7" state="visible" r:id="rId9"/>
    <sheet name="Access Models" sheetId="8" state="visible" r:id="rId10"/>
    <sheet name="Complexity Reference" sheetId="9" state="visible" r:id="rId11"/>
    <sheet name="Example Quotes" sheetId="10" state="visible" r:id="rId12"/>
    <sheet name="Example Quotes — 3 options" sheetId="11" state="visible" r:id="rId13"/>
    <sheet name="Access &amp; Licence Pricing" sheetId="12" state="visible" r:id="rId14"/>
    <sheet name="Break-Even &amp; Runway" sheetId="13" state="visible" r:id="rId15"/>
    <sheet name="Front-Door Tools — Pricing" sheetId="14" state="visible" r:id="rId16"/>
    <sheet name="Client Quote Summary" sheetId="15" state="visible" r:id="rId17"/>
    <sheet name="MGRS - EMAIL Logic" sheetId="16" state="visible" r:id="rId18"/>
    <sheet name="AUDIT Pricing" sheetId="17" state="visible" r:id="rId19"/>
    <sheet name="Access Support Matrix" sheetId="18" state="visible" r:id="rId20"/>
    <sheet name="DOCU - Pricing Logic"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<sst xmlns="http://schemas.openxmlformats.org/spreadsheetml/2006/main" count="2488" uniqueCount="1670">
  <si>
    <t xml:space="preserve">AI Automation Pricing Calculator — VortexDeep</t>
  </si>
  <si>
    <t xml:space="preserve">Updated workbook. This sheet is the map; the Quote Calculator is the engine.</t>
  </si>
  <si>
    <t xml:space="preserve">Purpose</t>
  </si>
  <si>
    <t xml:space="preserve">Define WHAT we offer, PRICE a build, and show the three ACCESS MODELS a client can hold it under.</t>
  </si>
  <si>
    <t xml:space="preserve">The engine</t>
  </si>
  <si>
    <t xml:space="preserve">Quote Calculator — pick package + access model + support model, set the complexity counts, read setup/monthly and (new) all three access options.</t>
  </si>
  <si>
    <t xml:space="preserve">Cell colours</t>
  </si>
  <si>
    <t xml:space="preserve">Yellow = you edit.   Blue = calculated (don't type over).   Plain/grey = reference &amp; internal.</t>
  </si>
  <si>
    <t xml:space="preserve">Access models</t>
  </si>
  <si>
    <t xml:space="preserve">Managed (default) · Licence (client-facing ownership, we keep the IP) · Full transfer (INTERNAL ONLY). Full policy: IP_and_Licensing_Policy doc.</t>
  </si>
  <si>
    <t xml:space="preserve">Client sharing</t>
  </si>
  <si>
    <t xml:space="preserve">Do NOT send internal logic/pricing sheets to clients. Share only the Client Quote Summary.</t>
  </si>
  <si>
    <t xml:space="preserve">v28 · updated 2026-09 · fixes a formula bug in Quote Calculator F31:F34 (Extra data sources / AI generation steps adders were silently computing to CHF 0 in v27 due to a label mismatch against Complexity Reference); adds Break-Even &amp; Runway sheet; Example Quotes and Example Quotes — 3 options rebuilt as live formulas off the same engine (7 of 8 rows — see 'Example Quotes' column J for the one flagged exception) instead of hand-typed numbers; corrects a package-name contradiction in DOCU - Pricing Logic!F121; links ROI App + Client Quote Summary to the live quote instead of manual paste.</t>
  </si>
  <si>
    <t xml:space="preserve">v27 · updated 2026-08 · supersedes the old 'safe v4' notes.</t>
  </si>
  <si>
    <t xml:space="preserve">SHEET MAP</t>
  </si>
  <si>
    <t xml:space="preserve">Group</t>
  </si>
  <si>
    <t xml:space="preserve">Sheet</t>
  </si>
  <si>
    <t xml:space="preserve">What it's for</t>
  </si>
  <si>
    <t xml:space="preserve">Offer</t>
  </si>
  <si>
    <t xml:space="preserve">Product Catalogue</t>
  </si>
  <si>
    <t xml:space="preserve">What we sell: Area › Sub-area › Automation (+ front-door tools). Mirrors vortexdeep.ch.</t>
  </si>
  <si>
    <t xml:space="preserve">Engine</t>
  </si>
  <si>
    <t xml:space="preserve">Quote Calculator</t>
  </si>
  <si>
    <t xml:space="preserve">Price one build. The live calculator — start here for a quote.</t>
  </si>
  <si>
    <t xml:space="preserve">Engine ref</t>
  </si>
  <si>
    <t xml:space="preserve">Package Reference</t>
  </si>
  <si>
    <t xml:space="preserve">The 5 scope packages and their base setup/monthly ranges.</t>
  </si>
  <si>
    <t xml:space="preserve">Complexity Reference</t>
  </si>
  <si>
    <t xml:space="preserve">Adders &amp; support multipliers the calculator pulls in.</t>
  </si>
  <si>
    <t xml:space="preserve">Access</t>
  </si>
  <si>
    <t xml:space="preserve">Access Models</t>
  </si>
  <si>
    <t xml:space="preserve">The 5 access variants + what client gets / we keep + 'what it means'.</t>
  </si>
  <si>
    <t xml:space="preserve">Access Support Matrix</t>
  </si>
  <si>
    <t xml:space="preserve">The three tiers and where each is priced.</t>
  </si>
  <si>
    <t xml:space="preserve">Access &amp; Licence Pricing</t>
  </si>
  <si>
    <t xml:space="preserve">Managed / Licence / Full-transfer numbers per package.</t>
  </si>
  <si>
    <t xml:space="preserve">Company</t>
  </si>
  <si>
    <t xml:space="preserve">Break-Even &amp; Runway</t>
  </si>
  <si>
    <t xml:space="preserve">NEW in v28 — founder draw + fixed costs vs. blended client revenue -&gt; break-even client count. Tests the deck's own '6-8 clients' claim.</t>
  </si>
  <si>
    <t xml:space="preserve">Examples</t>
  </si>
  <si>
    <t xml:space="preserve">Example Quotes</t>
  </si>
  <si>
    <t xml:space="preserve">Worked example quotes — LIVE formulas off Package/Complexity Reference (v28), driven by the count assumptions in columns L:Q. Confirm those against the real deal.</t>
  </si>
  <si>
    <t xml:space="preserve">Example Quotes — 3 options</t>
  </si>
  <si>
    <t xml:space="preserve">Each build under all three access models — Managed rows pull live from Example Quotes; Licence/Transfer derived by formula (v28).</t>
  </si>
  <si>
    <t xml:space="preserve">Front door</t>
  </si>
  <si>
    <t xml:space="preserve">Front-Door Tools — Pricing</t>
  </si>
  <si>
    <t xml:space="preserve">AISR &amp; AIWSC tiers + market comparison (non-core services).</t>
  </si>
  <si>
    <t xml:space="preserve">Client out</t>
  </si>
  <si>
    <t xml:space="preserve">Client Quote Summary</t>
  </si>
  <si>
    <t xml:space="preserve">The only sheet you share with a client.</t>
  </si>
  <si>
    <t xml:space="preserve">Internal</t>
  </si>
  <si>
    <t xml:space="preserve">MGRS - EMAIL Logic</t>
  </si>
  <si>
    <t xml:space="preserve">Build logic for the MG Red Shift email automation (example).</t>
  </si>
  <si>
    <t xml:space="preserve">DOCU - Pricing Logic</t>
  </si>
  <si>
    <t xml:space="preserve">Counts-based pricing logic write-up.</t>
  </si>
  <si>
    <t xml:space="preserve">AUDIT Pricing</t>
  </si>
  <si>
    <t xml:space="preserve">Pricing audit notes.</t>
  </si>
  <si>
    <t xml:space="preserve">ROI App / _v1 / _v0</t>
  </si>
  <si>
    <t xml:space="preserve">ROI calculators (client value framing).</t>
  </si>
  <si>
    <t xml:space="preserve">WORKFLOW</t>
  </si>
  <si>
    <t xml:space="preserve">1) In Quote Calculator, pick Package + Access model + Support model (yellow cells).</t>
  </si>
  <si>
    <t xml:space="preserve">2) Set the complexity counts (extra channels, AI steps, CRM, approvals, reporting) + any multipliers.</t>
  </si>
  <si>
    <t xml:space="preserve">3) Read Setup / Monthly ranges — and the new 'Three access models (derived)' block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</si>
  <si>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</si>
  <si>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</si>
  <si>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not exhaustive — the list expands. Each automation shows the task PATTERN it uses (patterns recur across areas — that's our reusable IP). ★ = shortlist ready for the website.</t>
  </si>
  <si>
    <t xml:space="preserve">PATTERNS (the verbs):</t>
  </si>
  <si>
    <t xml:space="preserve">Capture · Classify &amp; route · Draft &amp; reply · Extract &amp; validate · Schedule &amp; book · Summarise &amp; report · Monitor &amp; alert · Sync &amp; log</t>
  </si>
  <si>
    <t xml:space="preserve">Area</t>
  </si>
  <si>
    <t xml:space="preserve">Sub-area (job)</t>
  </si>
  <si>
    <t xml:space="preserve">Automation</t>
  </si>
  <si>
    <t xml:space="preserve">Pattern(s)</t>
  </si>
  <si>
    <t xml:space="preserve">★ Site</t>
  </si>
  <si>
    <t xml:space="preserve">Communication &amp; Customers</t>
  </si>
  <si>
    <t xml:space="preserve">Communication &amp; Intake</t>
  </si>
  <si>
    <t xml:space="preserve">Pull every enquiry (form, email, voicemail) into one list</t>
  </si>
  <si>
    <t xml:space="preserve">Capture</t>
  </si>
  <si>
    <t xml:space="preserve">★</t>
  </si>
  <si>
    <t xml:space="preserve">Sort by topic, urgency and language</t>
  </si>
  <si>
    <t xml:space="preserve">Classify &amp; route</t>
  </si>
  <si>
    <t xml:space="preserve">Draft a holding reply for each, for your approval</t>
  </si>
  <si>
    <t xml:space="preserve">Draft &amp; reply</t>
  </si>
  <si>
    <t xml:space="preserve">Route each to the right person or inbox</t>
  </si>
  <si>
    <t xml:space="preserve">Flag anything urgent or unusual</t>
  </si>
  <si>
    <t xml:space="preserve">Monitor &amp; alert</t>
  </si>
  <si>
    <t xml:space="preserve">Log every enquiry with its outcome</t>
  </si>
  <si>
    <t xml:space="preserve">Sync &amp; log</t>
  </si>
  <si>
    <t xml:space="preserve">Customer Support</t>
  </si>
  <si>
    <t xml:space="preserve">Auto-answer repeat questions (order status, returns, how-to)</t>
  </si>
  <si>
    <t xml:space="preserve">Detect and surface urgent tickets first</t>
  </si>
  <si>
    <t xml:space="preserve">Draft replies from your knowledge base</t>
  </si>
  <si>
    <t xml:space="preserve">Escalate anything the AI is unsure about</t>
  </si>
  <si>
    <t xml:space="preserve">Tag and log resolved tickets</t>
  </si>
  <si>
    <t xml:space="preserve">Scheduling &amp; Booking</t>
  </si>
  <si>
    <t xml:space="preserve">Take booking requests any time and offer real slots</t>
  </si>
  <si>
    <t xml:space="preserve">Schedule &amp; book</t>
  </si>
  <si>
    <t xml:space="preserve">Send confirmations and reminders</t>
  </si>
  <si>
    <t xml:space="preserve">Prevent double-bookings</t>
  </si>
  <si>
    <t xml:space="preserve">Reschedule / cancel on request</t>
  </si>
  <si>
    <t xml:space="preserve">Chase no-show risks the day before</t>
  </si>
  <si>
    <t xml:space="preserve">Coordinate group or multi-person slots</t>
  </si>
  <si>
    <t xml:space="preserve">Feedback &amp; Reviews</t>
  </si>
  <si>
    <t xml:space="preserve">Collect feedback from email, reviews and surveys in one place</t>
  </si>
  <si>
    <t xml:space="preserve">Sort praise vs complaints vs questions</t>
  </si>
  <si>
    <t xml:space="preserve">Draft a reply to each, for approval</t>
  </si>
  <si>
    <t xml:space="preserve">Alert on negative reviews fast</t>
  </si>
  <si>
    <t xml:space="preserve">Summarise themes each week</t>
  </si>
  <si>
    <t xml:space="preserve">Summarise &amp; report</t>
  </si>
  <si>
    <t xml:space="preserve">Sales &amp; Growth</t>
  </si>
  <si>
    <t xml:space="preserve">Lead &amp; Sales Pipeline</t>
  </si>
  <si>
    <t xml:space="preserve">Capture leads from forms, events and referrals</t>
  </si>
  <si>
    <t xml:space="preserve">Score and prioritise the promising ones</t>
  </si>
  <si>
    <t xml:space="preserve">Draft first-touch and follow-up messages</t>
  </si>
  <si>
    <t xml:space="preserve">Nudge stalled deals before they go cold</t>
  </si>
  <si>
    <t xml:space="preserve">Keep the CRM updated automatically</t>
  </si>
  <si>
    <t xml:space="preserve">Weekly pipeline summary</t>
  </si>
  <si>
    <t xml:space="preserve">Content &amp; Marketing</t>
  </si>
  <si>
    <t xml:space="preserve">Turn one piece of content into posts + newsletter</t>
  </si>
  <si>
    <t xml:space="preserve">Draft and queue a posting schedule</t>
  </si>
  <si>
    <t xml:space="preserve">Turn recurring customer questions into content</t>
  </si>
  <si>
    <t xml:space="preserve">Repurpose across channels</t>
  </si>
  <si>
    <t xml:space="preserve">Report on what landed</t>
  </si>
  <si>
    <t xml:space="preserve">E-commerce &amp; Fulfilment</t>
  </si>
  <si>
    <t xml:space="preserve">Flag stock-outs, wrong addresses and unusual orders</t>
  </si>
  <si>
    <t xml:space="preserve">Sort the returns inbox (refund / warranty / other)</t>
  </si>
  <si>
    <t xml:space="preserve">Draft order and shipping updates</t>
  </si>
  <si>
    <t xml:space="preserve">Sync orders to fulfilment / accounting</t>
  </si>
  <si>
    <t xml:space="preserve">Daily exceptions report</t>
  </si>
  <si>
    <t xml:space="preserve">Quotes &amp; Proposals</t>
  </si>
  <si>
    <t xml:space="preserve">Build quotes from your price lists</t>
  </si>
  <si>
    <t xml:space="preserve">Extract &amp; validate</t>
  </si>
  <si>
    <t xml:space="preserve">Draft the proposal document</t>
  </si>
  <si>
    <t xml:space="preserve">Check pricing and terms before it goes out</t>
  </si>
  <si>
    <t xml:space="preserve">Log sent quotes and follow up</t>
  </si>
  <si>
    <t xml:space="preserve">Convert accepted quote to order</t>
  </si>
  <si>
    <t xml:space="preserve">Renewals &amp; Retention</t>
  </si>
  <si>
    <t xml:space="preserve">Track what's due for renewal</t>
  </si>
  <si>
    <t xml:space="preserve">Spot early warning signs of churn</t>
  </si>
  <si>
    <t xml:space="preserve">Draft renewal and win-back messages</t>
  </si>
  <si>
    <t xml:space="preserve">Sequence reminders before lapse</t>
  </si>
  <si>
    <t xml:space="preserve">Renewals summary each month</t>
  </si>
  <si>
    <t xml:space="preserve">Documents &amp; Finance</t>
  </si>
  <si>
    <t xml:space="preserve">Document &amp; Data Processing</t>
  </si>
  <si>
    <t xml:space="preserve">Read invoices, receipts, contracts, delivery notes (PDF/photo/post)</t>
  </si>
  <si>
    <t xml:space="preserve">Pull the key fields out reliably</t>
  </si>
  <si>
    <t xml:space="preserve">File and name them so they're findable</t>
  </si>
  <si>
    <t xml:space="preserve">Match documents to the right record</t>
  </si>
  <si>
    <t xml:space="preserve">Flag anything missing or off</t>
  </si>
  <si>
    <t xml:space="preserve">Log to accounting / storage</t>
  </si>
  <si>
    <t xml:space="preserve">Finance &amp; Admin</t>
  </si>
  <si>
    <t xml:space="preserve">Process invoices: capture → extract → log</t>
  </si>
  <si>
    <t xml:space="preserve">Capture · Extract</t>
  </si>
  <si>
    <t xml:space="preserve">Gather each week's due invoices automatically</t>
  </si>
  <si>
    <t xml:space="preserve">Check expense claims against policy</t>
  </si>
  <si>
    <t xml:space="preserve">Send payment reminders / dunning</t>
  </si>
  <si>
    <t xml:space="preserve">Monitor · Draft</t>
  </si>
  <si>
    <t xml:space="preserve">Flag deadlines and regulatory dates</t>
  </si>
  <si>
    <t xml:space="preserve">Reconcile confirmed payments to records</t>
  </si>
  <si>
    <t xml:space="preserve">Contracts &amp; Agreements</t>
  </si>
  <si>
    <t xml:space="preserve">Draft contracts from templates + inputs</t>
  </si>
  <si>
    <t xml:space="preserve">Extract key terms and dates</t>
  </si>
  <si>
    <t xml:space="preserve">Flag renewal / expiry / notice dates</t>
  </si>
  <si>
    <t xml:space="preserve">Route for the right sign-off</t>
  </si>
  <si>
    <t xml:space="preserve">Store signed versions, findable</t>
  </si>
  <si>
    <t xml:space="preserve">Procurement &amp; Suppliers</t>
  </si>
  <si>
    <t xml:space="preserve">Capture supplier bills and orders</t>
  </si>
  <si>
    <t xml:space="preserve">Match delivery ↔ order ↔ invoice</t>
  </si>
  <si>
    <t xml:space="preserve">Flag price or quantity mismatches</t>
  </si>
  <si>
    <t xml:space="preserve">Log to your system</t>
  </si>
  <si>
    <t xml:space="preserve">Supplier spend summary</t>
  </si>
  <si>
    <t xml:space="preserve">Compliance &amp; Filing</t>
  </si>
  <si>
    <t xml:space="preserve">Track filing and regulatory deadlines</t>
  </si>
  <si>
    <t xml:space="preserve">Check documents against rules/regulations</t>
  </si>
  <si>
    <t xml:space="preserve">Assemble the filing pack</t>
  </si>
  <si>
    <t xml:space="preserve">Alert before anything is due</t>
  </si>
  <si>
    <t xml:space="preserve">Keep an audit trail</t>
  </si>
  <si>
    <t xml:space="preserve">Operations &amp; Insight</t>
  </si>
  <si>
    <t xml:space="preserve">Internal Operations</t>
  </si>
  <si>
    <t xml:space="preserve">Route incoming tasks to the right owner</t>
  </si>
  <si>
    <t xml:space="preserve">Chase and remind on open items</t>
  </si>
  <si>
    <t xml:space="preserve">Coordinate hand-offs between steps</t>
  </si>
  <si>
    <t xml:space="preserve">Flag bottlenecks</t>
  </si>
  <si>
    <t xml:space="preserve">Log activity for later review</t>
  </si>
  <si>
    <t xml:space="preserve">Reporting &amp; Analytics</t>
  </si>
  <si>
    <t xml:space="preserve">Scheduled reports (sales, project, production)</t>
  </si>
  <si>
    <t xml:space="preserve">Pull data from several tools into one view</t>
  </si>
  <si>
    <t xml:space="preserve">Alert when numbers cross a threshold</t>
  </si>
  <si>
    <t xml:space="preserve">Turn offer inquiries into an analysis</t>
  </si>
  <si>
    <t xml:space="preserve">Capture · Summarise</t>
  </si>
  <si>
    <t xml:space="preserve">Weekly / monthly dashboard</t>
  </si>
  <si>
    <t xml:space="preserve">People &amp; Hiring</t>
  </si>
  <si>
    <t xml:space="preserve">Draft the job ad from a role brief</t>
  </si>
  <si>
    <t xml:space="preserve">Collect and de-duplicate applications</t>
  </si>
  <si>
    <t xml:space="preserve">Classify and shortlist candidates</t>
  </si>
  <si>
    <t xml:space="preserve">Schedule interviews (candidate + panel)</t>
  </si>
  <si>
    <t xml:space="preserve">Generate and track onboarding paperwork</t>
  </si>
  <si>
    <t xml:space="preserve">Draft · Monitor</t>
  </si>
  <si>
    <t xml:space="preserve">Send status updates to applicants</t>
  </si>
  <si>
    <t xml:space="preserve">Quality &amp; Process Monitoring</t>
  </si>
  <si>
    <t xml:space="preserve">Watch a process and flag exceptions</t>
  </si>
  <si>
    <t xml:space="preserve">Check outputs against a standard</t>
  </si>
  <si>
    <t xml:space="preserve">Alert the right person on a breach</t>
  </si>
  <si>
    <t xml:space="preserve">Log incidents for review</t>
  </si>
  <si>
    <t xml:space="preserve">Trend report on recurring issues</t>
  </si>
  <si>
    <t xml:space="preserve">Knowledge &amp; SOPs</t>
  </si>
  <si>
    <t xml:space="preserve">Draft SOPs from how you actually work</t>
  </si>
  <si>
    <t xml:space="preserve">Answer staff questions from your docs</t>
  </si>
  <si>
    <t xml:space="preserve">Keep procedures updated as things change</t>
  </si>
  <si>
    <t xml:space="preserve">Summarise long docs into quick guides</t>
  </si>
  <si>
    <t xml:space="preserve">Find the right document on request</t>
  </si>
  <si>
    <t xml:space="preserve">FRONT-DOOR TOOLS  (client-facing diagnostics that find &amp; qualify clients, then lead into the core work)</t>
  </si>
  <si>
    <t xml:space="preserve">AISR — AI Search Readiness</t>
  </si>
  <si>
    <t xml:space="preserve">how AI assistants (ChatGPT, Gemini, Claude) describe your business — the new SEO</t>
  </si>
  <si>
    <t xml:space="preserve">Scan how AI assistants describe you today</t>
  </si>
  <si>
    <t xml:space="preserve">Find the on-site cause of gaps or errors</t>
  </si>
  <si>
    <t xml:space="preserve">Apply approved on-site fixes</t>
  </si>
  <si>
    <t xml:space="preserve">Draft · Sync</t>
  </si>
  <si>
    <t xml:space="preserve">AIWSC — Website Security Check</t>
  </si>
  <si>
    <t xml:space="preserve">read-only security fit-check, scoped strictly by client authorization</t>
  </si>
  <si>
    <t xml:space="preserve">Read-only security fit-check (authorized scope only)</t>
  </si>
  <si>
    <t xml:space="preserve">Monitor · Validate</t>
  </si>
  <si>
    <t xml:space="preserve">Flag issues by risk level</t>
  </si>
  <si>
    <t xml:space="preserve">Report with a prioritized, plain-language fix list</t>
  </si>
  <si>
    <t xml:space="preserve">ALSO — internal capability (we can do these; not part of the core offering, not advertised on the public site):</t>
  </si>
  <si>
    <t xml:space="preserve">Website build</t>
  </si>
  <si>
    <t xml:space="preserve">simple → complex sites (vortexdeep.ch, mgredshift.ch)</t>
  </si>
  <si>
    <t xml:space="preserve">Trading-system analysis</t>
  </si>
  <si>
    <t xml:space="preserve">metrics by timeframe &amp; instrument (FX, metals…)</t>
  </si>
  <si>
    <t xml:space="preserve">★ marks a clean client-facing shortlist ready to expose on the website under each sub-area. Everything else stays as internal depth. List is representative and expandable.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</si>
  <si>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</si>
  <si>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</si>
  <si>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</si>
  <si>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</si>
  <si>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</si>
  <si>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</si>
  <si>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</si>
  <si>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</si>
  <si>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</si>
  <si>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</si>
  <si>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</si>
  <si>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</si>
  <si>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</si>
  <si>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</si>
  <si>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</si>
  <si>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No support</t>
  </si>
  <si>
    <t xml:space="preserve">build-and-transfer, client owns risk</t>
  </si>
  <si>
    <t xml:space="preserve">2</t>
  </si>
  <si>
    <t xml:space="preserve">Selected package</t>
  </si>
  <si>
    <t xml:space="preserve">Basic Intake</t>
  </si>
  <si>
    <t xml:space="preserve">EDIT: scope package only — excludes Build-and-Transfer (use Access model C6 = Build-and-transfer for handover projects)</t>
  </si>
  <si>
    <t xml:space="preserve"> </t>
  </si>
  <si>
    <t xml:space="preserve">Package</t>
  </si>
  <si>
    <t xml:space="preserve">Light support</t>
  </si>
  <si>
    <t xml:space="preserve">occasional checks/fixes</t>
  </si>
  <si>
    <t xml:space="preserve">3</t>
  </si>
  <si>
    <t xml:space="preserve">Access / ownership model</t>
  </si>
  <si>
    <t xml:space="preserve">Managed service</t>
  </si>
  <si>
    <t xml:space="preserve">EDIT: controls setup/handover premium only (not monthly)</t>
  </si>
  <si>
    <t xml:space="preserve">Access model</t>
  </si>
  <si>
    <t xml:space="preserve">Normal managed support</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</si>
  <si>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</si>
  <si>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</si>
  <si>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</si>
  <si>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</si>
  <si>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</si>
  <si>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</si>
  <si>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Agentic Automation</t>
  </si>
  <si>
    <t xml:space="preserve">Premium transfer support</t>
  </si>
  <si>
    <t xml:space="preserve">5</t>
  </si>
  <si>
    <t xml:space="preserve">Base setup low</t>
  </si>
  <si>
    <t xml:space="preserve">CALC from Package Reference</t>
  </si>
  <si>
    <t xml:space="preserve">Monthly range</t>
  </si>
  <si>
    <t xml:space="preserve">Critical support</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</si>
  <si>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</si>
  <si>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</si>
  <si>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</si>
  <si>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</si>
  <si>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</si>
  <si>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</si>
  <si>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</si>
  <si>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</si>
  <si>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</si>
  <si>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Notes</t>
  </si>
  <si>
    <t xml:space="preserve">Prices exclude third-party tool/API usage unless agreed.</t>
  </si>
  <si>
    <t xml:space="preserve">9</t>
  </si>
  <si>
    <t xml:space="preserve">Auto access setup multiplier</t>
  </si>
  <si>
    <t xml:space="preserve">CALC from Access Models col J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</si>
  <si>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</si>
  <si>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</si>
  <si>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</si>
  <si>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</si>
  <si>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</si>
  <si>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</si>
  <si>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</si>
  <si>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</si>
  <si>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Examples:</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</si>
  <si>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</si>
  <si>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</si>
  <si>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</si>
  <si>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Extra data sources / triggers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</si>
  <si>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</si>
  <si>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</si>
  <si>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</si>
  <si>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Each distinct inbound source beyond the base package (separate webhook endpoint, app trigger or API feed).</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</si>
  <si>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</si>
  <si>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</si>
  <si>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</si>
  <si>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Example values:</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</si>
  <si>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</si>
  <si>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</si>
  <si>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</si>
  <si>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Primary source included in package = 0</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</si>
  <si>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</si>
  <si>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</si>
  <si>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</si>
  <si>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form on a separate webhook = 1</t>
  </si>
  <si>
    <t xml:space="preserve">17</t>
  </si>
  <si>
    <t xml:space="preserve">Urgency multiplier</t>
  </si>
  <si>
    <t xml:space="preserve">EDIT: normal = 1.0. Use 1.2 for 2–3 week delivery. Use 1.3–1.5 for hard deadlines within days (compressed build, testing and handover). Never exceed 1.5.</t>
  </si>
  <si>
    <t xml:space="preserve">Website form + Instagram DM = 2;  or  invoice email + webhook = 2</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</si>
  <si>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</si>
  <si>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</si>
  <si>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</si>
  <si>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Website + Instagram + invoice email = 3;  or  3 distinct API sources = 3</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</si>
  <si>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</si>
  <si>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</si>
  <si>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</si>
  <si>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</si>
  <si>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</si>
  <si>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</si>
  <si>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AI generation steps</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</si>
  <si>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</si>
  <si>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</si>
  <si>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</si>
  <si>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Each distinct HTTP module calling OpenAI / Claude (count per draft type, any email volume).</t>
  </si>
  <si>
    <t xml:space="preserve">Effective setup/access multiplier</t>
  </si>
  <si>
    <t xml:space="preserve">CALC</t>
  </si>
  <si>
    <t xml:space="preserve">Classify or route only, no AI generation call = 0</t>
  </si>
  <si>
    <t xml:space="preserve">Effective monthly support multiplier</t>
  </si>
  <si>
    <t xml:space="preserve">One AI generation type (reply draft, field extraction, or content call) = 1</t>
  </si>
  <si>
    <t xml:space="preserve">Setup subtotal low (before multipliers)</t>
  </si>
  <si>
    <t xml:space="preserve">Booking reply draft + invoice field extraction = 2;  or  repurposing + reply = 2</t>
  </si>
  <si>
    <t xml:space="preserve">Setup subtotal high (before multipliers)</t>
  </si>
  <si>
    <t xml:space="preserve">Monthly subtotal low (before support multiplier)</t>
  </si>
  <si>
    <t xml:space="preserve">CRM integrations — Make.com context</t>
  </si>
  <si>
    <t xml:space="preserve">Monthly subtotal high (before support multiplier)</t>
  </si>
  <si>
    <t xml:space="preserve">Each external database / CRM connected (Notion, HubSpot, Airtable, Google Sheets as CRM). Count per system, not per module.</t>
  </si>
  <si>
    <t xml:space="preserve">Calculated setup low</t>
  </si>
  <si>
    <t xml:space="preserve">Calculated setup high</t>
  </si>
  <si>
    <t xml:space="preserve">Folder routing only, no CRM = 0</t>
  </si>
  <si>
    <t xml:space="preserve">Calculated monthly low</t>
  </si>
  <si>
    <t xml:space="preserve">Notion only (any number of Notion modules) = 1</t>
  </si>
  <si>
    <t xml:space="preserve">Calculated monthly high</t>
  </si>
  <si>
    <t xml:space="preserve">Notion + HubSpot = 2</t>
  </si>
  <si>
    <t xml:space="preserve">Recommended setup quote</t>
  </si>
  <si>
    <t xml:space="preserve">Recommended monthly quote</t>
  </si>
  <si>
    <t xml:space="preserve">Approval workflows — Make.com context</t>
  </si>
  <si>
    <t xml:space="preserve">Each route where Make.com pauses and a human must review / approve before it sends or acts.</t>
  </si>
  <si>
    <t xml:space="preserve">Quote Sanity Check (auto)</t>
  </si>
  <si>
    <t xml:space="preserve">Check</t>
  </si>
  <si>
    <t xml:space="preserve">Status</t>
  </si>
  <si>
    <t xml:space="preserve">Detail</t>
  </si>
  <si>
    <t xml:space="preserve">Auto folder-move only, no human gate = 0</t>
  </si>
  <si>
    <t xml:space="preserve">Package name matches Reference</t>
  </si>
  <si>
    <t xml:space="preserve">SEEKER draft reviewed by human before reply = 1</t>
  </si>
  <si>
    <t xml:space="preserve">Access model matches Reference</t>
  </si>
  <si>
    <t xml:space="preserve">SEEKER gated + LEAD CRM entry requires approval = 2</t>
  </si>
  <si>
    <t xml:space="preserve">Support model matches Reference</t>
  </si>
  <si>
    <t xml:space="preserve">Sensitive data has approval workflow</t>
  </si>
  <si>
    <t xml:space="preserve">Reporting layer — Make.com context</t>
  </si>
  <si>
    <t xml:space="preserve">Urgency multiplier reasonable</t>
  </si>
  <si>
    <t xml:space="preserve">Handover risk acknowledged</t>
  </si>
  <si>
    <t xml:space="preserve">Test-folder log only = 0</t>
  </si>
  <si>
    <t xml:space="preserve">Reporting fits package</t>
  </si>
  <si>
    <t xml:space="preserve">Notion analytics view or Google Sheets report = 1</t>
  </si>
  <si>
    <t xml:space="preserve">Multiple separate reporting dashboards = 2 (rare)</t>
  </si>
  <si>
    <t xml:space="preserve">Tip: Status meanings:</t>
  </si>
  <si>
    <t xml:space="preserve">OK =</t>
  </si>
  <si>
    <t xml:space="preserve">no concern;</t>
  </si>
  <si>
    <t xml:space="preserve">C25 one-time add — typical operational uses:</t>
  </si>
  <si>
    <t xml:space="preserve">WARN =</t>
  </si>
  <si>
    <t xml:space="preserve">check before sending quote;</t>
  </si>
  <si>
    <t xml:space="preserve">Make.com plan upgrade (if client needs higher ops tier)</t>
  </si>
  <si>
    <t xml:space="preserve">FAIL =</t>
  </si>
  <si>
    <t xml:space="preserve">formulas returning 0 because name doesn't match;</t>
  </si>
  <si>
    <t xml:space="preserve">Third-party API onboarding or account setup fee</t>
  </si>
  <si>
    <t xml:space="preserve">NOTE =</t>
  </si>
  <si>
    <t xml:space="preserve">situation worth documenting in the client quote.</t>
  </si>
  <si>
    <t xml:space="preserve">First-month OpenAI / Claude credit (pre-funded budget)</t>
  </si>
  <si>
    <t xml:space="preserve">C26 monthly add — operational pass-through costs:</t>
  </si>
  <si>
    <t xml:space="preserve">Make.com ops: CHF 15–30 simple · 30–60 moderate · 60–120 complex /month</t>
  </si>
  <si>
    <t xml:space="preserve">THREE ACCESS MODELS (derived live from the quote above)</t>
  </si>
  <si>
    <t xml:space="preserve">OpenAI / Claude tokens: CHF 10–20 / 200–500 drafts · 20–40 / 500–2000 drafts /month</t>
  </si>
  <si>
    <t xml:space="preserve">Managed (default) =</t>
  </si>
  <si>
    <t xml:space="preserve">the quote above</t>
  </si>
  <si>
    <t xml:space="preserve">Licence =</t>
  </si>
  <si>
    <t xml:space="preserve">setup ×1.30 + annual licence ≈ 50% of the managed year (we keep the IP).</t>
  </si>
  <si>
    <t xml:space="preserve">MG Red Shift (14-module SEEKER CRM)</t>
  </si>
  <si>
    <t xml:space="preserve">Full transfer (internal only) =</t>
  </si>
  <si>
    <t xml:space="preserve">setup + 2.5×12×monthly (INTERNAL ONLY; recurring 0).</t>
  </si>
  <si>
    <t xml:space="preserve">Extra channels (C16)</t>
  </si>
  <si>
    <t xml:space="preserve">Setup</t>
  </si>
  <si>
    <t xml:space="preserve">Recurring</t>
  </si>
  <si>
    <t xml:space="preserve">AI draft workflows (C17)</t>
  </si>
  <si>
    <t xml:space="preserve">low</t>
  </si>
  <si>
    <t xml:space="preserve">high</t>
  </si>
  <si>
    <t xml:space="preserve">CRM integrations (C18)</t>
  </si>
  <si>
    <t xml:space="preserve">Approval workflows (C19)</t>
  </si>
  <si>
    <t xml:space="preserve">Managed (default)</t>
  </si>
  <si>
    <t xml:space="preserve">/ month</t>
  </si>
  <si>
    <t xml:space="preserve">Reporting layer (C20)</t>
  </si>
  <si>
    <t xml:space="preserve">Licence</t>
  </si>
  <si>
    <t xml:space="preserve">/ year (licence)</t>
  </si>
  <si>
    <t xml:space="preserve">Custom monthly add C26 (ops est.)</t>
  </si>
  <si>
    <t xml:space="preserve">CHF 30–60</t>
  </si>
  <si>
    <t xml:space="preserve">Full transfer (internal only)</t>
  </si>
  <si>
    <t xml:space="preserve">/ month (0)</t>
  </si>
  <si>
    <t xml:space="preserve">  → Make.com ops estimate</t>
  </si>
  <si>
    <t xml:space="preserve">CHF 20–40 / month</t>
  </si>
  <si>
    <t xml:space="preserve">  → OpenAI tokens estimate (SEEKER drafts)</t>
  </si>
  <si>
    <t xml:space="preserve">CHF 10–20 / month</t>
  </si>
  <si>
    <t xml:space="preserve">Transfer is a multiplier on the build — it grows with scope, so it's kept internal-only. Licence is the client-facing ownership option.</t>
  </si>
  <si>
    <t xml:space="preserve">   ROI Automation Calculator</t>
  </si>
  <si>
    <t xml:space="preserve">Unit / Notes</t>
  </si>
  <si>
    <t xml:space="preserve">CASE STUDY</t>
  </si>
  <si>
    <t xml:space="preserve"> 1. CLIENT INPUTS</t>
  </si>
  <si>
    <t xml:space="preserve">MG1</t>
  </si>
  <si>
    <t xml:space="preserve">MG2</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</si>
  <si>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</si>
  <si>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</si>
  <si>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</si>
  <si>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</si>
  <si>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</si>
  <si>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</si>
  <si>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</si>
  <si>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</si>
  <si>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</si>
  <si>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</si>
  <si>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</si>
  <si>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</si>
  <si>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</si>
  <si>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</si>
  <si>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</si>
  <si>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</si>
  <si>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</si>
  <si>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</si>
  <si>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</si>
  <si>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 — live-linked to Quote Calculator F39 (Recommended setup quote). Overtype with a fixed number to freeze a scenario.</t>
  </si>
  <si>
    <t xml:space="preserve">CHF total</t>
  </si>
  <si>
    <t xml:space="preserve">Monthly Managed AI Ops Cost</t>
  </si>
  <si>
    <t xml:space="preserve">CHF / month — live-linked to Quote Calculator F40 (Recommended monthly quote). Overtype with a fixed number to freeze a scenario.</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</si>
  <si>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</si>
  <si>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</si>
  <si>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</si>
  <si>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</si>
  <si>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</si>
  <si>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</si>
  <si>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</si>
  <si>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</si>
  <si>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</si>
  <si>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</si>
  <si>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</si>
  <si>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</si>
  <si>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</si>
  <si>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</si>
  <si>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</si>
  <si>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</si>
  <si>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</si>
  <si>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</si>
  <si>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</si>
  <si>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</si>
  <si>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 3. NEGOTIATION VIEW</t>
  </si>
  <si>
    <t xml:space="preserve">Value Ceiling (monthly)</t>
  </si>
  <si>
    <t xml:space="preserve">CHF/month — max fee where client still breaks even in Year 1</t>
  </si>
  <si>
    <t xml:space="preserve">CHF/month</t>
  </si>
  <si>
    <t xml:space="preserve">Headroom — value kept by client</t>
  </si>
  <si>
    <t xml:space="preserve">CHF/month below the ceiling. Use this when client says fee is high.</t>
  </si>
  <si>
    <t xml:space="preserve">Staffing alternative comparison</t>
  </si>
  <si>
    <t xml:space="preserve">Equiv. manual staffing cost</t>
  </si>
  <si>
    <t xml:space="preserve">CHF/month — est. cost of person doing this manually. Rule of thumb CH: CHF 70k salary ≈ CHF 8,300/month fully loaded. Even 1 day/week ≈ CHF 2,000+.</t>
  </si>
  <si>
    <t xml:space="preserve">Automation saving vs. staffing</t>
  </si>
  <si>
    <t xml:space="preserve">CHF/month saved vs. hiring. Negative = staffing is cheaper.</t>
  </si>
  <si>
    <t xml:space="preserve">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</si>
  <si>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</si>
  <si>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MGREDSHIFT</t>
  </si>
  <si>
    <t xml:space="preserve">CHF / month — paste from Quote Calculator C39 (Recommended monthly quote)</t>
  </si>
  <si>
    <t xml:space="preserve">% (over Year 1)</t>
  </si>
  <si>
    <t xml:space="preserve">Tip: Monthly Managed AI Ops (C20) should match 'Recommended monthly quote' from the Quote Calculator tab (cell C39). Yellow = edit, light blue = calculated.</t>
  </si>
  <si>
    <t xml:space="preserve">Package Pricing Reference</t>
  </si>
  <si>
    <t xml:space="preserve">EDITABLE RANGE: update package names, price ranges, scope notes and access model here. Quote Calculator reads columns A:E by package name.</t>
  </si>
  <si>
    <t xml:space="preserve">Setup Low</t>
  </si>
  <si>
    <t xml:space="preserve">Setup High</t>
  </si>
  <si>
    <t xml:space="preserve">Monthly Low</t>
  </si>
  <si>
    <t xml:space="preserve">Monthly High</t>
  </si>
  <si>
    <t xml:space="preserve">Typical scope</t>
  </si>
  <si>
    <t xml:space="preserve">Best for</t>
  </si>
  <si>
    <t xml:space="preserve">Internal note</t>
  </si>
  <si>
    <t xml:space="preserve">Commercial label</t>
  </si>
  <si>
    <t xml:space="preserve">Typical use by automation type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</si>
  <si>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</si>
  <si>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</si>
  <si>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</si>
  <si>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</si>
  <si>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</si>
  <si>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</si>
  <si>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</si>
  <si>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</si>
  <si>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</si>
  <si>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</si>
  <si>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</si>
  <si>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</si>
  <si>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</si>
  <si>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</si>
  <si>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</si>
  <si>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</si>
  <si>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</si>
  <si>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</si>
  <si>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</si>
  <si>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</si>
  <si>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</si>
  <si>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</si>
  <si>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</si>
  <si>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</si>
  <si>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</si>
  <si>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</si>
  <si>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</si>
  <si>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</si>
  <si>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</si>
  <si>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</si>
  <si>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</si>
  <si>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</si>
  <si>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</si>
  <si>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</si>
  <si>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</si>
  <si>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</si>
  <si>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</si>
  <si>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</si>
  <si>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</si>
  <si>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</si>
  <si>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Access &amp; Ownership Pricing Logic</t>
  </si>
  <si>
    <t xml:space="preserve">these five models are the granular access variants that implement the three policy tiers (Managed / Licence / Full transfer). See IP &amp; Licensing Policy.</t>
  </si>
  <si>
    <t xml:space="preserve">Model</t>
  </si>
  <si>
    <t xml:space="preserve">Client receives</t>
  </si>
  <si>
    <t xml:space="preserve">You retain</t>
  </si>
  <si>
    <t xml:space="preserve">Pricing effect</t>
  </si>
  <si>
    <t xml:space="preserve">Monthly effect</t>
  </si>
  <si>
    <t xml:space="preserve">Risk</t>
  </si>
  <si>
    <t xml:space="preserve">Use when</t>
  </si>
  <si>
    <t xml:space="preserve">Client wording</t>
  </si>
  <si>
    <t xml:space="preserve">Default setup multiplier</t>
  </si>
  <si>
    <t xml:space="preserve">Typical range</t>
  </si>
  <si>
    <t xml:space="preserve">Pricing use in FIXED calculator</t>
  </si>
  <si>
    <t xml:space="preserve">Policy tier</t>
  </si>
  <si>
    <t xml:space="preserve">Results, dashboards, reports, approval queue</t>
  </si>
  <si>
    <t xml:space="preserve">Make logic, prompts, reusable blueprints</t>
  </si>
  <si>
    <t xml:space="preserve">Normal</t>
  </si>
  <si>
    <t xml:space="preserve">x1.0 monthly</t>
  </si>
  <si>
    <t xml:space="preserve">Low</t>
  </si>
  <si>
    <t xml:space="preserve">Default</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</si>
  <si>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</si>
  <si>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</si>
  <si>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</si>
  <si>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</si>
  <si>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</si>
  <si>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</si>
  <si>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</si>
  <si>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</si>
  <si>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</si>
  <si>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</si>
  <si>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</si>
  <si>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</si>
  <si>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</si>
  <si>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</si>
  <si>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</si>
  <si>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</si>
  <si>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</si>
  <si>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</si>
  <si>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</si>
  <si>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</si>
  <si>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</si>
  <si>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</si>
  <si>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</si>
  <si>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</si>
  <si>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</si>
  <si>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</si>
  <si>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</si>
  <si>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</si>
  <si>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</si>
  <si>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</si>
  <si>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</si>
  <si>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</si>
  <si>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</si>
  <si>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</si>
  <si>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Build-and-transfer</t>
  </si>
  <si>
    <t xml:space="preserve">Full Make scenario, export, documentation</t>
  </si>
  <si>
    <t xml:space="preserve">General know-how only</t>
  </si>
  <si>
    <t xml:space="preserve">x1.5–x3 setup</t>
  </si>
  <si>
    <t xml:space="preserve">x0–x3 monthly depending support</t>
  </si>
  <si>
    <t xml:space="preserve">High</t>
  </si>
  <si>
    <t xml:space="preserve">INTERNAL INFORMATION ONLY — not a client-facing offer</t>
  </si>
  <si>
    <t xml:space="preserve">We build and hand over the automation asset.</t>
  </si>
  <si>
    <t xml:space="preserve">Documented for internal clarity; not sold. See IP &amp; Licensing Policy.</t>
  </si>
  <si>
    <t xml:space="preserve">x1.5–x3.0</t>
  </si>
  <si>
    <t xml:space="preserve">Build-and-transfer default; override if needed.</t>
  </si>
  <si>
    <t xml:space="preserve">Full transfer — internal info only</t>
  </si>
  <si>
    <t xml:space="preserve">Client</t>
  </si>
  <si>
    <t xml:space="preserve">VD</t>
  </si>
  <si>
    <t xml:space="preserve">what it means?</t>
  </si>
  <si>
    <t xml:space="preserve">Approvals</t>
  </si>
  <si>
    <t xml:space="preserve">You review and OK an action before it happens.</t>
  </si>
  <si>
    <t xml:space="preserve">Dashboards</t>
  </si>
  <si>
    <t xml:space="preserve">A live screen showing what the automation is doing and its status.</t>
  </si>
  <si>
    <t xml:space="preserve">Results</t>
  </si>
  <si>
    <t xml:space="preserve">The finished output of a run (sorted messages, extracted data, etc.).</t>
  </si>
  <si>
    <t xml:space="preserve">Reports</t>
  </si>
  <si>
    <t xml:space="preserve">Periodic summaries (daily/weekly) of what was processed.</t>
  </si>
  <si>
    <t xml:space="preserve">Approval Queue</t>
  </si>
  <si>
    <t xml:space="preserve">The list of items waiting for your yes/no before they're sent or done.</t>
  </si>
  <si>
    <t xml:space="preserve">Charts (Mermaid, &lt;other&gt;)</t>
  </si>
  <si>
    <t xml:space="preserve">A visual diagram of how the workflow flows — for understanding, not editing.</t>
  </si>
  <si>
    <t xml:space="preserve">Status Rules</t>
  </si>
  <si>
    <t xml:space="preserve">The plain rules that decide what counts as done, pending, or failed.</t>
  </si>
  <si>
    <t xml:space="preserve">Run Summaries</t>
  </si>
  <si>
    <t xml:space="preserve">A short recap of each run: how many handled, flagged, errored.</t>
  </si>
  <si>
    <t xml:space="preserve">Scenarios (Make, n8n, &lt;other&gt;)</t>
  </si>
  <si>
    <t xml:space="preserve">The actual automation build (the connected steps) inside Make/n8n.</t>
  </si>
  <si>
    <t xml:space="preserve">Logic (Make, n8n, &lt;other&gt;)</t>
  </si>
  <si>
    <t xml:space="preserve">The decision rules inside the scenario — how it classifies and routes.</t>
  </si>
  <si>
    <t xml:space="preserve">Prompts (Make, n8n, &lt;other&gt;)</t>
  </si>
  <si>
    <t xml:space="preserve">The exact instructions given to the AI at each step.</t>
  </si>
  <si>
    <t xml:space="preserve">Blueprints (Make, n8n, &lt;other&gt;)</t>
  </si>
  <si>
    <t xml:space="preserve">A reusable export of a scenario that lets it be rebuilt. We retain this.</t>
  </si>
  <si>
    <t xml:space="preserve">Documentation</t>
  </si>
  <si>
    <t xml:space="preserve">Written explanation of what the automation does and how to operate it.</t>
  </si>
  <si>
    <t xml:space="preserve">Export?</t>
  </si>
  <si>
    <t xml:space="preserve">Whether a copy of the scenario file can be taken out of the tool.</t>
  </si>
  <si>
    <t xml:space="preserve">reusable blueprints</t>
  </si>
  <si>
    <t xml:space="preserve">Our library of scenario templates reused across clients. Ours only.</t>
  </si>
  <si>
    <t xml:space="preserve">reusable logic</t>
  </si>
  <si>
    <t xml:space="preserve">Our library of decision patterns reused across clients. Ours only.</t>
  </si>
  <si>
    <t xml:space="preserve">implementation details</t>
  </si>
  <si>
    <t xml:space="preserve">The specific technical wiring and config behind the scenario. Ours only.</t>
  </si>
  <si>
    <t xml:space="preserve">scenario edit rights</t>
  </si>
  <si>
    <t xml:space="preserve">Permission to change the automation's build (granted only in Limited admin).</t>
  </si>
  <si>
    <t xml:space="preserve">blueprint exports</t>
  </si>
  <si>
    <t xml:space="preserve">The ability to export the blueprint file. Ours only.</t>
  </si>
  <si>
    <t xml:space="preserve">methodology</t>
  </si>
  <si>
    <t xml:space="preserve">Our process for discovering, scoping and building automations. Never shared.</t>
  </si>
  <si>
    <t xml:space="preserve">reusable templates</t>
  </si>
  <si>
    <t xml:space="preserve">Our standard building blocks used across projects. Ours only.</t>
  </si>
  <si>
    <t xml:space="preserve">general know-how</t>
  </si>
  <si>
    <t xml:space="preserve">Generic experience we keep after any engagement.</t>
  </si>
  <si>
    <t xml:space="preserve">Complexity Adders &amp; Multipliers</t>
  </si>
  <si>
    <t xml:space="preserve">Support Model Lookup - Editable</t>
  </si>
  <si>
    <t xml:space="preserve">Factor</t>
  </si>
  <si>
    <t xml:space="preserve">Rule</t>
  </si>
  <si>
    <t xml:space="preserve">When to apply</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</si>
  <si>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</si>
  <si>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</si>
  <si>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</si>
  <si>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</si>
  <si>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</si>
  <si>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</si>
  <si>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</si>
  <si>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</si>
  <si>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</si>
  <si>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</si>
  <si>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</si>
  <si>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</si>
  <si>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</si>
  <si>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</si>
  <si>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</si>
  <si>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</si>
  <si>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</si>
  <si>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</si>
  <si>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</si>
  <si>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</si>
  <si>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</si>
  <si>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</si>
  <si>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</si>
  <si>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</si>
  <si>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</si>
  <si>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</si>
  <si>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</si>
  <si>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</si>
  <si>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</si>
  <si>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</si>
  <si>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</si>
  <si>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</si>
  <si>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</si>
  <si>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</si>
  <si>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</si>
  <si>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</si>
  <si>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</si>
  <si>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</si>
  <si>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</si>
  <si>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</si>
  <si>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</si>
  <si>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</si>
  <si>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</si>
  <si>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</si>
  <si>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</si>
  <si>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</si>
  <si>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</si>
  <si>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</si>
  <si>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</si>
  <si>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</si>
  <si>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monthly report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</si>
  <si>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</si>
  <si>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</si>
  <si>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</si>
  <si>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</si>
  <si>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</si>
  <si>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</si>
  <si>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</si>
  <si>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</si>
  <si>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</si>
  <si>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</si>
  <si>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</si>
  <si>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</si>
  <si>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</si>
  <si>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</si>
  <si>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</si>
  <si>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</si>
  <si>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</si>
  <si>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</si>
  <si>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</si>
  <si>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</si>
  <si>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</si>
  <si>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own Make workspace</t>
  </si>
  <si>
    <t xml:space="preserve">Monthly support model</t>
  </si>
  <si>
    <t xml:space="preserve">Monthly multiplier</t>
  </si>
  <si>
    <t xml:space="preserve">Typical monthly logic</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</si>
  <si>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</si>
  <si>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</si>
  <si>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</si>
  <si>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</si>
  <si>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</si>
  <si>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</si>
  <si>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</si>
  <si>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</si>
  <si>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</si>
  <si>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</si>
  <si>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</si>
  <si>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</si>
  <si>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</si>
  <si>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</si>
  <si>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</si>
  <si>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</si>
  <si>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</si>
  <si>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</si>
  <si>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</si>
  <si>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</si>
  <si>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</si>
  <si>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</si>
  <si>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</si>
  <si>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</si>
  <si>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</si>
  <si>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</si>
  <si>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</si>
  <si>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</si>
  <si>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</si>
  <si>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</si>
  <si>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</si>
  <si>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</si>
  <si>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</si>
  <si>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</si>
  <si>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</si>
  <si>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</si>
  <si>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</si>
  <si>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</si>
  <si>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</si>
  <si>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</si>
  <si>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</si>
  <si>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Example Quote Ranges</t>
  </si>
  <si>
    <t xml:space="preserve">LIVE (v28): rows 7-11 and 13-14 are computed with formulas identical to the Quote Calculator's engine (Package Reference + Complexity Reference), driven by the count assumptions in columns L:Q — check those against what you actually know about each deal, adjust if needed, and the price updates itself. Row 12 (Client full handover) is the one exception: flagged, not computed — see column J for why.</t>
  </si>
  <si>
    <t xml:space="preserve">Why</t>
  </si>
  <si>
    <t xml:space="preserve">Extra</t>
  </si>
  <si>
    <t xml:space="preserve">AI gen</t>
  </si>
  <si>
    <t xml:space="preserve">CRM</t>
  </si>
  <si>
    <t xml:space="preserve">Approval</t>
  </si>
  <si>
    <t xml:space="preserve">Reporting</t>
  </si>
  <si>
    <t xml:space="preserve">Sensitivity ×</t>
  </si>
  <si>
    <t xml:space="preserve">MG Red Shift v4.0 — AI-drafted SEEKER reply (base)</t>
  </si>
  <si>
    <t xml:space="preserve">AI classification, Notion DB, folder routing, SEEKER draft support</t>
  </si>
  <si>
    <t xml:space="preserve">Managed / hybrid</t>
  </si>
  <si>
    <t xml:space="preserve">No automatic sending; AI draft held for review. CORRECTED in v28: recomputed from Basic+ AI Triage base + AI generation(1) + CRM(1) + Approval(1), Normal managed support — matches AUDIT Pricing's own independent hand-calc (recommended ~CHF 6,800 / 1,600). Note: DOCU - Pricing Logic!F121 mislabels this package 'Basic Intake' in one worked table (B495/B579 in the same sheet correctly say Basic+ AI Triage) — that internal contradiction is unresolved, flagged separately.  |  AI(1): 'AI-drafted SEEKER reply'. CRM(1): Notion DB. Approval(1): 'held for review'.</t>
  </si>
  <si>
    <t xml:space="preserve">LIVE (v28) — see L:Q for assumed counts</t>
  </si>
  <si>
    <t xml:space="preserve">Therapist Gmail + booking link</t>
  </si>
  <si>
    <t xml:space="preserve">Email/form intake, booking triage, no direct advice</t>
  </si>
  <si>
    <t xml:space="preserve">Human approval  |  Basic Intake is rule-based only (Package Reference), so AI(0). Approval(1): note says 'Human approval'. No CRM/extra/reporting mentioned.</t>
  </si>
  <si>
    <t xml:space="preserve">Therapist Instagram + Gmail + drafts</t>
  </si>
  <si>
    <t xml:space="preserve">Multiple channels and draft approval workflow</t>
  </si>
  <si>
    <t xml:space="preserve">Managed</t>
  </si>
  <si>
    <t xml:space="preserve">Sensitive data needs strict boundaries  |  Pro Multi-Channel's own typical scope IS 'email+social, AI classification, drafts, approval workflow' — matches this example exactly, so channels sit inside the base (extra=0). AI(1) for drafts, Approval(1) explicit. Sensitivity 1.3: 'strict boundaries' noted but not stated as health-record/GDPR data — confirm and raise to 1.5/1.7 if it is.</t>
  </si>
  <si>
    <t xml:space="preserve">Small agency CRM + reporting</t>
  </si>
  <si>
    <t xml:space="preserve">CRM, monitoring, reporting, improvement backlog</t>
  </si>
  <si>
    <t xml:space="preserve">Recurring service value  |  CRM(1) + Reporting(1): both explicitly named. 'Monitoring' is Managed Operations' own base-tier description, not a separate counted adder. AI not mentioned — confirm if this agency's build actually includes AI drafting; if so add AI=1.</t>
  </si>
  <si>
    <t xml:space="preserve">Calendar/CRM agent</t>
  </si>
  <si>
    <t xml:space="preserve">Controlled multi-step actions with approvals</t>
  </si>
  <si>
    <t xml:space="preserve">Controlled access</t>
  </si>
  <si>
    <t xml:space="preserve">Quote individually  |  CRM(1) + Approval(1) explicit ('CRM agent...with approvals'). AI(1) as a conservative minimum for agentic decisioning — Agentic builds are explicitly 'Quote individually' per this row's own note, so treat this range as illustrative only, more than the others here.</t>
  </si>
  <si>
    <t xml:space="preserve">Client full handover</t>
  </si>
  <si>
    <t xml:space="preserve">Transfers Make logic and documentation</t>
  </si>
  <si>
    <t xml:space="preserve">Client-owned</t>
  </si>
  <si>
    <t xml:space="preserve">Price 1.5x to 3x setup  |  UNRESOLVED: this row prices the legacy 'Build-and-Transfer' package directly, but Package Reference itself says that package is legacy and transfer should instead be modelled as a scope package + Build-and-transfer ACCESS MODEL (1.5x-3x setup multiplier, per Access Models sheet). The two give different numbers for the same real deal. Left as-is rather than guessing which the founder meant.</t>
  </si>
  <si>
    <t xml:space="preserve">FLAGGED — methodology conflict, not just a stale number (see chat)</t>
  </si>
  <si>
    <t xml:space="preserve">MG Red Shift v4.1 — template SEEKER reply</t>
  </si>
  <si>
    <t xml:space="preserve">Same triage; SEEKER reply is a prepared template (no AI generation). Simplest of the three.</t>
  </si>
  <si>
    <t xml:space="preserve">Template reply; no AI draft  |  Same triage as v4.0 (CRM=1 carried over) but 'no AI generation' per its own note -&gt; AI(0). No per-message AI draft to review -&gt; Approval(0), unlike v4.0.</t>
  </si>
  <si>
    <t xml:space="preserve">MG Red Shift v4.2 + v4.1 — dual intake (email + webform)</t>
  </si>
  <si>
    <t xml:space="preserve">v4.1 process across two intake paths (email then webform): extra source + duplicated classify/route.</t>
  </si>
  <si>
    <t xml:space="preserve">No automatic sending; two channels  |  Built on v4.1 (AI=0, Approval=0 carried over) plus this row's own note: 'extra source' -&gt; Extra(1).</t>
  </si>
  <si>
    <t xml:space="preserve">Example Quotes — each build, three access options</t>
  </si>
  <si>
    <t xml:space="preserve">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 LIVE (v28): every Managed row is pulled straight from 'Example Quotes' (which computes from the corrected engine); Licence/Transfer rows are formula-derived per this sheet's own rule above. See column I on each block for source, and 'Example Quotes' columns L:Q for the assumed complexity counts behind each Managed figure — those are judgement calls, confirm them against the real deal.</t>
  </si>
  <si>
    <t xml:space="preserve">scope: Basic Intake</t>
  </si>
  <si>
    <t xml:space="preserve">Option</t>
  </si>
  <si>
    <t xml:space="preserve">Setup min</t>
  </si>
  <si>
    <t xml:space="preserve">Setup max</t>
  </si>
  <si>
    <t xml:space="preserve">Recurring min</t>
  </si>
  <si>
    <t xml:space="preserve">Recurring max</t>
  </si>
  <si>
    <t xml:space="preserve">Unit</t>
  </si>
  <si>
    <t xml:space="preserve">What the client holds</t>
  </si>
  <si>
    <t xml:space="preserve">IP / notes</t>
  </si>
  <si>
    <t xml:space="preserve">Results + right to use; we run &amp; improve it</t>
  </si>
  <si>
    <t xml:space="preserve">LIVE (v28) — pulled from 'Example Quotes' row 8</t>
  </si>
  <si>
    <t xml:space="preserve">+ Licence option</t>
  </si>
  <si>
    <t xml:space="preserve">/ year</t>
  </si>
  <si>
    <t xml:space="preserve">Runs for them; bounded right-to-use</t>
  </si>
  <si>
    <t xml:space="preserve">LIVE (v28) — derived per this sheet’s own formula (row 3)</t>
  </si>
  <si>
    <t xml:space="preserve">+ Full transfer (internal only)</t>
  </si>
  <si>
    <t xml:space="preserve">They OWN the build outright</t>
  </si>
  <si>
    <t xml:space="preserve">MG Red Shift v4.0 — SEEKER reply</t>
  </si>
  <si>
    <t xml:space="preserve">scope: Basic+ AI Triage</t>
  </si>
  <si>
    <t xml:space="preserve">LIVE (v28) — pulled from 'Example Quotes' row 7</t>
  </si>
  <si>
    <t xml:space="preserve">scope: Pro Multi-Channel</t>
  </si>
  <si>
    <t xml:space="preserve">LIVE (v28) — pulled from 'Example Quotes' row 9</t>
  </si>
  <si>
    <t xml:space="preserve">scope: Managed Operations</t>
  </si>
  <si>
    <t xml:space="preserve">LIVE (v28) — pulled from 'Example Quotes' row 10</t>
  </si>
  <si>
    <t xml:space="preserve">scope: Agentic Automation</t>
  </si>
  <si>
    <t xml:space="preserve">LIVE (v28) — pulled from 'Example Quotes' row 11</t>
  </si>
  <si>
    <t xml:space="preserve">Formula (edit to taste): Licence setup = Managed setup ×1.30 · Licence annual = Managed monthly ×12 ×0.50 · Transfer one-time = Managed setup + 2.5×12×Managed monthly · Transfer recurring = 0.</t>
  </si>
  <si>
    <t xml:space="preserve">Licence 'Recurring' is the annual licence (unit = /year). Managed &amp; Transfer recurring are monthly (unit = /month). Transfer grows with scope — Basic ~9k, Agentic ~87k–210k — so it's a multiplier, kept internal-only.</t>
  </si>
  <si>
    <t xml:space="preserve">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</si>
  <si>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 xml:space="preserve">INPUTS (edit)</t>
  </si>
  <si>
    <t xml:space="preserve">Licence % of managed-year</t>
  </si>
  <si>
    <t xml:space="preserve">share of the managed year the licence keeps (maintain-vs-improve split). 40–60% typical.</t>
  </si>
  <si>
    <t xml:space="preserve">Licence setup multiplier</t>
  </si>
  <si>
    <t xml:space="preserve">one-time uplift for documentation + handover so they can run it themselves.</t>
  </si>
  <si>
    <t xml:space="preserve">Buy-out: years of recurring to capitalise</t>
  </si>
  <si>
    <t xml:space="preserve">buy-out one-time = setup + (years × 12 × monthly). Protects the recurring you give up.</t>
  </si>
  <si>
    <t xml:space="preserve">Managed setup</t>
  </si>
  <si>
    <t xml:space="preserve">Managed / mo</t>
  </si>
  <si>
    <t xml:space="preserve">Licence setup</t>
  </si>
  <si>
    <t xml:space="preserve">Licence / year</t>
  </si>
  <si>
    <t xml:space="preserve">Licence / mo (equiv)</t>
  </si>
  <si>
    <t xml:space="preserve">Full transfer one-time
(internal info only)</t>
  </si>
  <si>
    <t xml:space="preserve">Transfer / mo</t>
  </si>
  <si>
    <t xml:space="preserve">How to read it:</t>
  </si>
  <si>
    <t xml:space="preserve">• Managed (default): you run and improve it. Setup + monthly per the package. Recurring, you keep the IP.</t>
  </si>
  <si>
    <t xml:space="preserve">• Licence (no managed service): they run it; you licence the right-to-use and keep the IP. Setup ×1.3 (handover/docs) + an annual licence = licence% × the managed year. Still recurring.</t>
  </si>
  <si>
    <t xml:space="preserve">• Full transfer (INTERNAL INFORMATION ONLY — not offered as a path): if ever considered, one-time = setup + years×12×monthly, so we're paid for the recurring we give up. We keep only general know-how.</t>
  </si>
  <si>
    <t xml:space="preserve">Licence % = the maintain-vs-improve split: 40% if your monthly is mostly active improvement, 60% if mostly keeping-it-running. Default 50%.</t>
  </si>
  <si>
    <t xml:space="preserve">Figures use Package Reference midpoints; for a specific deal use the Quote Calculator's setup/monthly in place of the midpoint.</t>
  </si>
  <si>
    <t xml:space="preserve">Policy source-of-truth: VortexDeep_IP_and_Licensing_Policy_v01. Full transfer is documented, not sold.</t>
  </si>
  <si>
    <t xml:space="preserve">Break-Even &amp; Runway — company-level, not per-quote</t>
  </si>
  <si>
    <t xml:space="preserve">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</si>
  <si>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 xml:space="preserve">1) ASSUMED CLIENT MIX -&gt; blended monthly fee per active client (live from Access &amp; Licence Pricing)</t>
  </si>
  <si>
    <t xml:space="preserve">Managed / mo (live)</t>
  </si>
  <si>
    <t xml:space="preserve">Mix weight (edit, must total 100%)</t>
  </si>
  <si>
    <t xml:space="preserve">Weight total (must = 100%)</t>
  </si>
  <si>
    <t xml:space="preserve">Blended monthly fee per active client (CHF)</t>
  </si>
  <si>
    <t xml:space="preserve">2) MONTHLY FIXED COST BASE (edit — your own numbers; nothing to link this to yet)</t>
  </si>
  <si>
    <t xml:space="preserve">Founder monthly draw (CHF)</t>
  </si>
  <si>
    <t xml:space="preserve">Other fixed monthly costs (CHF) — tools, insurance, accounting, admin</t>
  </si>
  <si>
    <t xml:space="preserve">Gross margin on delivery (%) — 1 minus your own time/subcontractor cost as a share of fee</t>
  </si>
  <si>
    <t xml:space="preserve">Delivery pass-through (Make.com ops, AI API tokens per Quote Calculator C26/C27 guidance) sits outside this margin — keep it out of both sides.</t>
  </si>
  <si>
    <t xml:space="preserve">Total fixed monthly cost (CHF)</t>
  </si>
  <si>
    <t xml:space="preserve">Contribution margin per client / month (CHF)</t>
  </si>
  <si>
    <t xml:space="preserve">3) BREAK-EVEN</t>
  </si>
  <si>
    <t xml:space="preserve">Break-even client count</t>
  </si>
  <si>
    <t xml:space="preserve">Monthly revenue at break-even (CHF)</t>
  </si>
  <si>
    <t xml:space="preserve">Deck check (Slides 6-7 claim ~6-8 clients)</t>
  </si>
  <si>
    <t xml:space="preserve">4) PRE-REVENUE RUNWAY (optional)</t>
  </si>
  <si>
    <t xml:space="preserve">Starting cash available (CHF) — leave 0 if not modelling this</t>
  </si>
  <si>
    <t xml:space="preserve">Runway at zero clients (months)</t>
  </si>
  <si>
    <t xml:space="preserve">5) SENSITIVITY — break-even client count at different founder draws (holds row 2 mix + row 17-18 fixed)</t>
  </si>
  <si>
    <t xml:space="preserve">Founder draw scenario</t>
  </si>
  <si>
    <t xml:space="preserve">Break-even clients</t>
  </si>
  <si>
    <t xml:space="preserve">Lean (CHF 4,000/mo)</t>
  </si>
  <si>
    <t xml:space="preserve">Base (= C16 above)</t>
  </si>
  <si>
    <t xml:space="preserve">Comfortable (CHF 8,000/mo)</t>
  </si>
  <si>
    <t xml:space="preserve">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</si>
  <si>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 xml:space="preserve">Front-Door Tools — Pricing (AISR &amp; AIWSC)</t>
  </si>
  <si>
    <t xml:space="preserve">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</si>
  <si>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 xml:space="preserve">AISR — AI Search Readiness   ·   pipeline &amp; 3 packages (prices per AISR-Process.docx)</t>
  </si>
  <si>
    <t xml:space="preserve">Pipeline:</t>
  </si>
  <si>
    <t xml:space="preserve">1 Audit (free, no AI) → 2 Fill facts → 3 Test/teaser (free) → 4 Fix (paid) → 5 Verify → Managed (paid). Client sees only a TEASER; the full report, fixes and implementation stay behind payment.</t>
  </si>
  <si>
    <t xml:space="preserve">Price (CHF)</t>
  </si>
  <si>
    <t xml:space="preserve">What the client gets</t>
  </si>
  <si>
    <t xml:space="preserve">Note</t>
  </si>
  <si>
    <t xml:space="preserve">min</t>
  </si>
  <si>
    <t xml:space="preserve">max</t>
  </si>
  <si>
    <t xml:space="preserve">note</t>
  </si>
  <si>
    <t xml:space="preserve">/ AI</t>
  </si>
  <si>
    <t xml:space="preserve">?</t>
  </si>
  <si>
    <t xml:space="preserve">Free teaser</t>
  </si>
  <si>
    <t xml:space="preserve">-</t>
  </si>
  <si>
    <t xml:space="preserve">Audit + readiness score + 2–3 real AI errors</t>
  </si>
  <si>
    <t xml:space="preserve">read-only; cents of API</t>
  </si>
  <si>
    <t xml:space="preserve">no</t>
  </si>
  <si>
    <t xml:space="preserve">Wins the project — your Fit Check</t>
  </si>
  <si>
    <t xml:space="preserve">Fix</t>
  </si>
  <si>
    <t xml:space="preserve">one-time</t>
  </si>
  <si>
    <t xml:space="preserve">Full readiness report + implemented fixes + before/after</t>
  </si>
  <si>
    <t xml:space="preserve">approved on-site edits</t>
  </si>
  <si>
    <t xml:space="preserve">The full report lives here, not in the teaser</t>
  </si>
  <si>
    <t xml:space="preserve">month</t>
  </si>
  <si>
    <t xml:space="preserve">Repeat testing + small approved fixes over time</t>
  </si>
  <si>
    <t xml:space="preserve">ongoing</t>
  </si>
  <si>
    <t xml:space="preserve">yes</t>
  </si>
  <si>
    <t xml:space="preserve">Off-site citation work is the effective half</t>
  </si>
  <si>
    <t xml:space="preserve">Source: your AISR-Process.docx (documented prices). Free = steps 1–3; Paid = full report + fixes + verify + managed.</t>
  </si>
  <si>
    <t xml:space="preserve">AIWSC — Website Security Check   ·   two axes: DEPTH (numbered) × AUTHORIZATION (named)</t>
  </si>
  <si>
    <t xml:space="preserve">Your AIWSC-Scanning-Policy.docx is explicit: keep depth and authorization apart — mixing them into one number line causes confusion.</t>
  </si>
  <si>
    <t xml:space="preserve">DEPTH — the mode numbers (on every report &amp; filename)</t>
  </si>
  <si>
    <t xml:space="preserve">Mode</t>
  </si>
  <si>
    <t xml:space="preserve">Reads</t>
  </si>
  <si>
    <t xml:space="preserve">Permission</t>
  </si>
  <si>
    <t xml:space="preserve">Command</t>
  </si>
  <si>
    <t xml:space="preserve">mode-00 triage</t>
  </si>
  <si>
    <t xml:space="preserve">Public records only: DNS + certificate</t>
  </si>
  <si>
    <t xml:space="preserve">None needed (internal)</t>
  </si>
  <si>
    <t xml:space="preserve">triage --client &lt;domain&gt;</t>
  </si>
  <si>
    <t xml:space="preserve">mode-05 inspect</t>
  </si>
  <si>
    <t xml:space="preserve">The delivered page(s) you name: headers, cookies, version + above</t>
  </si>
  <si>
    <t xml:space="preserve">inspect --client &lt;domain-or-URL&gt;</t>
  </si>
  <si>
    <t xml:space="preserve">mode-10 scan</t>
  </si>
  <si>
    <t xml:space="preserve">Full light scan: above + the tool's own checks (e.g. redirect test)</t>
  </si>
  <si>
    <t xml:space="preserve">Needs authorization</t>
  </si>
  <si>
    <t xml:space="preserve">scan --client &lt;domain&gt;</t>
  </si>
  <si>
    <t xml:space="preserve">mode-15 scan --deeper</t>
  </si>
  <si>
    <t xml:space="preserve">Above + sensitive-file exposure probe (.env / .git)</t>
  </si>
  <si>
    <t xml:space="preserve">Needs auth covering ACTIVE testing</t>
  </si>
  <si>
    <t xml:space="preserve">scan --client &lt;domain&gt; --deeper</t>
  </si>
  <si>
    <t xml:space="preserve">AUTHORIZATION — named, not numbered (who said yes)</t>
  </si>
  <si>
    <t xml:space="preserve">self-owned</t>
  </si>
  <si>
    <t xml:space="preserve">a domain we control — self-attested</t>
  </si>
  <si>
    <t xml:space="preserve">built-by-VD</t>
  </si>
  <si>
    <t xml:space="preserve">site we built/maintain — consent as a standing clause in the contract</t>
  </si>
  <si>
    <t xml:space="preserve">client</t>
  </si>
  <si>
    <t xml:space="preserve">the site owner's written consent (self-serve: prove ownership = the consent)</t>
  </si>
  <si>
    <t xml:space="preserve">Same depth (e.g. mode-10) can run under any authorization — depth and authorization are independent.</t>
  </si>
  <si>
    <t xml:space="preserve">COMMERCIAL — free front door, paid fixes (AIWSC has no documented price yet; figures indicative)</t>
  </si>
  <si>
    <t xml:space="preserve">Tier</t>
  </si>
  <si>
    <t xml:space="preserve">Depth</t>
  </si>
  <si>
    <t xml:space="preserve">/ auth</t>
  </si>
  <si>
    <t xml:space="preserve">Free scan</t>
  </si>
  <si>
    <t xml:space="preserve">Light scan + plain-language report, self-serve, ownership-verified</t>
  </si>
  <si>
    <t xml:space="preserve">mode 00–10 · owner-initiated</t>
  </si>
  <si>
    <t xml:space="preserve">The front door (no cold outreach)</t>
  </si>
  <si>
    <t xml:space="preserve">Agreed remediation (certs, headers, email auth, updates) + re-scan proof</t>
  </si>
  <si>
    <t xml:space="preserve">approved changes · client consent</t>
  </si>
  <si>
    <t xml:space="preserve">Where the work is paid</t>
  </si>
  <si>
    <t xml:space="preserve">Deep check</t>
  </si>
  <si>
    <t xml:space="preserve">add-on</t>
  </si>
  <si>
    <t xml:space="preserve">mode-15 active exposure probe (.env/.git)</t>
  </si>
  <si>
    <t xml:space="preserve">needs ACTIVE-testing auth</t>
  </si>
  <si>
    <t xml:space="preserve">Only inside a proper engagement</t>
  </si>
  <si>
    <t xml:space="preserve">Periodic re-scan + monitoring</t>
  </si>
  <si>
    <t xml:space="preserve">scoped standing consent</t>
  </si>
  <si>
    <t xml:space="preserve">Or refer deep manual pentest to a partner</t>
  </si>
  <si>
    <t xml:space="preserve">GUARDRAILS (from your own docs)</t>
  </si>
  <si>
    <t xml:space="preserve">• Read-only &amp; invited only: read what a site already exposes; never alter/break in; never scan strangers uninvited.</t>
  </si>
  <si>
    <t xml:space="preserve">• Authority = ownership OR written consent. Building a site doesn't grant it — but lets consent be a standing contract clause.</t>
  </si>
  <si>
    <t xml:space="preserve">• AIWSC is a scan-level assessment, NOT a manual penetration test — refer true pentests to a specialist partner.</t>
  </si>
  <si>
    <t xml:space="preserve">• Have a Swiss lawyer review the standing-clause wording and any outreach before the first client.</t>
  </si>
  <si>
    <t xml:space="preserve">• SECURITY: API_KEYS.txt is still committed in VDt_02_aisr — rotate those keys and make the repo private.</t>
  </si>
  <si>
    <t xml:space="preserve">MARKET COMPARISON (2026)  —  where VortexDeep sits vs typical providers</t>
  </si>
  <si>
    <t xml:space="preserve">Market figures are USD/EUR; treat as rough CHF parity (USD ≈ 0.85 CHF, EUR ≈ 0.94 CHF). VD is deliberately at the accessible / SME end — below agencies. The edge is honesty + human-in-the-loop, not being cheapest.</t>
  </si>
  <si>
    <t xml:space="preserve">AISR — AI Search Readiness (AEO / GEO)</t>
  </si>
  <si>
    <t xml:space="preserve">VD (CHF)</t>
  </si>
  <si>
    <t xml:space="preserve">Typical market (2026)</t>
  </si>
  <si>
    <t xml:space="preserve">TM (USD)</t>
  </si>
  <si>
    <t xml:space="preserve">Where VD sits</t>
  </si>
  <si>
    <t xml:space="preserve">TM</t>
  </si>
  <si>
    <t xml:space="preserve">Free teaser / scan</t>
  </si>
  <si>
    <t xml:space="preserve">Free audits &amp; 30-min calls common; tracking tools:</t>
  </si>
  <si>
    <t xml:space="preserve">At/below — free front door</t>
  </si>
  <si>
    <t xml:space="preserve">One-time (audit → fix)</t>
  </si>
  <si>
    <t xml:space="preserve">One-time audits:</t>
  </si>
  <si>
    <t xml:space="preserve">fixed 'foundation' builds ~$5,000</t>
  </si>
  <si>
    <t xml:space="preserve">Mid-market one-time, below retainers</t>
  </si>
  <si>
    <t xml:space="preserve">Managed / month</t>
  </si>
  <si>
    <t xml:space="preserve">Mid-market retainers:</t>
  </si>
  <si>
    <t xml:space="preserve">entry $1,000–2,500</t>
  </si>
  <si>
    <t xml:space="preserve">Well below agencies — SME-accessible</t>
  </si>
  <si>
    <t xml:space="preserve">(Enterprise)</t>
  </si>
  <si>
    <t xml:space="preserve">(not offered)</t>
  </si>
  <si>
    <t xml:space="preserve">Per month:</t>
  </si>
  <si>
    <t xml:space="preserve">VD doesn't play here (non-core)</t>
  </si>
  <si>
    <t xml:space="preserve">Sources: Digital Elevator, FuelOnline, OutreachBloom, WebFX, HouseOfMVPs (2026).</t>
  </si>
  <si>
    <t xml:space="preserve">2026-08</t>
  </si>
  <si>
    <t xml:space="preserve">USD</t>
  </si>
  <si>
    <t xml:space="preserve">EUR</t>
  </si>
  <si>
    <t xml:space="preserve">year</t>
  </si>
  <si>
    <t xml:space="preserve">USD/mo</t>
  </si>
  <si>
    <t xml:space="preserve">Free scans common; DIY scanner tools</t>
  </si>
  <si>
    <t xml:space="preserve">At market — free front door</t>
  </si>
  <si>
    <t xml:space="preserve">One-time fix / assessment</t>
  </si>
  <si>
    <t xml:space="preserve">Scoped web-app assessments $4,000–10,000; remediation ≈30% of audit</t>
  </si>
  <si>
    <t xml:space="preserve">remediation ≈30% of audit</t>
  </si>
  <si>
    <t xml:space="preserve">Below — honestly scan-level, not pentest</t>
  </si>
  <si>
    <t xml:space="preserve">Deep check (mode-15)</t>
  </si>
  <si>
    <t xml:space="preserve">(bundled into paid assessments)</t>
  </si>
  <si>
    <t xml:space="preserve">Light add-on</t>
  </si>
  <si>
    <t xml:space="preserve">Small-org annual:</t>
  </si>
  <si>
    <t xml:space="preserve">(≈ 250 – 670/mo)</t>
  </si>
  <si>
    <t xml:space="preserve">At/below market</t>
  </si>
  <si>
    <t xml:space="preserve">(Manual pentest)</t>
  </si>
  <si>
    <t xml:space="preserve">Manual pentest:</t>
  </si>
  <si>
    <t xml:space="preserve">Out of scope — VD refers out</t>
  </si>
  <si>
    <t xml:space="preserve">Sources: Invicti, DeepStrike, BrightDefense, BudgetSecurity, Code Bridge (2026). Note: a 'pentest' under ~$4k is usually just a scan.</t>
  </si>
  <si>
    <t xml:space="preserve">WHY THE PRICE HOLDS — the differentiators (from the tool internals)</t>
  </si>
  <si>
    <t xml:space="preserve">• AISR is ground-truth-based: it measures AI answers against what's TRUE about the business (products, what it is NOT, claims never to make) — not vanity metrics.</t>
  </si>
  <si>
    <t xml:space="preserve">• AISR fixes are evidence-based and gimmick-free: no llms.txt tricks, no schema unbacked by visible content; every fix is minimum-change and human-approved.</t>
  </si>
  <si>
    <t xml:space="preserve">• AIWSC is honestly scoped: read-only, consent-first, plain-language, with disclaimers — a trustworthy front door, never fear-sold, never a pentest in disguise.</t>
  </si>
  <si>
    <t xml:space="preserve">• Both start FREE and convert up as trust grows — the same human-in-the-loop posture as the core offering. That's the sell, not undercutting on price.</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</si>
  <si>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</si>
  <si>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</si>
  <si>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</si>
  <si>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</si>
  <si>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</si>
  <si>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</si>
  <si>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</si>
  <si>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</si>
  <si>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</si>
  <si>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</si>
  <si>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</si>
  <si>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</si>
  <si>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</si>
  <si>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</si>
  <si>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</si>
  <si>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</si>
  <si>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</si>
  <si>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</si>
  <si>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</si>
  <si>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</si>
  <si>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</si>
  <si>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</si>
  <si>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</si>
  <si>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</si>
  <si>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</si>
  <si>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</si>
  <si>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2026-06-23</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</si>
  <si>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</si>
  <si>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</si>
  <si>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</si>
  <si>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LIVE REFERENCE (auto from Quote Calculator — copy into the fields above; do not edit these cells)</t>
  </si>
  <si>
    <t xml:space="preserve">Recommended setup quote (CHF)</t>
  </si>
  <si>
    <t xml:space="preserve">Recommended monthly quote (CHF)</t>
  </si>
  <si>
    <t xml:space="preserve">MGREDSHIFT v4.0 vs Direct Email Intake Expansion</t>
  </si>
  <si>
    <t xml:space="preserve">Access model applies to every product — Managed / Licence / Full transfer (internal). See Access Models · Access &amp; Licence Pricing · IP &amp; Licensing Policy.</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</si>
  <si>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</si>
  <si>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</si>
  <si>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</si>
  <si>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</si>
  <si>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</si>
  <si>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</si>
  <si>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</si>
  <si>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</si>
  <si>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</si>
  <si>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</si>
  <si>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</si>
  <si>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</si>
  <si>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</si>
  <si>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</si>
  <si>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</si>
  <si>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</si>
  <si>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</si>
  <si>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</si>
  <si>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</si>
  <si>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</si>
  <si>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</si>
  <si>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</si>
  <si>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</si>
  <si>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</si>
  <si>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</si>
  <si>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</si>
  <si>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</si>
  <si>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</si>
  <si>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</si>
  <si>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</si>
  <si>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</si>
  <si>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</si>
  <si>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</si>
  <si>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</si>
  <si>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</si>
  <si>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</si>
  <si>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</si>
  <si>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</si>
  <si>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</si>
  <si>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</si>
  <si>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</si>
  <si>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</si>
  <si>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</si>
  <si>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</si>
  <si>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</si>
  <si>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</si>
  <si>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</si>
  <si>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</si>
  <si>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</si>
  <si>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</si>
  <si>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</si>
  <si>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</si>
  <si>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</si>
  <si>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</si>
  <si>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</si>
  <si>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</si>
  <si>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</si>
  <si>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</si>
  <si>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</si>
  <si>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</si>
  <si>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</si>
  <si>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</si>
  <si>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</si>
  <si>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</si>
  <si>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</si>
  <si>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</si>
  <si>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</si>
  <si>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</si>
  <si>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</si>
  <si>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</si>
  <si>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</si>
  <si>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</si>
  <si>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</si>
  <si>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</si>
  <si>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</si>
  <si>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</si>
  <si>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</si>
  <si>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</si>
  <si>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</si>
  <si>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</si>
  <si>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</si>
  <si>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</si>
  <si>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</si>
  <si>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</si>
  <si>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</si>
  <si>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</si>
  <si>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</si>
  <si>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</si>
  <si>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</si>
  <si>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</si>
  <si>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</si>
  <si>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</si>
  <si>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</si>
  <si>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</si>
  <si>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</si>
  <si>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</si>
  <si>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</si>
  <si>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</si>
  <si>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</si>
  <si>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</si>
  <si>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</si>
  <si>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</si>
  <si>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</si>
  <si>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</si>
  <si>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</si>
  <si>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</si>
  <si>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</si>
  <si>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</si>
  <si>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</si>
  <si>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</si>
  <si>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</si>
  <si>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</si>
  <si>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</si>
  <si>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</si>
  <si>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</si>
  <si>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</si>
  <si>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</si>
  <si>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</si>
  <si>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</si>
  <si>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</si>
  <si>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</si>
  <si>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</si>
  <si>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</si>
  <si>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</si>
  <si>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</si>
  <si>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</si>
  <si>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</si>
  <si>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</si>
  <si>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Access model is separate from the product. All three tiers below apply to any product. Where each is priced:</t>
  </si>
  <si>
    <t xml:space="preserve">• Managed (default):</t>
  </si>
  <si>
    <t xml:space="preserve">Package Reference — setup + monthly.</t>
  </si>
  <si>
    <t xml:space="preserve">• Licence:</t>
  </si>
  <si>
    <t xml:space="preserve">Access &amp; Licence Pricing — setup ×1.3 + annual licence (we keep the IP).</t>
  </si>
  <si>
    <t xml:space="preserve">• Full transfer:</t>
  </si>
  <si>
    <t xml:space="preserve">INTERNAL INFORMATION ONLY — the support-level table below.</t>
  </si>
  <si>
    <t xml:space="preserve">Full transfer — support-level detail (internal only):</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</si>
  <si>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</si>
  <si>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</si>
  <si>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</si>
  <si>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</si>
  <si>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</si>
  <si>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</si>
  <si>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</si>
  <si>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</si>
  <si>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</si>
  <si>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</si>
  <si>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</si>
  <si>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</si>
  <si>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</si>
  <si>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</si>
  <si>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</si>
  <si>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</si>
  <si>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</si>
  <si>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</si>
  <si>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</si>
  <si>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</si>
  <si>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</si>
  <si>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</si>
  <si>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</si>
  <si>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</si>
  <si>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</si>
  <si>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</si>
  <si>
    <t xml:space="preserve">Document Automation — Pricing Logic (counts methodology)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</si>
  <si>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</si>
  <si>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</si>
  <si>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</si>
  <si>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</si>
  <si>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</si>
  <si>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</si>
  <si>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</si>
  <si>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</si>
  <si>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</si>
  <si>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</si>
  <si>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</si>
  <si>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</si>
  <si>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</si>
  <si>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</si>
  <si>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</si>
  <si>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</si>
  <si>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</si>
  <si>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</si>
  <si>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</si>
  <si>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</si>
  <si>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</si>
  <si>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</si>
  <si>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</si>
  <si>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</si>
  <si>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</si>
  <si>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</si>
  <si>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</si>
  <si>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</si>
  <si>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</si>
  <si>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</si>
  <si>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</si>
  <si>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</si>
  <si>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</si>
  <si>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</si>
  <si>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</si>
  <si>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</si>
  <si>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</si>
  <si>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</si>
  <si>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</si>
  <si>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</si>
  <si>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</si>
  <si>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</si>
  <si>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</si>
  <si>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</si>
  <si>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</si>
  <si>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</si>
  <si>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</si>
  <si>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</si>
  <si>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</si>
  <si>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</si>
  <si>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</si>
  <si>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</si>
  <si>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</si>
  <si>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</si>
  <si>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</si>
  <si>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</si>
  <si>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</si>
  <si>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</si>
  <si>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 (CHF)</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</si>
  <si>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</si>
  <si>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</si>
  <si>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</si>
  <si>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</si>
  <si>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</si>
  <si>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</si>
  <si>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</si>
  <si>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</si>
  <si>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</si>
  <si>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</si>
  <si>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</si>
  <si>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</si>
  <si>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</si>
  <si>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</si>
  <si>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t>
  </si>
  <si>
    <t xml:space="preserve">Usually +CHF /month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</si>
  <si>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</si>
  <si>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</si>
  <si>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</si>
  <si>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</si>
  <si>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</si>
  <si>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</si>
  <si>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</si>
  <si>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</si>
  <si>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</si>
  <si>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</si>
  <si>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</si>
  <si>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</si>
  <si>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</si>
  <si>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</si>
  <si>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</si>
  <si>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</si>
  <si>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</si>
  <si>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</si>
  <si>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</si>
  <si>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</si>
  <si>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</si>
  <si>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</si>
  <si>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</si>
  <si>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</si>
  <si>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</si>
  <si>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</si>
  <si>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</si>
  <si>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</si>
  <si>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</si>
  <si>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</si>
  <si>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</si>
  <si>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</si>
  <si>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</si>
  <si>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Corrected (v28): was 'Basic Intake', contradicting this sheet's own B495/B579 ('Basic+ AI Triage / AI Intake Triage Basic+') and the MGRS - EMAIL Logic and Example Quotes sheets, which all agree. Fixed to match the weight of evidence.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</si>
  <si>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</si>
  <si>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</si>
  <si>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</si>
  <si>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</si>
  <si>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</si>
  <si>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</si>
  <si>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</si>
  <si>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</si>
  <si>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</si>
  <si>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</si>
  <si>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quickly back to price calculations: how would you explain pricing? There will be some customers who think price is too expansive. What would you say then?</t>
  </si>
  <si>
    <t xml:space="preserve">Good question — and an honest one, because some prospects genuinely can't afford it, and some just haven't yet understood what they're paying for. Those are two very different situations and need different responses.</t>
  </si>
  <si>
    <t xml:space="preserve">First: understand which objection it actually is</t>
  </si>
  <si>
    <t xml:space="preserve">"Too expensive" usually means one of four things:</t>
  </si>
  <si>
    <t xml:space="preserve">"I don't see why it costs that much" — a value communication problem</t>
  </si>
  <si>
    <t xml:space="preserve">"I can't afford it right now" — a cash flow or budget problem</t>
  </si>
  <si>
    <t xml:space="preserve">"I can get something similar cheaper" — a comparison problem</t>
  </si>
  <si>
    <t xml:space="preserve">"I don't trust it will work" — a risk problem</t>
  </si>
  <si>
    <t xml:space="preserve">Don't respond to all four the same way.</t>
  </si>
  <si>
    <t xml:space="preserve">For "I don't see the value"</t>
  </si>
  <si>
    <t xml:space="preserve">This is the most common and the most fixable. The answer is a ROI calculation, done in front of them.</t>
  </si>
  <si>
    <t xml:space="preserve">"Let's work out the numbers together. How many hours per week does your team currently spend on the tasks we'd automate? What does an hour of that person's time cost you fully loaded — salary, social contributions, overhead?"</t>
  </si>
  <si>
    <t xml:space="preserve">A Swiss SME employee with a CHF 70,000 salary costs around CHF 90–100/hour fully loaded. If you're saving 10 hours per week, that's CHF 900–1,000/week, or CHF 4,000/month. The managed service fee suddenly looks very different.</t>
  </si>
  <si>
    <t xml:space="preserve">The conversation shifts from "what does this cost?" to "what does NOT doing this cost you every month?"</t>
  </si>
  <si>
    <t xml:space="preserve">For "I can't afford it right now"</t>
  </si>
  <si>
    <t xml:space="preserve">Be honest about whether this is the right moment for them. But also explore:</t>
  </si>
  <si>
    <t xml:space="preserve">Start smaller. The Basic package exists for a reason. A simpler scope, lower setup, lower monthly. Prove value, then expand.</t>
  </si>
  <si>
    <t xml:space="preserve">The setup fee vs monthly split. Some clients struggle with upfront costs but can handle ongoing. There may be flexibility in phasing the setup payment.</t>
  </si>
  <si>
    <t xml:space="preserve">The timing question. If they can't afford the automation but also can't afford to keep doing it manually, that's actually the strongest case — not the weakest.</t>
  </si>
  <si>
    <t xml:space="preserve">For "I can get it cheaper elsewhere"</t>
  </si>
  <si>
    <t xml:space="preserve">Ask what exactly they're comparing to. Usually it's one of three things:</t>
  </si>
  <si>
    <t xml:space="preserve">A freelancer on Upwork/Fiverr. They'll build something once, it'll break when Make.com updates an API, there's no monitoring, no error handling, and no one picks up the phone. That's not a managed service, that's a prototype.</t>
  </si>
  <si>
    <t xml:space="preserve">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</si>
  <si>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 xml:space="preserve">Another agency. Fair comparison. Then the question is: what's the scope, what's included in the monthly, and what happens when something breaks?</t>
  </si>
  <si>
    <t xml:space="preserve">For "I don't trust it will work"</t>
  </si>
  <si>
    <t xml:space="preserve">This is actually the easiest one, because VortexDeep's phase-gated model is the answer:</t>
  </si>
  <si>
    <t xml:space="preserve">"You don't pay for a finished product. You approve every phase before we move to the next. After Phase 2 — Scope and MVP Design — you'll have a locked spec and a firm price. If that spec doesn't justify the investment, we stop there. You've paid for clarity, not a leap of faith."</t>
  </si>
  <si>
    <t xml:space="preserve">What you should never do</t>
  </si>
  <si>
    <t xml:space="preserve">Don't immediately offer a discount. It signals that the price wasn't real in the first place, and it attracts clients who will keep pushing. If you discount early, you'll discount forever.</t>
  </si>
  <si>
    <t xml:space="preserve">Don't get defensive. "Our pricing is competitive for the market" sounds like a non-answer. Be concrete.</t>
  </si>
  <si>
    <t xml:space="preserve">Don't try to convince someone who genuinely can't afford it. The right client is one where the ROI is obvious and the budget exists. Chasing the wrong clients costs you time that should go to finding the right ones.</t>
  </si>
  <si>
    <t xml:space="preserve">One line you can use</t>
  </si>
  <si>
    <t xml:space="preserve">If you need a single sentence for the first pushback:</t>
  </si>
  <si>
    <t xml:space="preserve">"Walk me through what you're currently spending — in time or in errors — on the process we'd replace. In my experience, clients who say this is expensive haven't yet run that number."</t>
  </si>
  <si>
    <t xml:space="preserve">Then be quiet and let them think. Most will do the maths themselves.</t>
  </si>
  <si>
    <t xml:space="preserve">that is why we have within Helper_Pricing a tab: ROI App which can help estimate quickly spending and errors. many thanks for your feedback</t>
  </si>
  <si>
    <t xml:space="preserve">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</si>
  <si>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 xml:space="preserve">Two small practical suggestions for how to use it:</t>
  </si>
  <si>
    <t xml:space="preserve">Use it in the discovery meeting, not after. Don't send it as a follow-up PDF. Walk through it live — screen share or sit next to them. The conversation that happens while filling it in is often more valuable than the output.</t>
  </si>
  <si>
    <t xml:space="preserve">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</si>
  <si>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 xml:space="preserve">If you ever want to strengthen the ROI tab further — for example adding a "months to break even" line, or a side-by-side of manual cost vs automation cost over 1 and 2 years — that would be a quick addition worth considering.</t>
  </si>
  <si>
    <t xml:space="preserve">Good luck building the client base. The framework is solid, the pricing logic is sound, and the meeting prep is ready. Now it's just about getting in the room with the right people.</t>
  </si>
  <si>
    <t xml:space="preserve">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</si>
  <si>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 xml:space="preserve">Yes — I have the refactored file in outputs. Let me read the ROI App tab fully first before touching anything.Now I have the full picture. Let me diagnose both issues precisely before touching anything.Clear diagnosis:</t>
  </si>
  <si>
    <t xml:space="preserve">Payback — correct (C29 already nets out monthly costs)</t>
  </si>
  <si>
    <t xml:space="preserve">First-Year ROI — wrong denominator. Uses only setup (CHF 3,500) instead of total year-1 spend (CHF 22,700). Inflates the real client ROI from an honest 104% to a misleading 675%</t>
  </si>
  <si>
    <t xml:space="preserve">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</si>
  <si>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 xml:space="preserve">Root cause confirmed: The payback period formula was always correct — dividing setup cost by net monthly benefit is right because the monthly managed cost is already deducted in that net figure. The bug was exclusively in First-Year ROI.</t>
  </si>
  <si>
    <t xml:space="preserve">What was wrong: The First-Year ROI denominator only included the setup fee (CHF 3,500), ignoring the 12 months of managed service payments (12 × CHF 1,600 = CHF 19,200). This inflated the ROI from an honest 104% to a misleading 675% for a typical small project.</t>
  </si>
  <si>
    <t xml:space="preserve">Three changes made:</t>
  </si>
  <si>
    <t xml:space="preserve">New row — "Total Year 1 Investment": Shows the full amount the client actually spends in year one (setup + 12× monthly). For the realistic example: CHF 3,500 + CHF 19,200 = CHF 22,700. This makes the ROI calculation transparent — the client can see exactly what goes into the denominator.</t>
  </si>
  <si>
    <t xml:space="preserve">Fixed row — "First-Year Net ROI": Now divides by Total Year 1 Investment instead of just setup. Result goes from 675% → 104% for the realistic example. Still a strong number, but honest — and far more credible in a client conversation than 675%.</t>
  </si>
  <si>
    <t xml:space="preserve">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</si>
  <si>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 xml:space="preserve">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</si>
  <si>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 xml:space="preserve">Good observation — the ROI App, if shown openly, becomes a negotiating surface. That's a risk, but also an opportunity if you know how to use it.</t>
  </si>
  <si>
    <t xml:space="preserve">The new objection you're identifying</t>
  </si>
  <si>
    <t xml:space="preserve">"My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</si>
  <si>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 xml:space="preserve">So the real objection underneath is often: "Why am I paying forever for something that should eventually be done?"</t>
  </si>
  <si>
    <t xml:space="preserve">That needs a direct answer.</t>
  </si>
  <si>
    <t xml:space="preserve">What to say</t>
  </si>
  <si>
    <t xml:space="preserve">On the recurring model:</t>
  </si>
  <si>
    <t xml:space="preserve">"The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</si>
  <si>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 xml:space="preserve">Then the comparison: a part-time person in Switzerland doing 10 hours/week at CHF 60/hour costs CHF 2,400/month — without sick days, notice periods, or mistakes. You're cheaper than a human doing the same job worse.</t>
  </si>
  <si>
    <t xml:space="preserve">On the ROI App as the antidote to all five objections:</t>
  </si>
  <si>
    <t xml:space="preserve">The ROI App is actually most powerful when you hand it to the client and let them fill it in themselves. Use it diagnostically:</t>
  </si>
  <si>
    <t xml:space="preserve">Their numbers show...</t>
  </si>
  <si>
    <t xml:space="preserve">Real objection</t>
  </si>
  <si>
    <t xml:space="preserve">Right response</t>
  </si>
  <si>
    <t xml:space="preserve">ROI clearly positive, but they still object</t>
  </si>
  <si>
    <t xml:space="preserve">Trust / risk</t>
  </si>
  <si>
    <t xml:space="preserve">Phase-gated model. They don't pay for results until they see them.</t>
  </si>
  <si>
    <t xml:space="preserve">ROI marginal</t>
  </si>
  <si>
    <t xml:space="preserve">Wrong scope</t>
  </si>
  <si>
    <t xml:space="preserve">Reduce scope, not price. Find the one thing worth automating.</t>
  </si>
  <si>
    <t xml:space="preserve">ROI negative</t>
  </si>
  <si>
    <t xml:space="preserve">Genuinely wrong fit</t>
  </si>
  <si>
    <t xml:space="preserve">Tell them. Builds more trust than a sale.</t>
  </si>
  <si>
    <t xml:space="preserve">ROI strong but monthly feels high</t>
  </si>
  <si>
    <t xml:space="preserve">Commitment aversion</t>
  </si>
  <si>
    <t xml:space="preserve">Show the value ceiling calculation (below).</t>
  </si>
  <si>
    <t xml:space="preserve">ROI strong but can't pay upfront</t>
  </si>
  <si>
    <t xml:space="preserve">Cash flow</t>
  </si>
  <si>
    <t xml:space="preserve">Annual prepay at a discount, or defer setup fee.</t>
  </si>
  <si>
    <t xml:space="preserve">The value ceiling — the most powerful number you're not showing yet</t>
  </si>
  <si>
    <t xml:space="preserve">Right now the ROI App shows what the client gets. It doesn't show what they could pay and still be ahead. That's the missing row.</t>
  </si>
  <si>
    <t xml:space="preserve">Value Ceiling = maximum monthly fee where Year 1 still breaks even:</t>
  </si>
  <si>
    <t xml:space="preserve">= (Monthly Gross Benefit × 12 − Setup Fee) ÷ 12</t>
  </si>
  <si>
    <t xml:space="preserve">For the realistic G example: = (3,860 × 12 − 3,500) ÷ 12 = CHF 3,568/month</t>
  </si>
  <si>
    <t xml:space="preserve">You're charging CHF 1,600. Their value ceiling is CHF 3,568. You're leaving CHF 1,968/month of value with them. Say that explicitly.</t>
  </si>
  <si>
    <t xml:space="preserve">When a client says "CHF 1,600 seems high," you can respond:</t>
  </si>
  <si>
    <t xml:space="preserve">"Based on your own numbers, the most you could pay and still break even in year one is CHF 3,568. We're charging CHF 1,600. You're keeping more than half the value."</t>
  </si>
  <si>
    <t xml:space="preserve">That reframes the entire conversation.</t>
  </si>
  <si>
    <t xml:space="preserve">What I'd add to the ROI App</t>
  </si>
  <si>
    <t xml:space="preserve">Three new rows would make it a proper negotiation tool:</t>
  </si>
  <si>
    <t xml:space="preserve">Value Ceiling (monthly) — = (C27*12 - C19) / 12 — maximum monthly fee to break even in Y1</t>
  </si>
  <si>
    <t xml:space="preserve">Your headroom — = C_ValueCeiling - C20 — how much under the ceiling you are</t>
  </si>
  <si>
    <t xml:space="preserve">Internal staffing alternative — a yellow input cell: "What would it cost to hire someone part-time to do this manually? (CHF/month)" — then a comparison row</t>
  </si>
  <si>
    <t xml:space="preserve">The third one is especially good in a live conversation. You ask the client to enter their own estimate of what a person doing this job would cost. They do the maths. You don't.</t>
  </si>
  <si>
    <t xml:space="preserve">Want me to add those three rows to the ROI App now?</t>
  </si>
  <si>
    <t xml:space="preserve">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</si>
  <si>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 xml:space="preserve">That's a brilliant analogy — let me address it properly, then implement the rows.</t>
  </si>
  <si>
    <t xml:space="preserve">The Krankenkasse argument — use it</t>
  </si>
  <si>
    <t xml:space="preserve">The parallel is exact and you should use it explicitly. Here's the framing:</t>
  </si>
  <si>
    <t xml:space="preserve">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</si>
  <si>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 xml:space="preserve">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</si>
  <si>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 xml:space="preserve">What makes it even stronger: Krankenkasse has no ROI calculation. You genuinely might never need it. With VortexDeep, the ROI App shows the client they're already ahead even if they use the service every single month and nothing ever breaks.</t>
  </si>
  <si>
    <t xml:space="preserve">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</si>
  <si>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 xml:space="preserve">One line you can use in a meeting:</t>
  </si>
  <si>
    <t xml:space="preserve">"Think about it like Krankenkasse. You pay every month, and the best months are the ones where you never needed to call us. That's not money wasted — that's the system working."</t>
  </si>
  <si>
    <t xml:space="preserve">Now adding the three rows:Emoji encoded as surrogates — quick fix:G36 Value Ceiling = CHF 3,568 and G37 Headroom = CHF 1,968 — exactly matching the expected numbers. Zero errors, 84 formulas.Done. The ROI App now has a full Section 3 — Negotiation View with five new rows:</t>
  </si>
  <si>
    <t xml:space="preserve">Value Ceiling (monthly) — the maximum fee you could charge and the client still breaks even in year one. For the realistic small project example it calculates CHF 3,568/month. You're charging CHF 1,600. That gap is the argument.</t>
  </si>
  <si>
    <t xml:space="preserve">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</si>
  <si>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 xml:space="preserve">Staffing alternative (yellow input) — the client enters what they think it would cost to have a person do this manually. Pre-filled with zero and a prompt. The rule-of-thumb note is in the D column: CHF 70k salary ≈ CHF 8,300/month fully loaded, one day a week already costs CHF 2,000+.</t>
  </si>
  <si>
    <t xml:space="preserve">Automation saving vs. staffing — once they enter a number, this row shows the monthly saving. Negative means staffing is actually cheaper — in which case you have the wrong scope, not the wrong price.</t>
  </si>
  <si>
    <t xml:space="preserve">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</si>
  <si>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That last line is the twist that makes the analogy work even better than the original. Krankenkasse offers no ROI calculation — you just pay and hope. VortexDeep gives you the number up front. It's a stronger position, not a weaker one.</t>
  </si>
  <si>
    <t xml:space="preserve">what means TRIAGE in for rxample: data triage, ai automation?</t>
  </si>
  <si>
    <t xml:space="preserve">In AI automation, triage means rapidly assessing, classifying, prioritizing, and routing incoming information so that the right action happens next.</t>
  </si>
  <si>
    <t xml:space="preserve">The term comes from medicine, where patients are prioritized based on urgency. In automation, the same principle applies to emails, documents, tickets, leads, invoices, support requests, and similar inputs.</t>
  </si>
  <si>
    <t xml:space="preserve">Data triage</t>
  </si>
  <si>
    <t xml:space="preserve">Data triage is the process of:</t>
  </si>
  <si>
    <t xml:space="preserve">identifying what the data is</t>
  </si>
  <si>
    <t xml:space="preserve">extracting important information</t>
  </si>
  <si>
    <t xml:space="preserve">determining its priority</t>
  </si>
  <si>
    <t xml:space="preserve">deciding where it should go</t>
  </si>
  <si>
    <t xml:space="preserve">deciding what should happen next</t>
  </si>
  <si>
    <t xml:space="preserve">Example:</t>
  </si>
  <si>
    <t xml:space="preserve">Incoming document</t>
  </si>
  <si>
    <t xml:space="preserve">↓</t>
  </si>
  <si>
    <t xml:space="preserve">AI identifies it as an invoice</t>
  </si>
  <si>
    <t xml:space="preserve">Extracts supplier, amount, due date</t>
  </si>
  <si>
    <t xml:space="preserve">Priority = High (due in 3 days)</t>
  </si>
  <si>
    <t xml:space="preserve">Routes to Finance</t>
  </si>
  <si>
    <t xml:space="preserve">Creates approval task</t>
  </si>
  <si>
    <t xml:space="preserve">Email triage</t>
  </si>
  <si>
    <t xml:space="preserve">This is exactly what you've been building for MG Red Shift.</t>
  </si>
  <si>
    <t xml:space="preserve">New email</t>
  </si>
  <si>
    <t xml:space="preserve">AI classifies:</t>
  </si>
  <si>
    <t xml:space="preserve">Lead</t>
  </si>
  <si>
    <t xml:space="preserve">Existing Customer</t>
  </si>
  <si>
    <t xml:space="preserve">Technical Question</t>
  </si>
  <si>
    <t xml:space="preserve">Seeker (outside CH/LI)</t>
  </si>
  <si>
    <t xml:space="preserve">Spam</t>
  </si>
  <si>
    <t xml:space="preserve">Depending on category:</t>
  </si>
  <si>
    <t xml:space="preserve">create CRM record</t>
  </si>
  <si>
    <t xml:space="preserve">draft reply</t>
  </si>
  <si>
    <t xml:space="preserve">notify sales</t>
  </si>
  <si>
    <t xml:space="preserve">archive</t>
  </si>
  <si>
    <t xml:space="preserve">ignore</t>
  </si>
  <si>
    <t xml:space="preserve">This is AI-powered email triage.</t>
  </si>
  <si>
    <t xml:space="preserve">AI triage</t>
  </si>
  <si>
    <t xml:space="preserve">AI triage means using an AI model to make the initial decision instead of a person.</t>
  </si>
  <si>
    <t xml:space="preserve">Example prompt:</t>
  </si>
  <si>
    <t xml:space="preserve">"Read this email and classify it into one of these categories. Return urgency, sentiment, language, recommended department, and next action."</t>
  </si>
  <si>
    <t xml:space="preserve">Output:</t>
  </si>
  <si>
    <t xml:space="preserve">{</t>
  </si>
  <si>
    <t xml:space="preserve">  "category": "Lead",</t>
  </si>
  <si>
    <t xml:space="preserve">  "urgency": "Medium",</t>
  </si>
  <si>
    <t xml:space="preserve">  "language": "German",</t>
  </si>
  <si>
    <t xml:space="preserve">  "sentiment": "Positive",</t>
  </si>
  <si>
    <t xml:space="preserve">  "next_action": "Draft quotation"</t>
  </si>
  <si>
    <t xml:space="preserve">}</t>
  </si>
  <si>
    <t xml:space="preserve">Then your automation continues from there.</t>
  </si>
  <si>
    <t xml:space="preserve">Support ticket triage</t>
  </si>
  <si>
    <t xml:space="preserve">Customer writes:</t>
  </si>
  <si>
    <t xml:space="preserve">"Our production line stopped."</t>
  </si>
  <si>
    <t xml:space="preserve">AI determines:</t>
  </si>
  <si>
    <t xml:space="preserve">Category: Technical Support</t>
  </si>
  <si>
    <t xml:space="preserve">Severity: Critical</t>
  </si>
  <si>
    <t xml:space="preserve">Customer: Enterprise</t>
  </si>
  <si>
    <t xml:space="preserve">Response SLA: 30 minutes</t>
  </si>
  <si>
    <t xml:space="preserve">Notify engineer immediately</t>
  </si>
  <si>
    <t xml:space="preserve">No human has to perform the initial sorting.</t>
  </si>
  <si>
    <t xml:space="preserve">Lead triage</t>
  </si>
  <si>
    <t xml:space="preserve">Website form arrives.</t>
  </si>
  <si>
    <t xml:space="preserve">AI evaluates:</t>
  </si>
  <si>
    <t xml:space="preserve">Budget</t>
  </si>
  <si>
    <t xml:space="preserve">Country</t>
  </si>
  <si>
    <t xml:space="preserve">Company size</t>
  </si>
  <si>
    <t xml:space="preserve">Industry</t>
  </si>
  <si>
    <t xml:space="preserve">Buying intent</t>
  </si>
  <si>
    <t xml:space="preserve">Result:</t>
  </si>
  <si>
    <t xml:space="preserve">Hot Lead</t>
  </si>
  <si>
    <t xml:space="preserve">Warm Lead</t>
  </si>
  <si>
    <t xml:space="preserve">Cold Lead</t>
  </si>
  <si>
    <t xml:space="preserve">Not Qualified</t>
  </si>
  <si>
    <t xml:space="preserve">Sales only receives the qualified leads.</t>
  </si>
  <si>
    <t xml:space="preserve">Document triage</t>
  </si>
  <si>
    <t xml:space="preserve">A folder receives PDFs.</t>
  </si>
  <si>
    <t xml:space="preserve">AI identifies:</t>
  </si>
  <si>
    <t xml:space="preserve">Contract</t>
  </si>
  <si>
    <t xml:space="preserve">Invoice</t>
  </si>
  <si>
    <t xml:space="preserve">Purchase Order</t>
  </si>
  <si>
    <t xml:space="preserve">Delivery Note</t>
  </si>
  <si>
    <t xml:space="preserve">Passport</t>
  </si>
  <si>
    <t xml:space="preserve">CV</t>
  </si>
  <si>
    <t xml:space="preserve">Then routes each document into the appropriate workflow.</t>
  </si>
  <si>
    <t xml:space="preserve">Where triage fits in an AI automation</t>
  </si>
  <si>
    <t xml:space="preserve">A common pattern is:</t>
  </si>
  <si>
    <t xml:space="preserve">Input</t>
  </si>
  <si>
    <t xml:space="preserve">   │</t>
  </si>
  <si>
    <t xml:space="preserve">   ▼</t>
  </si>
  <si>
    <t xml:space="preserve">AI TRIAGE</t>
  </si>
  <si>
    <t xml:space="preserve">(Classify • Prioritize • Extract)</t>
  </si>
  <si>
    <t xml:space="preserve">Decision</t>
  </si>
  <si>
    <t xml:space="preserve">   ├── CRM</t>
  </si>
  <si>
    <t xml:space="preserve">   ├── Email reply</t>
  </si>
  <si>
    <t xml:space="preserve">   ├── Human approval</t>
  </si>
  <si>
    <t xml:space="preserve">   ├── Calendar</t>
  </si>
  <si>
    <t xml:space="preserve">   ├── Database</t>
  </si>
  <si>
    <t xml:space="preserve">   └── Archive</t>
  </si>
  <si>
    <t xml:space="preserve">Triage is often the first AI step after data enters a workflow.</t>
  </si>
  <si>
    <t xml:space="preserve">For VortexDeep</t>
  </si>
  <si>
    <t xml:space="preserve">"Triage" could become one of your core service concepts because nearly every business receives unstructured information that must be organized before work can begin.</t>
  </si>
  <si>
    <t xml:space="preserve">For example:</t>
  </si>
  <si>
    <t xml:space="preserve">Email Triage – classify, prioritize, and route incoming emails.</t>
  </si>
  <si>
    <t xml:space="preserve">Document Triage – identify, extract, and organize information from documents.</t>
  </si>
  <si>
    <t xml:space="preserve">Lead Triage – qualify and prioritize sales inquiries.</t>
  </si>
  <si>
    <t xml:space="preserve">Support Triage – assess urgency and assign tickets.</t>
  </si>
  <si>
    <t xml:space="preserve">Workflow Triage – determine the next action in a business process based on incoming data.</t>
  </si>
  <si>
    <t xml:space="preserve">In other words, triage is the intelligent decision layer that sits between incoming information and automated business actions. It's a concise term that accurately describes a key capability in many AI automation systems.</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</si>
  <si>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</si>
  <si>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</si>
  <si>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</si>
  <si>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</si>
  <si>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</si>
  <si>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</si>
  <si>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</si>
  <si>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</si>
  <si>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</si>
  <si>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</si>
  <si>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</si>
  <si>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</si>
  <si>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</si>
  <si>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</si>
  <si>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</si>
  <si>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</si>
  <si>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</si>
  <si>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</si>
  <si>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</si>
  <si>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</si>
  <si>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</si>
  <si>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</si>
  <si>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</si>
  <si>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</si>
  <si>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</si>
  <si>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</si>
  <si>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</si>
  <si>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</si>
  <si>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</si>
  <si>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</si>
  <si>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</si>
  <si>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</si>
  <si>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</si>
  <si>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</si>
  <si>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</si>
  <si>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</si>
  <si>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</si>
  <si>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</si>
  <si>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</si>
  <si>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</si>
  <si>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</si>
  <si>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</si>
  <si>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</si>
  <si>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</si>
  <si>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</si>
  <si>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</si>
  <si>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</si>
  <si>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</si>
  <si>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</si>
  <si>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</si>
  <si>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</si>
  <si>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</si>
  <si>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</si>
  <si>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</si>
  <si>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</si>
  <si>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</si>
  <si>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</si>
  <si>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</si>
  <si>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</si>
  <si>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</si>
  <si>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</si>
  <si>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</si>
  <si>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</si>
  <si>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</si>
  <si>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</si>
  <si>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</si>
  <si>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</si>
  <si>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</si>
  <si>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</si>
  <si>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</si>
  <si>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</si>
  <si>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</si>
  <si>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</si>
  <si>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</si>
  <si>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 xml:space="preserve">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</si>
  <si>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 xml:space="preserve">Why licence ≠ transfer, even when it feels identical</t>
  </si>
  <si>
    <t xml:space="preserve">Your confusion is completely reasonable, because the thing the client ends up with can look the same in both cases. The difference isn't what they hold — it's what they're legally allowed to do with it, and who owns it. Think in layers:</t>
  </si>
  <si>
    <t xml:space="preserve">The outputs (sorted inbox, drafts, dashboards) — the client always gets these.</t>
  </si>
  <si>
    <t xml:space="preserve">The right to use the automation for their business.</t>
  </si>
  <si>
    <t xml:space="preserve">The build artifact (the actual Make scenario, prompts, routing rules).</t>
  </si>
  <si>
    <t xml:space="preserve">The methodology — your discovery process, your pattern library, the judgment about what to build and how. This is the "our knowledge" you're protecting.</t>
  </si>
  <si>
    <t xml:space="preserve">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</si>
  <si>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 xml:space="preserve">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</si>
  <si>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 xml:space="preserve">Two analogies make it click:</t>
  </si>
  <si>
    <t xml:space="preserve">Renting vs. selling a flat. In both, someone else lives there. But a tenant follows a lease, can't sell your flat, and you're still the owner. A buyer owns it outright and can do anything — including sell it to your rival. Licence = lease; transfer = sale.</t>
  </si>
  <si>
    <t xml:space="preserve">Microsoft licences you Windows. It runs on your laptop, but you don't own Windows — you can't resell it or build a competing OS from it. If they transferred it, you'd own the source code. Same software in your hands; completely different rights.</t>
  </si>
  <si>
    <t xml:space="preserve">The part you're really worried about</t>
  </si>
  <si>
    <t xml:space="preserve">Your deeper worry, I think, is: "if a licensed client can open the Make scenario and see the boxes, haven't they got my 'how'?" Two answers:</t>
  </si>
  <si>
    <t xml:space="preserve">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</si>
  <si>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 xml:space="preserve">Second — if protecting the "how" is paramount, the licence doesn't have to expose the internals at all. Your Access Models sheet already has the gradations for this, and they're the real answer to your question:</t>
  </si>
  <si>
    <t xml:space="preserve">Run it black-boxed on your side — the client gets outputs + a right to use, and never sees the build. Maximum protection.</t>
  </si>
  <si>
    <t xml:space="preserve">Licence a logic summary (a Mermaid chart, status rules) — they understand what it does without the editable implementation.</t>
  </si>
  <si>
    <t xml:space="preserve">Runs in their workspace, but licensed — for compliance/data reasons the automation lives in their environment, yet the terms forbid copying or transferring it, and the reusable patterns remain yours.</t>
  </si>
  <si>
    <t xml:space="preserve">So the licence isn't one thing — it's a dial on how much the client sees, none of which is ownership, and none of which includes the methodology.</t>
  </si>
  <si>
    <t xml:space="preserve">The policy fix</t>
  </si>
  <si>
    <t xml:space="preserve">Given your firm position — no full transfer, at any price — the honest model is two tiers, not three:</t>
  </si>
  <si>
    <t xml:space="preserve">Managed (default): you run and improve it. Recurring, you keep everything.</t>
  </si>
  <si>
    <t xml:space="preserve">Licence: a bounded right-to-use for clients who want more autonomy or data-in-their-workspace — you keep ownership, the IP, and the methodology, and the terms prevent resale/reverse-engineering. Still recurring (annual licence).</t>
  </si>
  <si>
    <t xml:space="preserve">And drop "Build-and-transfer" — or keep it only as an explicit "we don't sell the asset — here's why" line, which is itself a trust signal ("we're not for sale because our clients need us to keep existing"). The buy-out row I added earlier now contradicts your policy, so it should go.</t>
  </si>
  <si>
    <t xml:space="preserve">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</si>
  <si>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 xml:space="preserve">So, two concrete things I'd do — tell me to go:</t>
  </si>
  <si>
    <t xml:space="preserve">Fix the v12 calculator → remove/neutralise the Build-and-transfer row so the tool matches your policy: Managed + Licence only, with the licence variants (black-box / logic-summary / client-workspace) as the dial. The buy-out columns come out.</t>
  </si>
  <si>
    <t xml:space="preserve">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</si>
  <si>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 xml:space="preserve">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</si>
</sst>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0%"/>
    <numFmt numFmtId="170" formatCode="0.00"/>
    <numFmt numFmtId="171" formatCode="#,##0.00"/>
  </numFmts>
  <fonts count="101">
    <font>
      <sz val="11"/>
      <name val="Calibri"/>
      <family val="0"/>
      <charset val="1"/>
    </font>
    <font>
      <sz val="10"/>
      <name val="Arial"/>
      <family val="0"/>
    </font>
    <font>
      <sz val="10"/>
      <name val="Arial"/>
      <family val="0"/>
    </font>
    <font>
      <sz val="10"/>
      <name val="Arial"/>
      <family val="0"/>
    </font>
    <font>
      <b val="true"/>
      <sz val="12"/>
      <color rgb="FFFFFFFF"/>
      <name val="Calibri"/>
      <family val="2"/>
      <charset val="1"/>
    </font>
    <font>
      <i val="true"/>
      <sz val="9.5"/>
      <color rgb="FFC00000"/>
      <name val="Arial"/>
      <family val="2"/>
      <charset val="1"/>
    </font>
    <font>
      <b val="true"/>
      <sz val="10"/>
      <color rgb="FF2E2E2E"/>
      <name val="Arial"/>
      <family val="2"/>
      <charset val="1"/>
    </font>
    <font>
      <sz val="10"/>
      <color rgb="FF2E2E2E"/>
      <name val="Arial"/>
      <family val="2"/>
      <charset val="1"/>
    </font>
    <font>
      <b val="true"/>
      <sz val="10.5"/>
      <color rgb="FFFFFFFF"/>
      <name val="Arial"/>
      <family val="2"/>
      <charset val="1"/>
    </font>
    <font>
      <b val="true"/>
      <sz val="9"/>
      <color rgb="FFFFFFFF"/>
      <name val="Arial"/>
      <family val="2"/>
      <charset val="1"/>
    </font>
    <font>
      <b val="true"/>
      <sz val="9"/>
      <color rgb="FF1F6F6F"/>
      <name val="Arial"/>
      <family val="2"/>
      <charset val="1"/>
    </font>
    <font>
      <b val="true"/>
      <sz val="9"/>
      <color rgb="FF2E2E2E"/>
      <name val="Arial"/>
      <family val="2"/>
      <charset val="1"/>
    </font>
    <font>
      <sz val="9"/>
      <color rgb="FF808080"/>
      <name val="Arial"/>
      <family val="2"/>
      <charset val="1"/>
    </font>
    <font>
      <sz val="9.5"/>
      <color rgb="FF2E2E2E"/>
      <name val="Arial"/>
      <family val="2"/>
      <charset val="1"/>
    </font>
    <font>
      <i val="true"/>
      <sz val="9"/>
      <color rgb="FFC00000"/>
      <name val="Arial"/>
      <family val="2"/>
      <charset val="1"/>
    </font>
    <font>
      <sz val="11"/>
      <color rgb="FFC00000"/>
      <name val="Calibri"/>
      <family val="2"/>
      <charset val="1"/>
    </font>
    <font>
      <b val="true"/>
      <sz val="9.5"/>
      <color rgb="FF2E2E2E"/>
      <name val="Arial"/>
      <family val="2"/>
      <charset val="1"/>
    </font>
    <font>
      <sz val="9"/>
      <color rgb="FF2E2E2E"/>
      <name val="Arial"/>
      <family val="2"/>
      <charset val="1"/>
    </font>
    <font>
      <i val="true"/>
      <sz val="8.5"/>
      <color rgb="FF1F6F6F"/>
      <name val="Arial"/>
      <family val="2"/>
      <charset val="1"/>
    </font>
    <font>
      <sz val="10"/>
      <color rgb="FFB26A00"/>
      <name val="Arial"/>
      <family val="2"/>
      <charset val="1"/>
    </font>
    <font>
      <b val="true"/>
      <sz val="10"/>
      <color rgb="FFFFFFFF"/>
      <name val="Arial"/>
      <family val="2"/>
      <charset val="1"/>
    </font>
    <font>
      <i val="true"/>
      <sz val="9"/>
      <color rgb="FF808080"/>
      <name val="Arial"/>
      <family val="2"/>
      <charset val="1"/>
    </font>
    <font>
      <b val="true"/>
      <sz val="9.5"/>
      <color rgb="FFB26A00"/>
      <name val="Arial"/>
      <family val="2"/>
      <charset val="1"/>
    </font>
    <font>
      <i val="true"/>
      <sz val="8.5"/>
      <color rgb="FF808080"/>
      <name val="Arial"/>
      <family val="2"/>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i val="true"/>
      <sz val="11"/>
      <color rgb="FFC00000"/>
      <name val="Cambria"/>
      <family val="1"/>
      <charset val="1"/>
    </font>
    <font>
      <b val="true"/>
      <sz val="11"/>
      <color rgb="FFFF0000"/>
      <name val="Cambria"/>
      <family val="1"/>
      <charset val="1"/>
    </font>
    <font>
      <b val="true"/>
      <sz val="11"/>
      <color rgb="FF2E2E2E"/>
      <name val="Cambria"/>
      <family val="1"/>
      <charset val="1"/>
    </font>
    <font>
      <sz val="11"/>
      <color rgb="FF808080"/>
      <name val="Cambria"/>
      <family val="1"/>
      <charset val="1"/>
    </font>
    <font>
      <b val="true"/>
      <sz val="11"/>
      <color rgb="FF1F6F6F"/>
      <name val="Cambria"/>
      <family val="1"/>
      <charset val="1"/>
    </font>
    <font>
      <sz val="11"/>
      <color rgb="FF1F6F6F"/>
      <name val="Cambria"/>
      <family val="1"/>
      <charset val="1"/>
    </font>
    <font>
      <b val="true"/>
      <sz val="11"/>
      <color rgb="FFB26A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sz val="11"/>
      <color rgb="FF000000"/>
      <name val="Calibri"/>
      <family val="2"/>
      <charset val="1"/>
    </font>
    <font>
      <i val="true"/>
      <sz val="11"/>
      <color rgb="FF000000"/>
      <name val="Calibri"/>
      <family val="2"/>
      <charset val="1"/>
    </font>
    <font>
      <i val="true"/>
      <sz val="10"/>
      <color rgb="FF374151"/>
      <name val="Calibri"/>
      <family val="2"/>
      <charset val="1"/>
    </font>
    <font>
      <i val="true"/>
      <sz val="11"/>
      <name val="Calibri"/>
      <family val="2"/>
      <charset val="1"/>
    </font>
    <font>
      <sz val="10"/>
      <color rgb="FF4B5563"/>
      <name val="Segoe UI"/>
      <family val="0"/>
      <charset val="1"/>
    </font>
    <font>
      <b val="true"/>
      <sz val="11"/>
      <name val="Calibri"/>
      <family val="2"/>
      <charset val="1"/>
    </font>
    <font>
      <b val="true"/>
      <sz val="11"/>
      <color rgb="FFFFFFFF"/>
      <name val="Calibri"/>
      <family val="2"/>
      <charset val="1"/>
    </font>
    <font>
      <i val="true"/>
      <sz val="11"/>
      <color rgb="FF808080"/>
      <name val="Cambria"/>
      <family val="1"/>
      <charset val="1"/>
    </font>
    <font>
      <sz val="11"/>
      <color rgb="FFFF0000"/>
      <name val="Calibri"/>
      <family val="2"/>
      <charset val="1"/>
    </font>
    <font>
      <sz val="11"/>
      <color rgb="FFFFFFFF"/>
      <name val="Calibri"/>
      <family val="2"/>
      <charset val="1"/>
    </font>
    <font>
      <b val="true"/>
      <sz val="9"/>
      <color rgb="FFB26A00"/>
      <name val="Arial"/>
      <family val="2"/>
      <charset val="1"/>
    </font>
    <font>
      <sz val="11"/>
      <name val="Calibri"/>
      <family val="2"/>
      <charset val="1"/>
    </font>
    <font>
      <b val="true"/>
      <sz val="11"/>
      <color rgb="FF7C2D12"/>
      <name val="Cambria"/>
      <family val="0"/>
      <charset val="1"/>
    </font>
    <font>
      <b val="true"/>
      <sz val="11"/>
      <name val="Cambria"/>
      <family val="0"/>
      <charset val="1"/>
    </font>
    <font>
      <sz val="9"/>
      <color rgb="FFFFFFFF"/>
      <name val="Arial"/>
      <family val="2"/>
      <charset val="1"/>
    </font>
    <font>
      <b val="true"/>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val="true"/>
      <sz val="8.5"/>
      <color rgb="FF8C8C8C"/>
      <name val="Arial"/>
      <family val="2"/>
      <charset val="1"/>
    </font>
    <font>
      <b val="true"/>
      <sz val="12"/>
      <color rgb="FFFFFFFF"/>
      <name val="Calibri"/>
      <family val="0"/>
      <charset val="1"/>
    </font>
    <font>
      <b val="true"/>
      <sz val="11"/>
      <name val="Calibri"/>
      <family val="0"/>
      <charset val="1"/>
    </font>
    <font>
      <b val="true"/>
      <sz val="10"/>
      <name val="Cambria"/>
      <family val="0"/>
      <charset val="1"/>
    </font>
    <font>
      <i val="true"/>
      <sz val="11"/>
      <color rgb="FF4B5563"/>
      <name val="Calibri"/>
      <family val="0"/>
      <charset val="1"/>
    </font>
    <font>
      <sz val="11"/>
      <name val="Calibri Light"/>
      <family val="2"/>
      <charset val="1"/>
    </font>
    <font>
      <b val="true"/>
      <sz val="11"/>
      <color rgb="FFFFFFFF"/>
      <name val="Calibri Light"/>
      <family val="2"/>
      <charset val="1"/>
    </font>
    <font>
      <i val="true"/>
      <sz val="11"/>
      <color rgb="FFC00000"/>
      <name val="Calibri Light"/>
      <family val="2"/>
      <charset val="1"/>
    </font>
    <font>
      <b val="true"/>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val="true"/>
      <sz val="11"/>
      <color rgb="FF8C8C8C"/>
      <name val="Calibri Light"/>
      <family val="2"/>
      <charset val="1"/>
    </font>
    <font>
      <i val="true"/>
      <sz val="11"/>
      <color rgb="FFB26A00"/>
      <name val="Calibri Light"/>
      <family val="2"/>
      <charset val="1"/>
    </font>
    <font>
      <sz val="11"/>
      <color rgb="FF1F6F6F"/>
      <name val="Calibri Light"/>
      <family val="2"/>
      <charset val="1"/>
    </font>
    <font>
      <sz val="11"/>
      <color rgb="FFB26A00"/>
      <name val="Calibri Light"/>
      <family val="2"/>
      <charset val="1"/>
    </font>
    <font>
      <i val="true"/>
      <sz val="11"/>
      <color rgb="FF808080"/>
      <name val="Calibri Light"/>
      <family val="2"/>
      <charset val="1"/>
    </font>
    <font>
      <b val="true"/>
      <sz val="11"/>
      <color rgb="FFFFFFFF"/>
      <name val="Calibri"/>
      <family val="0"/>
      <charset val="1"/>
    </font>
    <font>
      <b val="true"/>
      <sz val="12"/>
      <color rgb="FF2E2E2E"/>
      <name val="Arial"/>
      <family val="2"/>
      <charset val="1"/>
    </font>
    <font>
      <i val="true"/>
      <sz val="9"/>
      <color rgb="FF1F6F6F"/>
      <name val="Arial"/>
      <family val="2"/>
      <charset val="1"/>
    </font>
    <font>
      <b val="true"/>
      <sz val="11"/>
      <color rgb="FF000000"/>
      <name val="Calibri"/>
      <family val="2"/>
      <charset val="1"/>
    </font>
    <font>
      <sz val="9.5"/>
      <color rgb="FF808080"/>
      <name val="Arial"/>
      <family val="2"/>
      <charset val="1"/>
    </font>
    <font>
      <b val="true"/>
      <sz val="18"/>
      <name val="Calibri"/>
      <family val="2"/>
      <charset val="1"/>
    </font>
    <font>
      <b val="true"/>
      <sz val="13"/>
      <name val="Calibri"/>
      <family val="2"/>
      <charset val="1"/>
    </font>
    <font>
      <i val="true"/>
      <sz val="9"/>
      <color rgb="FF4B5563"/>
      <name val="Cambria"/>
      <family val="0"/>
      <charset val="1"/>
    </font>
    <font>
      <i val="true"/>
      <sz val="11"/>
      <color rgb="FFFF0000"/>
      <name val="Calibri"/>
      <family val="2"/>
      <charset val="1"/>
    </font>
    <font>
      <sz val="10"/>
      <name val="Arial Unicode MS"/>
      <family val="2"/>
      <charset val="1"/>
    </font>
    <font>
      <b val="true"/>
      <sz val="13.5"/>
      <name val="Calibri"/>
      <family val="2"/>
      <charset val="1"/>
    </font>
    <font>
      <sz val="13"/>
      <name val="Calibri"/>
      <family val="2"/>
      <charset val="1"/>
    </font>
    <font>
      <b val="true"/>
      <sz val="13"/>
      <color rgb="FFFF0000"/>
      <name val="Calibri"/>
      <family val="2"/>
      <charset val="1"/>
    </font>
    <font>
      <sz val="11"/>
      <color theme="0"/>
      <name val="Calibri"/>
      <family val="2"/>
      <charset val="1"/>
    </font>
  </fonts>
  <fills count="38">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9"/>
        <bgColor rgb="FFFFF2CC"/>
      </patternFill>
    </fill>
    <fill>
      <patternFill patternType="solid">
        <fgColor theme="6" tint="0.5996"/>
        <bgColor rgb="FFA6CAEC"/>
      </patternFill>
    </fill>
    <fill>
      <patternFill patternType="solid">
        <fgColor rgb="FFFFFF00"/>
        <bgColor rgb="FFFFC000"/>
      </patternFill>
    </fill>
    <fill>
      <patternFill patternType="solid">
        <fgColor theme="3" tint="0.7496"/>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5"/>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5"/>
        <bgColor rgb="FFA6CAEC"/>
      </patternFill>
    </fill>
    <fill>
      <patternFill patternType="solid">
        <fgColor theme="3" tint="0.8999"/>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DE68A"/>
        <bgColor rgb="FFFEF3C7"/>
      </patternFill>
    </fill>
    <fill>
      <patternFill patternType="solid">
        <fgColor rgb="FFD1FAE5"/>
        <bgColor rgb="FFE0F2FE"/>
      </patternFill>
    </fill>
    <fill>
      <patternFill patternType="solid">
        <fgColor rgb="FFFFF3D6"/>
        <bgColor rgb="FFFFF2CC"/>
      </patternFill>
    </fill>
    <fill>
      <patternFill patternType="solid">
        <fgColor rgb="FFB26A00"/>
        <bgColor rgb="FF808080"/>
      </patternFill>
    </fill>
    <fill>
      <patternFill patternType="solid">
        <fgColor theme="0" tint="-0.15"/>
        <bgColor rgb="FFDDDDDD"/>
      </patternFill>
    </fill>
    <fill>
      <patternFill patternType="solid">
        <fgColor rgb="FF374151"/>
        <bgColor rgb="FF2E2E2E"/>
      </patternFill>
    </fill>
  </fills>
  <borders count="15">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top/>
      <bottom style="thin">
        <color rgb="FFE6E6E6"/>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rgb="FFDDDDDD"/>
      </left>
      <right style="thin">
        <color rgb="FFDDDDDD"/>
      </right>
      <top style="thin">
        <color rgb="FFDDDDDD"/>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style="thin">
        <color rgb="FFE2E2E2"/>
      </top>
      <bottom style="thin">
        <color rgb="FFE2E2E2"/>
      </bottom>
      <diagonal/>
    </border>
    <border diagonalUp="false" diagonalDown="false">
      <left/>
      <right style="thin">
        <color rgb="FFE2E2E2"/>
      </right>
      <top style="thin">
        <color rgb="FFE2E2E2"/>
      </top>
      <bottom style="thin">
        <color rgb="FFE2E2E2"/>
      </bottom>
      <diagonal/>
    </border>
    <border diagonalUp="false" diagonalDown="false">
      <left/>
      <right/>
      <top style="thin">
        <color rgb="FFE2E2E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8" fillId="6" borderId="0" xfId="0" applyFont="true" applyBorder="false" applyAlignment="true" applyProtection="false">
      <alignment horizontal="left" vertical="center"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left"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left"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true" indent="0" shrinkToFit="false"/>
      <protection locked="true" hidden="false"/>
    </xf>
    <xf numFmtId="164" fontId="19" fillId="0" borderId="2" xfId="0" applyFont="true" applyBorder="true" applyAlignment="true" applyProtection="false">
      <alignment horizontal="center" vertical="center" textRotation="0" wrapText="true" indent="0" shrinkToFit="false"/>
      <protection locked="true" hidden="false"/>
    </xf>
    <xf numFmtId="164" fontId="20" fillId="5" borderId="0" xfId="0" applyFont="true" applyBorder="true" applyAlignment="true" applyProtection="false">
      <alignment horizontal="left" vertical="center" textRotation="0" wrapText="true" indent="0" shrinkToFit="false"/>
      <protection locked="true" hidden="false"/>
    </xf>
    <xf numFmtId="164" fontId="21" fillId="7"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5" fillId="8" borderId="0" xfId="0" applyFont="true" applyBorder="false" applyAlignment="true" applyProtection="false">
      <alignment horizontal="general" vertical="center" textRotation="0" wrapText="false" indent="0" shrinkToFit="false"/>
      <protection locked="true" hidden="false"/>
    </xf>
    <xf numFmtId="164" fontId="25" fillId="8" borderId="0" xfId="0" applyFont="true" applyBorder="false" applyAlignment="true" applyProtection="false">
      <alignment horizontal="center" vertical="center" textRotation="0" wrapText="false" indent="0" shrinkToFit="false"/>
      <protection locked="true" hidden="false"/>
    </xf>
    <xf numFmtId="164" fontId="24" fillId="8" borderId="0" xfId="0" applyFont="true" applyBorder="false" applyAlignment="true" applyProtection="false">
      <alignment horizontal="center" vertical="center" textRotation="0" wrapText="false" indent="0" shrinkToFit="false"/>
      <protection locked="true" hidden="false"/>
    </xf>
    <xf numFmtId="164" fontId="25" fillId="8" borderId="0" xfId="0" applyFont="true" applyBorder="fals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4" fillId="9" borderId="0" xfId="0" applyFont="true" applyBorder="false" applyAlignment="tru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4" fontId="24" fillId="10" borderId="0" xfId="0" applyFont="true" applyBorder="false" applyAlignment="true" applyProtection="false">
      <alignment horizontal="general" vertical="bottom" textRotation="0" wrapText="false" indent="0" shrinkToFit="false"/>
      <protection locked="true" hidden="false"/>
    </xf>
    <xf numFmtId="164" fontId="24" fillId="11" borderId="0" xfId="0" applyFont="true" applyBorder="false" applyAlignment="true" applyProtection="false">
      <alignment horizontal="general" vertical="bottom" textRotation="0" wrapText="false" indent="0" shrinkToFit="false"/>
      <protection locked="true" hidden="false"/>
    </xf>
    <xf numFmtId="164" fontId="24" fillId="12" borderId="3" xfId="0" applyFont="true" applyBorder="true" applyAlignment="true" applyProtection="false">
      <alignment horizontal="general" vertical="bottom" textRotation="0" wrapText="false" indent="0" shrinkToFit="false"/>
      <protection locked="true" hidden="false"/>
    </xf>
    <xf numFmtId="164" fontId="24" fillId="13" borderId="0" xfId="0" applyFont="true" applyBorder="false" applyAlignment="true" applyProtection="false">
      <alignment horizontal="general" vertical="bottom" textRotation="0" wrapText="false" indent="0" shrinkToFit="false"/>
      <protection locked="true" hidden="false"/>
    </xf>
    <xf numFmtId="164" fontId="24" fillId="12" borderId="0" xfId="0" applyFont="true" applyBorder="false" applyAlignment="true" applyProtection="false">
      <alignment horizontal="general" vertical="bottom" textRotation="0" wrapText="false" indent="0" shrinkToFit="false"/>
      <protection locked="true" hidden="false"/>
    </xf>
    <xf numFmtId="164" fontId="24" fillId="14" borderId="0" xfId="0" applyFont="true" applyBorder="false" applyAlignment="true" applyProtection="false">
      <alignment horizontal="general" vertical="bottom" textRotation="0" wrapText="false" indent="0" shrinkToFit="false"/>
      <protection locked="true" hidden="false"/>
    </xf>
    <xf numFmtId="164" fontId="27" fillId="15" borderId="0" xfId="0" applyFont="true" applyBorder="false" applyAlignment="tru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general" vertical="center" textRotation="0" wrapText="false" indent="0" shrinkToFit="false"/>
      <protection locked="true" hidden="false"/>
    </xf>
    <xf numFmtId="164" fontId="24" fillId="0" borderId="5" xfId="0" applyFont="true" applyBorder="true" applyAlignment="true" applyProtection="false">
      <alignment horizontal="general" vertical="center" textRotation="0" wrapText="false" indent="0" shrinkToFit="false"/>
      <protection locked="true" hidden="false"/>
    </xf>
    <xf numFmtId="165" fontId="24" fillId="16" borderId="5" xfId="0" applyFont="true" applyBorder="true" applyAlignment="true" applyProtection="false">
      <alignment horizontal="center" vertical="center" textRotation="0" wrapText="false" indent="0" shrinkToFit="false"/>
      <protection locked="true" hidden="false"/>
    </xf>
    <xf numFmtId="164" fontId="24" fillId="0" borderId="6" xfId="0" applyFont="true" applyBorder="true" applyAlignment="true" applyProtection="false">
      <alignment horizontal="general" vertical="center" textRotation="0" wrapText="false" indent="0" shrinkToFit="false"/>
      <protection locked="true" hidden="false"/>
    </xf>
    <xf numFmtId="164" fontId="27" fillId="17" borderId="0" xfId="0" applyFont="true" applyBorder="false" applyAlignment="true" applyProtection="false">
      <alignment horizontal="general" vertical="bottom" textRotation="0" wrapText="false" indent="0" shrinkToFit="false"/>
      <protection locked="true" hidden="false"/>
    </xf>
    <xf numFmtId="164" fontId="24" fillId="9" borderId="5" xfId="0" applyFont="true" applyBorder="true" applyAlignment="true" applyProtection="false">
      <alignment horizontal="center" vertical="center" textRotation="0" wrapText="false" indent="0" shrinkToFit="false"/>
      <protection locked="true" hidden="false"/>
    </xf>
    <xf numFmtId="164" fontId="25" fillId="18" borderId="0" xfId="0" applyFont="true" applyBorder="false" applyAlignment="true" applyProtection="false">
      <alignment horizontal="general" vertical="center" textRotation="0" wrapText="false" indent="0" shrinkToFit="false"/>
      <protection locked="true" hidden="false"/>
    </xf>
    <xf numFmtId="164" fontId="24" fillId="0" borderId="5" xfId="0" applyFont="true" applyBorder="true" applyAlignment="true" applyProtection="false">
      <alignment horizontal="left" vertical="center" textRotation="0" wrapText="false" indent="0" shrinkToFit="false"/>
      <protection locked="true" hidden="false"/>
    </xf>
    <xf numFmtId="164" fontId="24" fillId="0" borderId="6" xfId="0" applyFont="true" applyBorder="true" applyAlignment="true" applyProtection="false">
      <alignment horizontal="left" vertical="center" textRotation="0" wrapText="false" indent="0" shrinkToFit="false"/>
      <protection locked="true" hidden="false"/>
    </xf>
    <xf numFmtId="164" fontId="26" fillId="9" borderId="5" xfId="0" applyFont="true" applyBorder="true" applyAlignment="true" applyProtection="false">
      <alignment horizontal="center" vertical="center" textRotation="0" wrapText="false" indent="0" shrinkToFit="false"/>
      <protection locked="true" hidden="false"/>
    </xf>
    <xf numFmtId="164" fontId="26" fillId="0" borderId="5" xfId="0" applyFont="true" applyBorder="true" applyAlignment="true" applyProtection="false">
      <alignment horizontal="left" vertical="center" textRotation="0" wrapText="false" indent="0" shrinkToFit="false"/>
      <protection locked="true" hidden="false"/>
    </xf>
    <xf numFmtId="164" fontId="26" fillId="0" borderId="6" xfId="0" applyFont="true" applyBorder="true" applyAlignment="true" applyProtection="false">
      <alignment horizontal="left" vertical="center" textRotation="0" wrapText="false" indent="0" shrinkToFit="false"/>
      <protection locked="true" hidden="false"/>
    </xf>
    <xf numFmtId="164" fontId="26" fillId="19" borderId="4" xfId="0" applyFont="true" applyBorder="true" applyAlignment="true" applyProtection="false">
      <alignment horizontal="general" vertical="center" textRotation="0" wrapText="false" indent="0" shrinkToFit="false"/>
      <protection locked="true" hidden="false"/>
    </xf>
    <xf numFmtId="164" fontId="26" fillId="19" borderId="5" xfId="0" applyFont="true" applyBorder="true" applyAlignment="true" applyProtection="false">
      <alignment horizontal="general" vertical="center" textRotation="0" wrapText="false" indent="0" shrinkToFit="false"/>
      <protection locked="true" hidden="false"/>
    </xf>
    <xf numFmtId="165" fontId="26" fillId="19" borderId="5" xfId="0" applyFont="true" applyBorder="true" applyAlignment="true" applyProtection="false">
      <alignment horizontal="center" vertical="center" textRotation="0" wrapText="false" indent="0" shrinkToFit="false"/>
      <protection locked="true" hidden="false"/>
    </xf>
    <xf numFmtId="164" fontId="26" fillId="19" borderId="6" xfId="0" applyFont="true" applyBorder="true" applyAlignment="true" applyProtection="false">
      <alignment horizontal="general" vertical="center" textRotation="0" wrapText="false" indent="0" shrinkToFit="false"/>
      <protection locked="true" hidden="false"/>
    </xf>
    <xf numFmtId="164" fontId="26" fillId="20" borderId="0" xfId="0" applyFont="true" applyBorder="false" applyAlignment="true" applyProtection="false">
      <alignment horizontal="general" vertical="center" textRotation="0" wrapText="false" indent="0" shrinkToFit="false"/>
      <protection locked="true" hidden="false"/>
    </xf>
    <xf numFmtId="164" fontId="26" fillId="7" borderId="0" xfId="0" applyFont="true" applyBorder="false" applyAlignment="true" applyProtection="false">
      <alignment horizontal="general" vertical="center" textRotation="0" wrapText="false" indent="0" shrinkToFit="false"/>
      <protection locked="true" hidden="false"/>
    </xf>
    <xf numFmtId="164" fontId="26" fillId="7" borderId="0" xfId="0" applyFont="true" applyBorder="false" applyAlignment="true" applyProtection="false">
      <alignment horizontal="center" vertical="center" textRotation="0" wrapText="false" indent="0" shrinkToFit="false"/>
      <protection locked="true" hidden="false"/>
    </xf>
    <xf numFmtId="164" fontId="24" fillId="21" borderId="4" xfId="0" applyFont="true" applyBorder="true" applyAlignment="true" applyProtection="false">
      <alignment horizontal="general" vertical="center" textRotation="0" wrapText="false" indent="0" shrinkToFit="false"/>
      <protection locked="true" hidden="false"/>
    </xf>
    <xf numFmtId="164" fontId="24" fillId="21" borderId="5" xfId="0" applyFont="true" applyBorder="true" applyAlignment="true" applyProtection="false">
      <alignment horizontal="general" vertical="center" textRotation="0" wrapText="false" indent="0" shrinkToFit="false"/>
      <protection locked="true" hidden="false"/>
    </xf>
    <xf numFmtId="164" fontId="26" fillId="22" borderId="5" xfId="0" applyFont="true" applyBorder="true" applyAlignment="true" applyProtection="false">
      <alignment horizontal="center" vertical="center" textRotation="0" wrapText="false" indent="0" shrinkToFit="false"/>
      <protection locked="true" hidden="false"/>
    </xf>
    <xf numFmtId="164" fontId="24" fillId="21" borderId="6"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right"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25" fillId="4" borderId="0" xfId="0" applyFont="true" applyBorder="true" applyAlignment="true" applyProtection="false">
      <alignment horizontal="general" vertical="center" textRotation="0" wrapText="true" indent="0" shrinkToFit="false"/>
      <protection locked="true" hidden="false"/>
    </xf>
    <xf numFmtId="164" fontId="29" fillId="7" borderId="0" xfId="0" applyFont="true" applyBorder="false" applyAlignment="true" applyProtection="false">
      <alignment horizontal="right" vertical="center" textRotation="0" wrapText="false" indent="0" shrinkToFit="false"/>
      <protection locked="true" hidden="false"/>
    </xf>
    <xf numFmtId="164" fontId="29" fillId="7" borderId="0" xfId="0" applyFont="true" applyBorder="false" applyAlignment="true" applyProtection="false">
      <alignment horizontal="general" vertical="center" textRotation="0" wrapText="false" indent="0" shrinkToFit="false"/>
      <protection locked="true" hidden="false"/>
    </xf>
    <xf numFmtId="164" fontId="26" fillId="23" borderId="0" xfId="0" applyFont="true" applyBorder="false" applyAlignment="true" applyProtection="false">
      <alignment horizontal="general" vertical="bottom" textRotation="0" wrapText="false" indent="0" shrinkToFit="false"/>
      <protection locked="true" hidden="false"/>
    </xf>
    <xf numFmtId="164" fontId="24" fillId="23"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26" fillId="24" borderId="0" xfId="0" applyFont="true" applyBorder="false" applyAlignment="true" applyProtection="false">
      <alignment horizontal="general" vertical="bottom" textRotation="0" wrapText="false" indent="0" shrinkToFit="false"/>
      <protection locked="true" hidden="false"/>
    </xf>
    <xf numFmtId="164" fontId="30" fillId="24" borderId="0" xfId="0" applyFont="true" applyBorder="false" applyAlignment="true" applyProtection="false">
      <alignment horizontal="center" vertical="bottom" textRotation="0" wrapText="false" indent="0" shrinkToFit="false"/>
      <protection locked="true" hidden="false"/>
    </xf>
    <xf numFmtId="164" fontId="24" fillId="24" borderId="0" xfId="0" applyFont="true" applyBorder="false" applyAlignment="true" applyProtection="false">
      <alignment horizontal="general" vertical="bottom" textRotation="0" wrapText="false" indent="0" shrinkToFit="false"/>
      <protection locked="true" hidden="false"/>
    </xf>
    <xf numFmtId="164" fontId="25" fillId="5" borderId="7" xfId="0" applyFont="true" applyBorder="true" applyAlignment="true" applyProtection="false">
      <alignment horizontal="general" vertical="center" textRotation="0" wrapText="false" indent="0" shrinkToFit="false"/>
      <protection locked="true" hidden="false"/>
    </xf>
    <xf numFmtId="164" fontId="25" fillId="5" borderId="7" xfId="0" applyFont="true" applyBorder="true" applyAlignment="true" applyProtection="false">
      <alignment horizontal="center" vertical="center" textRotation="0" wrapText="true" indent="0" shrinkToFit="false"/>
      <protection locked="true" hidden="false"/>
    </xf>
    <xf numFmtId="164" fontId="31" fillId="0" borderId="4" xfId="0" applyFont="true" applyBorder="true" applyAlignment="true" applyProtection="false">
      <alignment horizontal="general" vertical="center" textRotation="0" wrapText="false" indent="0" shrinkToFit="false"/>
      <protection locked="true" hidden="false"/>
    </xf>
    <xf numFmtId="164" fontId="31" fillId="0" borderId="4" xfId="0" applyFont="true" applyBorder="true" applyAlignment="true" applyProtection="false">
      <alignment horizontal="right" vertical="center" textRotation="0" wrapText="false" indent="0" shrinkToFit="false"/>
      <protection locked="true" hidden="false"/>
    </xf>
    <xf numFmtId="166" fontId="31" fillId="24" borderId="8" xfId="0" applyFont="true" applyBorder="true" applyAlignment="true" applyProtection="false">
      <alignment horizontal="right" vertical="center" textRotation="0" wrapText="true" indent="0" shrinkToFit="false"/>
      <protection locked="true" hidden="false"/>
    </xf>
    <xf numFmtId="164" fontId="32" fillId="0" borderId="5" xfId="0" applyFont="true" applyBorder="true" applyAlignment="true" applyProtection="false">
      <alignment horizontal="left" vertical="center" textRotation="0" wrapText="true" indent="0" shrinkToFit="false"/>
      <protection locked="true" hidden="false"/>
    </xf>
    <xf numFmtId="164" fontId="24" fillId="0" borderId="6" xfId="0" applyFont="true" applyBorder="true" applyAlignment="true" applyProtection="false">
      <alignment horizontal="general" vertical="bottom" textRotation="0" wrapText="false" indent="0" shrinkToFit="false"/>
      <protection locked="true" hidden="false"/>
    </xf>
    <xf numFmtId="164" fontId="33" fillId="0" borderId="4" xfId="0" applyFont="true" applyBorder="true" applyAlignment="true" applyProtection="false">
      <alignment horizontal="general" vertical="center" textRotation="0" wrapText="false" indent="0" shrinkToFit="false"/>
      <protection locked="true" hidden="false"/>
    </xf>
    <xf numFmtId="164" fontId="33" fillId="0" borderId="4" xfId="0" applyFont="true" applyBorder="true" applyAlignment="true" applyProtection="false">
      <alignment horizontal="right" vertical="center" textRotation="0" wrapText="false" indent="0" shrinkToFit="false"/>
      <protection locked="true" hidden="false"/>
    </xf>
    <xf numFmtId="166" fontId="33" fillId="24" borderId="8" xfId="0" applyFont="true" applyBorder="true" applyAlignment="true" applyProtection="false">
      <alignment horizontal="right" vertical="center" textRotation="0" wrapText="true" indent="0" shrinkToFit="false"/>
      <protection locked="true" hidden="false"/>
    </xf>
    <xf numFmtId="164" fontId="34" fillId="0" borderId="5" xfId="0" applyFont="true" applyBorder="true" applyAlignment="true" applyProtection="false">
      <alignment horizontal="left" vertical="center" textRotation="0" wrapText="true" indent="0" shrinkToFit="false"/>
      <protection locked="true" hidden="false"/>
    </xf>
    <xf numFmtId="164" fontId="24" fillId="24" borderId="0" xfId="0" applyFont="true" applyBorder="false" applyAlignment="true" applyProtection="false">
      <alignment horizontal="right" vertical="bottom" textRotation="0" wrapText="false" indent="0" shrinkToFit="false"/>
      <protection locked="true" hidden="false"/>
    </xf>
    <xf numFmtId="164" fontId="35" fillId="0" borderId="4" xfId="0" applyFont="true" applyBorder="true" applyAlignment="true" applyProtection="false">
      <alignment horizontal="general" vertical="center" textRotation="0" wrapText="false" indent="0" shrinkToFit="false"/>
      <protection locked="true" hidden="false"/>
    </xf>
    <xf numFmtId="164" fontId="35" fillId="0" borderId="4" xfId="0" applyFont="true" applyBorder="true" applyAlignment="true" applyProtection="false">
      <alignment horizontal="right" vertical="center" textRotation="0" wrapText="false" indent="0" shrinkToFit="false"/>
      <protection locked="true" hidden="false"/>
    </xf>
    <xf numFmtId="166" fontId="35" fillId="24" borderId="8" xfId="0" applyFont="true" applyBorder="true" applyAlignment="true" applyProtection="false">
      <alignment horizontal="right" vertical="center" textRotation="0" wrapText="true" indent="0" shrinkToFit="false"/>
      <protection locked="true" hidden="false"/>
    </xf>
    <xf numFmtId="164" fontId="29" fillId="7" borderId="0" xfId="0" applyFont="true" applyBorder="true" applyAlignment="true" applyProtection="false">
      <alignment horizontal="general"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25" borderId="0" xfId="0" applyFont="true" applyBorder="false" applyAlignment="true" applyProtection="false">
      <alignment horizontal="general" vertical="bottom" textRotation="0" wrapText="false" indent="0" shrinkToFit="false"/>
      <protection locked="true" hidden="false"/>
    </xf>
    <xf numFmtId="164" fontId="37" fillId="26" borderId="0" xfId="0" applyFont="true" applyBorder="false" applyAlignment="true" applyProtection="false">
      <alignment horizontal="general" vertical="center" textRotation="0" wrapText="false" indent="0" shrinkToFit="false"/>
      <protection locked="true" hidden="false"/>
    </xf>
    <xf numFmtId="164" fontId="38" fillId="8" borderId="0" xfId="0" applyFont="true" applyBorder="false" applyAlignment="true" applyProtection="false">
      <alignment horizontal="left" vertical="center" textRotation="0" wrapText="false" indent="0" shrinkToFit="false"/>
      <protection locked="true" hidden="false"/>
    </xf>
    <xf numFmtId="164" fontId="39" fillId="27" borderId="0" xfId="0" applyFont="true" applyBorder="true" applyAlignment="true" applyProtection="false">
      <alignment horizontal="left" vertical="center" textRotation="0" wrapText="false" indent="0" shrinkToFit="false"/>
      <protection locked="true" hidden="false"/>
    </xf>
    <xf numFmtId="164" fontId="40" fillId="7" borderId="0" xfId="0" applyFont="true" applyBorder="false" applyAlignment="tru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general" vertical="bottom" textRotation="0" wrapText="false" indent="0" shrinkToFit="false"/>
      <protection locked="true" hidden="false"/>
    </xf>
    <xf numFmtId="164" fontId="41" fillId="28" borderId="0" xfId="0" applyFont="true" applyBorder="false" applyAlignment="true" applyProtection="false">
      <alignment horizontal="left" vertical="center" textRotation="0" wrapText="false" indent="0" shrinkToFit="false"/>
      <protection locked="true" hidden="false"/>
    </xf>
    <xf numFmtId="164" fontId="36" fillId="28" borderId="0" xfId="0" applyFont="true" applyBorder="false" applyAlignment="true" applyProtection="false">
      <alignment horizontal="general" vertical="bottom" textRotation="0" wrapText="false" indent="0" shrinkToFit="false"/>
      <protection locked="true" hidden="false"/>
    </xf>
    <xf numFmtId="164" fontId="42" fillId="28" borderId="0" xfId="0" applyFont="true" applyBorder="false" applyAlignment="true" applyProtection="false">
      <alignment horizontal="left" vertical="center" textRotation="0" wrapText="false" indent="0" shrinkToFit="false"/>
      <protection locked="true" hidden="false"/>
    </xf>
    <xf numFmtId="166" fontId="42" fillId="9" borderId="0" xfId="0" applyFont="true" applyBorder="false" applyAlignment="true" applyProtection="false">
      <alignment horizontal="right" vertical="center" textRotation="0" wrapText="false" indent="0" shrinkToFit="false"/>
      <protection locked="true" hidden="false"/>
    </xf>
    <xf numFmtId="164" fontId="43" fillId="28" borderId="0" xfId="0" applyFont="true" applyBorder="false" applyAlignment="true" applyProtection="false">
      <alignment horizontal="left" vertical="center" textRotation="0" wrapText="false" indent="0" shrinkToFit="false"/>
      <protection locked="true" hidden="false"/>
    </xf>
    <xf numFmtId="166" fontId="42" fillId="16" borderId="0" xfId="0" applyFont="true" applyBorder="false" applyAlignment="true" applyProtection="false">
      <alignment horizontal="right" vertical="center" textRotation="0" wrapText="false" indent="0" shrinkToFit="false"/>
      <protection locked="true" hidden="false"/>
    </xf>
    <xf numFmtId="166" fontId="44" fillId="19" borderId="0" xfId="0" applyFont="true" applyBorder="false" applyAlignment="true" applyProtection="false">
      <alignment horizontal="right" vertical="center" textRotation="0" wrapText="false" indent="0" shrinkToFit="false"/>
      <protection locked="true" hidden="false"/>
    </xf>
    <xf numFmtId="166" fontId="45" fillId="16" borderId="0" xfId="0" applyFont="true" applyBorder="false" applyAlignment="true" applyProtection="false">
      <alignment horizontal="right" vertical="center" textRotation="0" wrapText="false" indent="0" shrinkToFit="false"/>
      <protection locked="true" hidden="false"/>
    </xf>
    <xf numFmtId="166" fontId="46" fillId="19" borderId="0" xfId="0" applyFont="true" applyBorder="false" applyAlignment="true" applyProtection="false">
      <alignment horizontal="right" vertical="center" textRotation="0" wrapText="false" indent="0" shrinkToFit="false"/>
      <protection locked="true" hidden="false"/>
    </xf>
    <xf numFmtId="166" fontId="47" fillId="29" borderId="0" xfId="0" applyFont="true" applyBorder="false" applyAlignment="true" applyProtection="false">
      <alignment horizontal="right" vertical="center" textRotation="0" wrapText="false" indent="0" shrinkToFit="false"/>
      <protection locked="true" hidden="false"/>
    </xf>
    <xf numFmtId="164" fontId="48" fillId="28" borderId="0" xfId="0" applyFont="true" applyBorder="false" applyAlignment="true" applyProtection="false">
      <alignment horizontal="left" vertical="center" textRotation="0" wrapText="true" indent="0" shrinkToFit="false"/>
      <protection locked="true" hidden="false"/>
    </xf>
    <xf numFmtId="165" fontId="48" fillId="16" borderId="0" xfId="0" applyFont="true" applyBorder="false" applyAlignment="true" applyProtection="false">
      <alignment horizontal="left" vertical="center" textRotation="0" wrapText="true" indent="0" shrinkToFit="false"/>
      <protection locked="true" hidden="false"/>
    </xf>
    <xf numFmtId="164" fontId="48" fillId="28" borderId="0" xfId="0" applyFont="true" applyBorder="false" applyAlignment="true" applyProtection="false">
      <alignment horizontal="left" vertical="center" textRotation="0" wrapText="false" indent="0" shrinkToFit="false"/>
      <protection locked="true" hidden="false"/>
    </xf>
    <xf numFmtId="167" fontId="47" fillId="29" borderId="0" xfId="0" applyFont="true" applyBorder="false" applyAlignment="true" applyProtection="false">
      <alignment horizontal="right" vertical="center" textRotation="0" wrapText="false" indent="0" shrinkToFit="false"/>
      <protection locked="true" hidden="false"/>
    </xf>
    <xf numFmtId="168" fontId="48" fillId="16" borderId="0" xfId="0" applyFont="true" applyBorder="false" applyAlignment="true" applyProtection="false">
      <alignment horizontal="left" vertical="center" textRotation="0" wrapText="true" indent="0" shrinkToFit="false"/>
      <protection locked="true" hidden="false"/>
    </xf>
    <xf numFmtId="168" fontId="0" fillId="29" borderId="0" xfId="0" applyFont="false" applyBorder="false" applyAlignment="true" applyProtection="false">
      <alignment horizontal="left" vertical="center" textRotation="0" wrapText="true" indent="0" shrinkToFit="false"/>
      <protection locked="true" hidden="false"/>
    </xf>
    <xf numFmtId="168" fontId="48" fillId="29" borderId="0" xfId="0" applyFont="true" applyBorder="false" applyAlignment="true" applyProtection="false">
      <alignment horizontal="left" vertical="center" textRotation="0" wrapText="true" indent="0" shrinkToFit="false"/>
      <protection locked="true" hidden="false"/>
    </xf>
    <xf numFmtId="166" fontId="48" fillId="29" borderId="0" xfId="0" applyFont="true" applyBorder="false" applyAlignment="true" applyProtection="false">
      <alignment horizontal="left" vertical="center" textRotation="0" wrapText="true" indent="0" shrinkToFit="false"/>
      <protection locked="true" hidden="false"/>
    </xf>
    <xf numFmtId="164" fontId="49" fillId="27" borderId="0" xfId="0" applyFont="true" applyBorder="false" applyAlignment="true" applyProtection="false">
      <alignment horizontal="left" vertical="center" textRotation="0" wrapText="true" indent="0" shrinkToFit="false"/>
      <protection locked="true" hidden="false"/>
    </xf>
    <xf numFmtId="166" fontId="48" fillId="9" borderId="0" xfId="0" applyFont="true" applyBorder="false" applyAlignment="true" applyProtection="false">
      <alignment horizontal="left" vertical="center" textRotation="0" wrapText="true" indent="0" shrinkToFit="false"/>
      <protection locked="true" hidden="false"/>
    </xf>
    <xf numFmtId="166" fontId="48" fillId="16" borderId="0" xfId="0" applyFont="true" applyBorder="false" applyAlignment="true" applyProtection="false">
      <alignment horizontal="left" vertical="center" textRotation="0" wrapText="false" indent="0" shrinkToFit="false"/>
      <protection locked="true" hidden="false"/>
    </xf>
    <xf numFmtId="164" fontId="50" fillId="30" borderId="0" xfId="0" applyFont="true" applyBorder="true" applyAlignment="true" applyProtection="false">
      <alignment horizontal="general" vertical="center" textRotation="0" wrapText="true" indent="0" shrinkToFit="false"/>
      <protection locked="true" hidden="false"/>
    </xf>
    <xf numFmtId="164" fontId="51" fillId="27" borderId="0" xfId="0" applyFont="true" applyBorder="true" applyAlignment="true" applyProtection="false">
      <alignment horizontal="left" vertical="center" textRotation="0" wrapText="true" indent="0" shrinkToFit="false"/>
      <protection locked="true" hidden="false"/>
    </xf>
    <xf numFmtId="164" fontId="48" fillId="27" borderId="0" xfId="0" applyFont="true" applyBorder="true" applyAlignment="true" applyProtection="false">
      <alignment horizontal="left" vertical="center" textRotation="0" wrapText="true" indent="0" shrinkToFit="false"/>
      <protection locked="true" hidden="false"/>
    </xf>
    <xf numFmtId="169" fontId="46" fillId="19" borderId="0" xfId="0" applyFont="true" applyBorder="false" applyAlignment="true" applyProtection="false">
      <alignment horizontal="right" vertical="center" textRotation="0" wrapText="false" indent="0" shrinkToFit="false"/>
      <protection locked="true" hidden="false"/>
    </xf>
    <xf numFmtId="164" fontId="52" fillId="27" borderId="0" xfId="0" applyFont="true" applyBorder="true" applyAlignment="true" applyProtection="false">
      <alignment horizontal="left" vertical="center" textRotation="0" wrapText="true" indent="0" shrinkToFit="false"/>
      <protection locked="true" hidden="false"/>
    </xf>
    <xf numFmtId="164" fontId="53" fillId="9" borderId="0" xfId="0" applyFont="true" applyBorder="false" applyAlignment="true" applyProtection="false">
      <alignment horizontal="general" vertical="bottom" textRotation="0" wrapText="false" indent="0" shrinkToFit="false"/>
      <protection locked="true" hidden="false"/>
    </xf>
    <xf numFmtId="164" fontId="53" fillId="9" borderId="0" xfId="0" applyFont="true" applyBorder="false" applyAlignment="true" applyProtection="false">
      <alignment horizontal="general" vertical="bottom" textRotation="0" wrapText="true" indent="0" shrinkToFit="false"/>
      <protection locked="true" hidden="false"/>
    </xf>
    <xf numFmtId="164" fontId="54" fillId="8" borderId="0" xfId="0" applyFont="true" applyBorder="false" applyAlignment="true" applyProtection="false">
      <alignment horizontal="center" vertical="center" textRotation="0" wrapText="true" indent="0" shrinkToFit="false"/>
      <protection locked="true" hidden="false"/>
    </xf>
    <xf numFmtId="164" fontId="54" fillId="8" borderId="0" xfId="0" applyFont="true" applyBorder="false" applyAlignment="true" applyProtection="false">
      <alignment horizontal="left" vertical="top" textRotation="0" wrapText="true" indent="0" shrinkToFit="false"/>
      <protection locked="true" hidden="false"/>
    </xf>
    <xf numFmtId="164" fontId="0" fillId="9"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55" fillId="9" borderId="0" xfId="0" applyFont="true" applyBorder="false" applyAlignment="true" applyProtection="false">
      <alignment horizontal="general" vertical="top" textRotation="0" wrapText="tru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8" borderId="0" xfId="0" applyFont="true" applyBorder="false" applyAlignment="true" applyProtection="false">
      <alignment horizontal="center" vertical="center" textRotation="0" wrapText="true" indent="0" shrinkToFit="false"/>
      <protection locked="true" hidden="false"/>
    </xf>
    <xf numFmtId="164" fontId="0" fillId="1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8" fillId="0" borderId="0" xfId="0" applyFont="true" applyBorder="fals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58" fillId="0"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54" fillId="31" borderId="0" xfId="0" applyFont="true" applyBorder="true" applyAlignment="true" applyProtection="false">
      <alignment horizontal="left" vertical="center" textRotation="0" wrapText="tru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70" fontId="0" fillId="9"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60" fillId="32" borderId="0" xfId="0" applyFont="true" applyBorder="true" applyAlignment="true" applyProtection="false">
      <alignment horizontal="general" vertical="top" textRotation="0" wrapText="true" indent="0" shrinkToFit="false"/>
      <protection locked="true" hidden="false"/>
    </xf>
    <xf numFmtId="164" fontId="61" fillId="8" borderId="0" xfId="0" applyFont="true" applyBorder="false" applyAlignment="true" applyProtection="false">
      <alignment horizontal="center" vertical="center" textRotation="0" wrapText="true" indent="0" shrinkToFit="false"/>
      <protection locked="true" hidden="false"/>
    </xf>
    <xf numFmtId="164" fontId="61" fillId="0" borderId="0" xfId="0" applyFont="true" applyBorder="false" applyAlignment="true" applyProtection="false">
      <alignment horizontal="center" vertical="bottom" textRotation="0" wrapText="true" indent="0" shrinkToFit="false"/>
      <protection locked="true" hidden="false"/>
    </xf>
    <xf numFmtId="165" fontId="0" fillId="16"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3" borderId="0" xfId="0" applyFont="true" applyBorder="false" applyAlignment="true" applyProtection="false">
      <alignment horizontal="general" vertical="top" textRotation="0" wrapText="true" indent="0" shrinkToFit="false"/>
      <protection locked="true" hidden="false"/>
    </xf>
    <xf numFmtId="164" fontId="0" fillId="32"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false" applyAlignment="true" applyProtection="false">
      <alignment horizontal="left" vertical="center" textRotation="0" wrapText="true" indent="0" shrinkToFit="false"/>
      <protection locked="true" hidden="false"/>
    </xf>
    <xf numFmtId="164" fontId="62" fillId="6" borderId="0" xfId="0" applyFont="true" applyBorder="true" applyAlignment="true" applyProtection="false">
      <alignment horizontal="left" vertical="center" textRotation="0" wrapText="true" indent="0" shrinkToFit="false"/>
      <protection locked="true" hidden="false"/>
    </xf>
    <xf numFmtId="164" fontId="63" fillId="4" borderId="1" xfId="0" applyFont="true" applyBorder="true" applyAlignment="true" applyProtection="false">
      <alignment horizontal="center" vertical="center" textRotation="0" wrapText="true" indent="0" shrinkToFit="false"/>
      <protection locked="true" hidden="false"/>
    </xf>
    <xf numFmtId="164" fontId="63" fillId="4" borderId="1" xfId="0" applyFont="true" applyBorder="true" applyAlignment="true" applyProtection="false">
      <alignment horizontal="left" vertical="center" textRotation="0" wrapText="true" indent="0" shrinkToFit="false"/>
      <protection locked="true" hidden="false"/>
    </xf>
    <xf numFmtId="171" fontId="13" fillId="16" borderId="1" xfId="0" applyFont="true" applyBorder="true" applyAlignment="true" applyProtection="false">
      <alignment horizontal="right" vertical="center" textRotation="0" wrapText="true" indent="0" shrinkToFit="false"/>
      <protection locked="true" hidden="false"/>
    </xf>
    <xf numFmtId="164" fontId="64" fillId="0" borderId="1" xfId="0" applyFont="true" applyBorder="true" applyAlignment="true" applyProtection="false">
      <alignment horizontal="center" vertical="center" textRotation="0" wrapText="true" indent="0" shrinkToFit="false"/>
      <protection locked="true" hidden="false"/>
    </xf>
    <xf numFmtId="164" fontId="65" fillId="0" borderId="1" xfId="0" applyFont="true" applyBorder="true" applyAlignment="true" applyProtection="false">
      <alignment horizontal="left" vertical="center" textRotation="0" wrapText="true" indent="0" shrinkToFit="false"/>
      <protection locked="true" hidden="false"/>
    </xf>
    <xf numFmtId="164" fontId="65" fillId="33" borderId="1" xfId="0" applyFont="true" applyBorder="true" applyAlignment="true" applyProtection="false">
      <alignment horizontal="general" vertical="top" textRotation="0" wrapText="true" indent="0" shrinkToFit="false"/>
      <protection locked="true" hidden="false"/>
    </xf>
    <xf numFmtId="171" fontId="66" fillId="16" borderId="1" xfId="0" applyFont="true" applyBorder="true" applyAlignment="true" applyProtection="false">
      <alignment horizontal="right" vertical="center" textRotation="0" wrapText="true" indent="0" shrinkToFit="false"/>
      <protection locked="true" hidden="false"/>
    </xf>
    <xf numFmtId="164" fontId="67" fillId="0" borderId="1" xfId="0" applyFont="true" applyBorder="true" applyAlignment="true" applyProtection="false">
      <alignment horizontal="center" vertical="center" textRotation="0" wrapText="true" indent="0" shrinkToFit="false"/>
      <protection locked="true" hidden="false"/>
    </xf>
    <xf numFmtId="164" fontId="58" fillId="0" borderId="1" xfId="0" applyFont="true" applyBorder="true" applyAlignment="true" applyProtection="false">
      <alignment horizontal="left" vertical="center" textRotation="0" wrapText="true" indent="0" shrinkToFit="false"/>
      <protection locked="true" hidden="false"/>
    </xf>
    <xf numFmtId="171" fontId="68" fillId="16" borderId="1" xfId="0" applyFont="true" applyBorder="true" applyAlignment="true" applyProtection="false">
      <alignment horizontal="right" vertical="center" textRotation="0" wrapText="true" indent="0" shrinkToFit="false"/>
      <protection locked="true" hidden="false"/>
    </xf>
    <xf numFmtId="164" fontId="69" fillId="33" borderId="1" xfId="0" applyFont="true" applyBorder="true" applyAlignment="true" applyProtection="false">
      <alignment horizontal="general" vertical="top" textRotation="0" wrapText="true" indent="0" shrinkToFit="false"/>
      <protection locked="true" hidden="false"/>
    </xf>
    <xf numFmtId="164" fontId="70" fillId="0" borderId="0" xfId="0" applyFont="true" applyBorder="true" applyAlignment="true" applyProtection="false">
      <alignment horizontal="left" vertical="center" textRotation="0" wrapText="tru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54" fillId="8"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8" fontId="7" fillId="34" borderId="9"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true" indent="0" shrinkToFit="false"/>
      <protection locked="true" hidden="false"/>
    </xf>
    <xf numFmtId="170" fontId="7" fillId="34" borderId="9" xfId="0" applyFont="true" applyBorder="true" applyAlignment="true" applyProtection="false">
      <alignment horizontal="center" vertical="center" textRotation="0" wrapText="true" indent="0" shrinkToFit="false"/>
      <protection locked="true" hidden="false"/>
    </xf>
    <xf numFmtId="167" fontId="7" fillId="34" borderId="9" xfId="0" applyFont="true" applyBorder="true" applyAlignment="true" applyProtection="false">
      <alignment horizontal="center" vertical="center" textRotation="0" wrapText="true" indent="0" shrinkToFit="false"/>
      <protection locked="true" hidden="false"/>
    </xf>
    <xf numFmtId="164" fontId="63" fillId="35" borderId="9"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left" vertical="center" textRotation="0" wrapText="false" indent="0" shrinkToFit="false"/>
      <protection locked="true" hidden="false"/>
    </xf>
    <xf numFmtId="166" fontId="17" fillId="0" borderId="9" xfId="0" applyFont="true" applyBorder="true" applyAlignment="true" applyProtection="false">
      <alignment horizontal="right" vertical="center" textRotation="0" wrapText="false" indent="0" shrinkToFit="false"/>
      <protection locked="true" hidden="false"/>
    </xf>
    <xf numFmtId="164" fontId="11" fillId="7" borderId="9" xfId="0" applyFont="true" applyBorder="true" applyAlignment="true" applyProtection="false">
      <alignment horizontal="left" vertical="center" textRotation="0" wrapText="false" indent="0" shrinkToFit="false"/>
      <protection locked="true" hidden="false"/>
    </xf>
    <xf numFmtId="166" fontId="17" fillId="7" borderId="9" xfId="0" applyFont="true" applyBorder="true" applyAlignment="true" applyProtection="false">
      <alignment horizontal="right"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71" fillId="2"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2" fillId="3" borderId="0" xfId="0" applyFont="true" applyBorder="true" applyAlignment="true" applyProtection="false">
      <alignment horizontal="general" vertical="bottom" textRotation="0" wrapText="false" indent="0" shrinkToFit="false"/>
      <protection locked="true" hidden="false"/>
    </xf>
    <xf numFmtId="164" fontId="73" fillId="0" borderId="0" xfId="0" applyFont="true" applyBorder="false" applyAlignment="true" applyProtection="false">
      <alignment horizontal="general" vertical="bottom" textRotation="0" wrapText="false" indent="0" shrinkToFit="false"/>
      <protection locked="true" hidden="false"/>
    </xf>
    <xf numFmtId="166" fontId="0" fillId="16" borderId="0" xfId="0" applyFont="false" applyBorder="false" applyAlignment="true" applyProtection="false">
      <alignment horizontal="general" vertical="bottom" textRotation="0" wrapText="false" indent="0" shrinkToFit="false"/>
      <protection locked="true" hidden="false"/>
    </xf>
    <xf numFmtId="168" fontId="0" fillId="9" borderId="0" xfId="0" applyFont="false" applyBorder="false" applyAlignment="true" applyProtection="false">
      <alignment horizontal="general" vertical="bottom" textRotation="0" wrapText="false" indent="0" shrinkToFit="false"/>
      <protection locked="true" hidden="false"/>
    </xf>
    <xf numFmtId="168" fontId="0" fillId="16" borderId="0" xfId="0" applyFont="false" applyBorder="false" applyAlignment="true" applyProtection="false">
      <alignment horizontal="general" vertical="bottom" textRotation="0" wrapText="false" indent="0" shrinkToFit="false"/>
      <protection locked="true" hidden="false"/>
    </xf>
    <xf numFmtId="164" fontId="74" fillId="0" borderId="0" xfId="0" applyFont="true" applyBorder="false" applyAlignment="true" applyProtection="false">
      <alignment horizontal="general" vertical="top" textRotation="0" wrapText="true" indent="0" shrinkToFit="false"/>
      <protection locked="true" hidden="false"/>
    </xf>
    <xf numFmtId="164" fontId="74" fillId="0" borderId="0" xfId="0" applyFont="true" applyBorder="true" applyAlignment="true" applyProtection="false">
      <alignment horizontal="general" vertical="top" textRotation="0" wrapText="tru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64" fontId="76" fillId="2" borderId="0" xfId="0" applyFont="true" applyBorder="false" applyAlignment="true" applyProtection="false">
      <alignment horizontal="left" vertical="center" textRotation="0" wrapText="false" indent="0" shrinkToFit="false"/>
      <protection locked="true" hidden="false"/>
    </xf>
    <xf numFmtId="164" fontId="77" fillId="0" borderId="0" xfId="0" applyFont="true" applyBorder="true" applyAlignment="true" applyProtection="false">
      <alignment horizontal="general" vertical="center" textRotation="0" wrapText="true" indent="0" shrinkToFit="false"/>
      <protection locked="true" hidden="false"/>
    </xf>
    <xf numFmtId="164" fontId="76" fillId="6" borderId="0" xfId="0" applyFont="true" applyBorder="false" applyAlignment="true" applyProtection="false">
      <alignment horizontal="general" vertical="center" textRotation="0" wrapText="false" indent="0" shrinkToFit="false"/>
      <protection locked="true" hidden="false"/>
    </xf>
    <xf numFmtId="164" fontId="78" fillId="0" borderId="0" xfId="0" applyFont="true" applyBorder="false" applyAlignment="true" applyProtection="false">
      <alignment horizontal="left" vertical="center" textRotation="0" wrapText="true" indent="0" shrinkToFit="false"/>
      <protection locked="true" hidden="false"/>
    </xf>
    <xf numFmtId="164" fontId="79" fillId="0" borderId="10" xfId="0" applyFont="true" applyBorder="true" applyAlignment="true" applyProtection="false">
      <alignment horizontal="general" vertical="center" textRotation="0" wrapText="false" indent="0" shrinkToFit="false"/>
      <protection locked="true" hidden="false"/>
    </xf>
    <xf numFmtId="164" fontId="76" fillId="4" borderId="11" xfId="0" applyFont="true" applyBorder="true" applyAlignment="true" applyProtection="false">
      <alignment horizontal="left" vertical="center" textRotation="0" wrapText="true" indent="0" shrinkToFit="false"/>
      <protection locked="true" hidden="false"/>
    </xf>
    <xf numFmtId="164" fontId="78" fillId="0" borderId="11" xfId="0" applyFont="true" applyBorder="true" applyAlignment="true" applyProtection="false">
      <alignment horizontal="left" vertical="center" textRotation="0" wrapText="true" indent="0" shrinkToFit="false"/>
      <protection locked="true" hidden="false"/>
    </xf>
    <xf numFmtId="171" fontId="75" fillId="0" borderId="0" xfId="0" applyFont="true" applyBorder="false" applyAlignment="true" applyProtection="false">
      <alignment horizontal="general" vertical="center" textRotation="0" wrapText="false" indent="0" shrinkToFit="false"/>
      <protection locked="true" hidden="false"/>
    </xf>
    <xf numFmtId="164" fontId="75" fillId="0" borderId="0" xfId="0" applyFont="true" applyBorder="false" applyAlignment="true" applyProtection="false">
      <alignment horizontal="general" vertical="center" textRotation="0" wrapText="false" indent="0" shrinkToFit="false"/>
      <protection locked="true" hidden="false"/>
    </xf>
    <xf numFmtId="164" fontId="80" fillId="0" borderId="11" xfId="0" applyFont="true" applyBorder="true" applyAlignment="true" applyProtection="false">
      <alignment horizontal="left" vertical="center" textRotation="0" wrapText="true" indent="0" shrinkToFit="false"/>
      <protection locked="true" hidden="false"/>
    </xf>
    <xf numFmtId="164" fontId="81" fillId="0" borderId="11" xfId="0" applyFont="true" applyBorder="true" applyAlignment="true" applyProtection="false">
      <alignment horizontal="left" vertical="center" textRotation="0" wrapText="true" indent="0" shrinkToFit="false"/>
      <protection locked="true" hidden="false"/>
    </xf>
    <xf numFmtId="164" fontId="80" fillId="0" borderId="11" xfId="0" applyFont="true" applyBorder="true" applyAlignment="true" applyProtection="false">
      <alignment horizontal="center" vertical="center" textRotation="0" wrapText="true" indent="0" shrinkToFit="false"/>
      <protection locked="true" hidden="false"/>
    </xf>
    <xf numFmtId="164" fontId="81" fillId="0" borderId="11" xfId="0" applyFont="true" applyBorder="true" applyAlignment="true" applyProtection="false">
      <alignment horizontal="left" vertical="center" textRotation="0" wrapText="false" indent="0" shrinkToFit="false"/>
      <protection locked="true" hidden="false"/>
    </xf>
    <xf numFmtId="164" fontId="82" fillId="0" borderId="0" xfId="0" applyFont="true" applyBorder="false" applyAlignment="true" applyProtection="false">
      <alignment horizontal="general" vertical="center" textRotation="0" wrapText="false" indent="0" shrinkToFit="false"/>
      <protection locked="true" hidden="false"/>
    </xf>
    <xf numFmtId="164" fontId="83" fillId="0" borderId="0" xfId="0" applyFont="true" applyBorder="false" applyAlignment="true" applyProtection="false">
      <alignment horizontal="general" vertical="center" textRotation="0" wrapText="false" indent="0" shrinkToFit="false"/>
      <protection locked="true" hidden="false"/>
    </xf>
    <xf numFmtId="164" fontId="76" fillId="5" borderId="0" xfId="0" applyFont="true" applyBorder="false" applyAlignment="true" applyProtection="false">
      <alignment horizontal="general" vertical="center" textRotation="0" wrapText="false" indent="0" shrinkToFit="false"/>
      <protection locked="true" hidden="false"/>
    </xf>
    <xf numFmtId="164" fontId="76" fillId="4" borderId="11" xfId="0" applyFont="true" applyBorder="true" applyAlignment="true" applyProtection="false">
      <alignment horizontal="general" vertical="center" textRotation="0" wrapText="false" indent="0" shrinkToFit="false"/>
      <protection locked="true" hidden="false"/>
    </xf>
    <xf numFmtId="164" fontId="84" fillId="0" borderId="11" xfId="0" applyFont="true" applyBorder="true" applyAlignment="true" applyProtection="false">
      <alignment horizontal="general" vertical="center" textRotation="0" wrapText="false" indent="0" shrinkToFit="false"/>
      <protection locked="true" hidden="false"/>
    </xf>
    <xf numFmtId="164" fontId="81" fillId="0" borderId="11" xfId="0" applyFont="true" applyBorder="true" applyAlignment="true" applyProtection="false">
      <alignment horizontal="general" vertical="center" textRotation="0" wrapText="false" indent="0" shrinkToFit="false"/>
      <protection locked="true" hidden="false"/>
    </xf>
    <xf numFmtId="164" fontId="75" fillId="0" borderId="12" xfId="0" applyFont="true" applyBorder="true" applyAlignment="true" applyProtection="false">
      <alignment horizontal="general" vertical="bottom" textRotation="0" wrapText="false" indent="0" shrinkToFit="false"/>
      <protection locked="true" hidden="false"/>
    </xf>
    <xf numFmtId="164" fontId="75" fillId="0" borderId="13" xfId="0" applyFont="true" applyBorder="true" applyAlignment="true" applyProtection="false">
      <alignment horizontal="general" vertical="bottom" textRotation="0" wrapText="false" indent="0" shrinkToFit="false"/>
      <protection locked="true" hidden="false"/>
    </xf>
    <xf numFmtId="164" fontId="76" fillId="35" borderId="0" xfId="0" applyFont="true" applyBorder="false" applyAlignment="true" applyProtection="false">
      <alignment horizontal="general" vertical="center" textRotation="0" wrapText="false" indent="0" shrinkToFit="false"/>
      <protection locked="true" hidden="false"/>
    </xf>
    <xf numFmtId="164" fontId="76" fillId="4" borderId="0" xfId="0" applyFont="true" applyBorder="false" applyAlignment="true" applyProtection="false">
      <alignment horizontal="general" vertical="center" textRotation="0" wrapText="false" indent="0" shrinkToFit="false"/>
      <protection locked="true" hidden="false"/>
    </xf>
    <xf numFmtId="164" fontId="81" fillId="0" borderId="0" xfId="0" applyFont="true" applyBorder="false" applyAlignment="true" applyProtection="false">
      <alignment horizontal="general" vertical="center" textRotation="0" wrapText="false" indent="0" shrinkToFit="false"/>
      <protection locked="true" hidden="false"/>
    </xf>
    <xf numFmtId="164" fontId="85" fillId="0" borderId="0" xfId="0" applyFont="true" applyBorder="false" applyAlignment="true" applyProtection="false">
      <alignment horizontal="general" vertical="center" textRotation="0" wrapText="false" indent="0" shrinkToFit="false"/>
      <protection locked="true" hidden="false"/>
    </xf>
    <xf numFmtId="164" fontId="86" fillId="0" borderId="0" xfId="0" applyFont="true" applyBorder="false" applyAlignment="true" applyProtection="false">
      <alignment horizontal="general" vertical="center" textRotation="0" wrapText="false" indent="0" shrinkToFit="false"/>
      <protection locked="true" hidden="false"/>
    </xf>
    <xf numFmtId="164" fontId="75" fillId="0" borderId="0" xfId="0" applyFont="true" applyBorder="false" applyAlignment="true" applyProtection="false">
      <alignment horizontal="general" vertical="bottom" textRotation="0" wrapText="true" indent="0" shrinkToFit="false"/>
      <protection locked="true" hidden="false"/>
    </xf>
    <xf numFmtId="164" fontId="82" fillId="0" borderId="14" xfId="0" applyFont="true" applyBorder="true" applyAlignment="true" applyProtection="false">
      <alignment horizontal="general" vertical="center" textRotation="0" wrapText="false" indent="0" shrinkToFit="false"/>
      <protection locked="true" hidden="false"/>
    </xf>
    <xf numFmtId="164" fontId="75" fillId="12" borderId="3" xfId="0" applyFont="true" applyBorder="true" applyAlignment="true" applyProtection="false">
      <alignment horizontal="general" vertical="bottom" textRotation="0" wrapText="false" indent="0" shrinkToFit="false"/>
      <protection locked="true" hidden="false"/>
    </xf>
    <xf numFmtId="171" fontId="75" fillId="36" borderId="0" xfId="0" applyFont="true" applyBorder="false" applyAlignment="true" applyProtection="false">
      <alignment horizontal="general" vertical="center" textRotation="0" wrapText="false" indent="0" shrinkToFit="false"/>
      <protection locked="true" hidden="false"/>
    </xf>
    <xf numFmtId="171" fontId="75" fillId="23" borderId="0" xfId="0" applyFont="true" applyBorder="false" applyAlignment="true" applyProtection="false">
      <alignment horizontal="general" vertical="center" textRotation="0" wrapText="false" indent="0" shrinkToFit="false"/>
      <protection locked="true" hidden="false"/>
    </xf>
    <xf numFmtId="171" fontId="75" fillId="12" borderId="3" xfId="0" applyFont="true" applyBorder="true" applyAlignment="true" applyProtection="false">
      <alignment horizontal="general" vertical="center" textRotation="0" wrapText="false" indent="0" shrinkToFit="false"/>
      <protection locked="true" hidden="false"/>
    </xf>
    <xf numFmtId="164" fontId="53" fillId="3" borderId="0" xfId="0" applyFont="true" applyBorder="false" applyAlignment="true" applyProtection="false">
      <alignment horizontal="general" vertical="bottom" textRotation="0" wrapText="false" indent="0" shrinkToFit="false"/>
      <protection locked="true" hidden="false"/>
    </xf>
    <xf numFmtId="164" fontId="87" fillId="2" borderId="0" xfId="0" applyFont="true" applyBorder="false" applyAlignment="true" applyProtection="false">
      <alignment horizontal="general" vertical="bottom" textRotation="0" wrapText="false" indent="0" shrinkToFit="false"/>
      <protection locked="true" hidden="false"/>
    </xf>
    <xf numFmtId="164" fontId="88"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89" fillId="0" borderId="0" xfId="0" applyFont="true" applyBorder="false" applyAlignment="true" applyProtection="false">
      <alignment horizontal="general" vertical="center" textRotation="0" wrapText="false" indent="0" shrinkToFit="false"/>
      <protection locked="true" hidden="false"/>
    </xf>
    <xf numFmtId="164" fontId="90" fillId="22" borderId="0" xfId="0" applyFont="true" applyBorder="false" applyAlignment="true" applyProtection="false">
      <alignment horizontal="center" vertical="center" textRotation="0" wrapText="true" indent="0" shrinkToFit="false"/>
      <protection locked="true" hidden="false"/>
    </xf>
    <xf numFmtId="164" fontId="48" fillId="2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64" fontId="54" fillId="37" borderId="0" xfId="0" applyFont="true" applyBorder="false" applyAlignment="true" applyProtection="false">
      <alignment horizontal="general" vertical="top" textRotation="0" wrapText="true" indent="0" shrinkToFit="false"/>
      <protection locked="true" hidden="false"/>
    </xf>
    <xf numFmtId="164" fontId="53" fillId="27" borderId="0" xfId="0" applyFont="tru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6" fontId="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91"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68"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54" fillId="37" borderId="0" xfId="0" applyFont="true" applyBorder="false" applyAlignment="true" applyProtection="false">
      <alignment horizontal="general" vertical="bottom" textRotation="0" wrapText="true" indent="0" shrinkToFit="false"/>
      <protection locked="true" hidden="false"/>
    </xf>
    <xf numFmtId="164" fontId="92" fillId="0" borderId="0" xfId="0" applyFont="true" applyBorder="false" applyAlignment="true" applyProtection="false">
      <alignment horizontal="general" vertical="bottom" textRotation="0" wrapText="false" indent="0" shrinkToFit="false"/>
      <protection locked="true" hidden="false"/>
    </xf>
    <xf numFmtId="164" fontId="93"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true" indent="0" shrinkToFit="false"/>
      <protection locked="true" hidden="false"/>
    </xf>
    <xf numFmtId="171" fontId="48" fillId="20" borderId="0" xfId="0" applyFont="true" applyBorder="false" applyAlignment="true" applyProtection="false">
      <alignment horizontal="general" vertical="bottom" textRotation="0" wrapText="false" indent="0" shrinkToFit="false"/>
      <protection locked="true" hidden="false"/>
    </xf>
    <xf numFmtId="164" fontId="48" fillId="20" borderId="0" xfId="0" applyFont="true" applyBorder="false" applyAlignment="true" applyProtection="false">
      <alignment horizontal="general" vertical="bottom" textRotation="0" wrapText="false" indent="0" shrinkToFit="false"/>
      <protection locked="true" hidden="false"/>
    </xf>
    <xf numFmtId="164" fontId="48" fillId="20" borderId="0" xfId="0" applyFont="true" applyBorder="false" applyAlignment="true" applyProtection="false">
      <alignment horizontal="general" vertical="bottom" textRotation="0" wrapText="true" indent="0" shrinkToFit="false"/>
      <protection locked="true" hidden="false"/>
    </xf>
    <xf numFmtId="164" fontId="56" fillId="33" borderId="0" xfId="0" applyFont="true" applyBorder="false" applyAlignment="true" applyProtection="false">
      <alignment horizontal="general" vertical="bottom" textRotation="0" wrapText="false" indent="0" shrinkToFit="false"/>
      <protection locked="true" hidden="false"/>
    </xf>
    <xf numFmtId="164" fontId="94" fillId="0" borderId="0" xfId="0" applyFont="true" applyBorder="false" applyAlignment="true" applyProtection="false">
      <alignment horizontal="general" vertical="top" textRotation="0" wrapText="true" indent="0" shrinkToFit="false"/>
      <protection locked="true" hidden="false"/>
    </xf>
    <xf numFmtId="164" fontId="56" fillId="0" borderId="0" xfId="0" applyFont="true" applyBorder="false" applyAlignment="true" applyProtection="false">
      <alignment horizontal="left" vertical="bottom" textRotation="0" wrapText="false" indent="0" shrinkToFit="false"/>
      <protection locked="true" hidden="false"/>
    </xf>
    <xf numFmtId="164" fontId="94"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64" fontId="95" fillId="0" borderId="0" xfId="0" applyFont="true" applyBorder="false" applyAlignment="true" applyProtection="false">
      <alignment horizontal="general" vertical="bottom" textRotation="0" wrapText="false" indent="0" shrinkToFit="false"/>
      <protection locked="true" hidden="false"/>
    </xf>
    <xf numFmtId="164" fontId="96" fillId="0" borderId="0" xfId="0" applyFont="true" applyBorder="false" applyAlignment="true" applyProtection="false">
      <alignment horizontal="general"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8"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100" fillId="15"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2F2F2"/>
      <rgbColor rgb="FF0000FF"/>
      <rgbColor rgb="FFFFFF00"/>
      <rgbColor rgb="FFFFF3D6"/>
      <rgbColor rgb="FFDBEAFE"/>
      <rgbColor rgb="FFC00000"/>
      <rgbColor rgb="FFF3F4F6"/>
      <rgbColor rgb="FF000080"/>
      <rgbColor rgb="FFB26A00"/>
      <rgbColor rgb="FF800080"/>
      <rgbColor rgb="FF0F766E"/>
      <rgbColor rgb="FFBFBFBF"/>
      <rgbColor rgb="FF808080"/>
      <rgbColor rgb="FFA6A6A6"/>
      <rgbColor rgb="FFB0143C"/>
      <rgbColor rgb="FFFEF9C3"/>
      <rgbColor rgb="FFE0F2FE"/>
      <rgbColor rgb="FF374151"/>
      <rgbColor rgb="FFE2E2E2"/>
      <rgbColor rgb="FF0070C0"/>
      <rgbColor rgb="FFD9D9D9"/>
      <rgbColor rgb="FF000080"/>
      <rgbColor rgb="FFFF00FF"/>
      <rgbColor rgb="FFFFF2CC"/>
      <rgbColor rgb="FFDCEAF7"/>
      <rgbColor rgb="FF800080"/>
      <rgbColor rgb="FF800000"/>
      <rgbColor rgb="FF1F6F6F"/>
      <rgbColor rgb="FF0000FF"/>
      <rgbColor rgb="FFF1F5F9"/>
      <rgbColor rgb="FFD9EAF7"/>
      <rgbColor rgb="FFD1FAE5"/>
      <rgbColor rgb="FFFEF3C7"/>
      <rgbColor rgb="FFA6CAEC"/>
      <rgbColor rgb="FFFBE3D6"/>
      <rgbColor rgb="FFDDDDDD"/>
      <rgbColor rgb="FFFDE68A"/>
      <rgbColor rgb="FF2563EB"/>
      <rgbColor rgb="FF84E291"/>
      <rgbColor rgb="FFE6E6E6"/>
      <rgbColor rgb="FFFFC000"/>
      <rgbColor rgb="FFE7E6E6"/>
      <rgbColor rgb="FFE5E7EB"/>
      <rgbColor rgb="FF4B5563"/>
      <rgbColor rgb="FF8C8C8C"/>
      <rgbColor rgb="FF1E293B"/>
      <rgbColor rgb="FF10B981"/>
      <rgbColor rgb="FF1A1A1A"/>
      <rgbColor rgb="FF1F2937"/>
      <rgbColor rgb="FF7C2D12"/>
      <rgbColor rgb="FFB91C1C"/>
      <rgbColor rgb="FF1F4E78"/>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129</xdr:row>
      <xdr:rowOff>10440</xdr:rowOff>
    </xdr:from>
    <xdr:to>
      <xdr:col>9</xdr:col>
      <xdr:colOff>1196640</xdr:colOff>
      <xdr:row>155</xdr:row>
      <xdr:rowOff>7200</xdr:rowOff>
    </xdr:to>
    <xdr:pic>
      <xdr:nvPicPr>
        <xdr:cNvPr id="0" name="Graphic 2" descr=""/>
        <xdr:cNvPicPr/>
      </xdr:nvPicPr>
      <xdr:blipFill>
        <a:blip r:embed="rId1"/>
        <a:stretch/>
      </xdr:blipFill>
      <xdr:spPr>
        <a:xfrm>
          <a:off x="3697920" y="26718480"/>
          <a:ext cx="6059880" cy="4950000"/>
        </a:xfrm>
        <a:prstGeom prst="rect">
          <a:avLst/>
        </a:prstGeom>
        <a:ln w="0">
          <a:noFill/>
        </a:ln>
      </xdr:spPr>
    </xdr:pic>
    <xdr:clientData/>
  </xdr:twoCellAnchor>
  <xdr:twoCellAnchor editAs="oneCell">
    <xdr:from>
      <xdr:col>1</xdr:col>
      <xdr:colOff>10440</xdr:colOff>
      <xdr:row>129</xdr:row>
      <xdr:rowOff>10440</xdr:rowOff>
    </xdr:from>
    <xdr:to>
      <xdr:col>6</xdr:col>
      <xdr:colOff>680400</xdr:colOff>
      <xdr:row>175</xdr:row>
      <xdr:rowOff>7200</xdr:rowOff>
    </xdr:to>
    <xdr:pic>
      <xdr:nvPicPr>
        <xdr:cNvPr id="1" name="Graphic 4" descr=""/>
        <xdr:cNvPicPr/>
      </xdr:nvPicPr>
      <xdr:blipFill>
        <a:blip r:embed="rId2"/>
        <a:stretch/>
      </xdr:blipFill>
      <xdr:spPr>
        <a:xfrm>
          <a:off x="209880" y="26718480"/>
          <a:ext cx="6107400" cy="8759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2"/>
    <col collapsed="false" customWidth="true" hidden="false" outlineLevel="0" max="3" min="3" style="1" width="26"/>
    <col collapsed="false" customWidth="true" hidden="false" outlineLevel="0" max="4" min="4" style="1" width="62"/>
  </cols>
  <sheetData>
    <row r="2" customFormat="false" ht="33.75" hidden="false" customHeight="true" outlineLevel="0" collapsed="false">
      <c r="B2" s="2" t="s">
        <v>0</v>
      </c>
      <c r="C2" s="2"/>
      <c r="D2" s="2"/>
    </row>
    <row r="3" customFormat="false" ht="15" hidden="false" customHeight="true" outlineLevel="0" collapsed="false">
      <c r="B3" s="3" t="s">
        <v>1</v>
      </c>
    </row>
    <row r="4" customFormat="false" ht="15" hidden="false" customHeight="true" outlineLevel="0" collapsed="false">
      <c r="B4" s="4"/>
      <c r="C4" s="4"/>
    </row>
    <row r="5" customFormat="false" ht="15" hidden="false" customHeight="true" outlineLevel="0" collapsed="false">
      <c r="B5" s="5" t="s">
        <v>2</v>
      </c>
      <c r="C5" s="6" t="s">
        <v>3</v>
      </c>
    </row>
    <row r="6" customFormat="false" ht="15" hidden="false" customHeight="true" outlineLevel="0" collapsed="false">
      <c r="B6" s="5" t="s">
        <v>4</v>
      </c>
      <c r="C6" s="6" t="s">
        <v>5</v>
      </c>
    </row>
    <row r="7" customFormat="false" ht="15" hidden="false" customHeight="true" outlineLevel="0" collapsed="false">
      <c r="B7" s="5" t="s">
        <v>6</v>
      </c>
      <c r="C7" s="6" t="s">
        <v>7</v>
      </c>
    </row>
    <row r="8" customFormat="false" ht="15" hidden="false" customHeight="true" outlineLevel="0" collapsed="false">
      <c r="B8" s="5" t="s">
        <v>8</v>
      </c>
      <c r="C8" s="6" t="s">
        <v>9</v>
      </c>
    </row>
    <row r="9" customFormat="false" ht="15" hidden="false" customHeight="true" outlineLevel="0" collapsed="false">
      <c r="B9" s="5" t="s">
        <v>10</v>
      </c>
      <c r="C9" s="6" t="s">
        <v>11</v>
      </c>
    </row>
    <row r="10" customFormat="false" ht="15" hidden="false" customHeight="true" outlineLevel="0" collapsed="false">
      <c r="B10" s="5" t="s">
        <v>12</v>
      </c>
      <c r="C10" s="6" t="s">
        <v>13</v>
      </c>
    </row>
    <row r="11" customFormat="false" ht="15" hidden="false" customHeight="true" outlineLevel="0" collapsed="false">
      <c r="B11" s="4"/>
      <c r="C11" s="4"/>
    </row>
    <row r="12" customFormat="false" ht="30" hidden="false" customHeight="true" outlineLevel="0" collapsed="false">
      <c r="B12" s="7" t="s">
        <v>14</v>
      </c>
      <c r="C12" s="7"/>
      <c r="D12" s="7"/>
    </row>
    <row r="13" customFormat="false" ht="15" hidden="false" customHeight="true" outlineLevel="0" collapsed="false">
      <c r="B13" s="8" t="s">
        <v>15</v>
      </c>
      <c r="C13" s="8" t="s">
        <v>16</v>
      </c>
      <c r="D13" s="8" t="s">
        <v>17</v>
      </c>
    </row>
    <row r="14" customFormat="false" ht="15" hidden="false" customHeight="true" outlineLevel="0" collapsed="false">
      <c r="B14" s="9" t="s">
        <v>18</v>
      </c>
      <c r="C14" s="10" t="s">
        <v>19</v>
      </c>
      <c r="D14" s="11" t="s">
        <v>20</v>
      </c>
    </row>
    <row r="15" customFormat="false" ht="15" hidden="false" customHeight="true" outlineLevel="0" collapsed="false">
      <c r="B15" s="9" t="s">
        <v>21</v>
      </c>
      <c r="C15" s="10" t="s">
        <v>22</v>
      </c>
      <c r="D15" s="11" t="s">
        <v>23</v>
      </c>
    </row>
    <row r="16" customFormat="false" ht="15" hidden="false" customHeight="true" outlineLevel="0" collapsed="false">
      <c r="B16" s="9" t="s">
        <v>24</v>
      </c>
      <c r="C16" s="10" t="s">
        <v>25</v>
      </c>
      <c r="D16" s="11" t="s">
        <v>26</v>
      </c>
    </row>
    <row r="17" customFormat="false" ht="15" hidden="false" customHeight="true" outlineLevel="0" collapsed="false">
      <c r="B17" s="9" t="s">
        <v>24</v>
      </c>
      <c r="C17" s="10" t="s">
        <v>27</v>
      </c>
      <c r="D17" s="11" t="s">
        <v>28</v>
      </c>
    </row>
    <row r="18" customFormat="false" ht="15" hidden="false" customHeight="true" outlineLevel="0" collapsed="false">
      <c r="B18" s="9" t="s">
        <v>29</v>
      </c>
      <c r="C18" s="10" t="s">
        <v>30</v>
      </c>
      <c r="D18" s="11" t="s">
        <v>31</v>
      </c>
    </row>
    <row r="19" customFormat="false" ht="15" hidden="false" customHeight="true" outlineLevel="0" collapsed="false">
      <c r="B19" s="9" t="s">
        <v>29</v>
      </c>
      <c r="C19" s="10" t="s">
        <v>32</v>
      </c>
      <c r="D19" s="11" t="s">
        <v>33</v>
      </c>
    </row>
    <row r="20" customFormat="false" ht="15" hidden="false" customHeight="true" outlineLevel="0" collapsed="false">
      <c r="B20" s="9" t="s">
        <v>29</v>
      </c>
      <c r="C20" s="10" t="s">
        <v>34</v>
      </c>
      <c r="D20" s="11" t="s">
        <v>35</v>
      </c>
    </row>
    <row r="21" customFormat="false" ht="15" hidden="false" customHeight="true" outlineLevel="0" collapsed="false">
      <c r="B21" s="1" t="s">
        <v>36</v>
      </c>
      <c r="C21" s="1" t="s">
        <v>37</v>
      </c>
      <c r="D21" s="1" t="s">
        <v>38</v>
      </c>
    </row>
    <row r="22" customFormat="false" ht="15" hidden="false" customHeight="true" outlineLevel="0" collapsed="false">
      <c r="B22" s="9" t="s">
        <v>39</v>
      </c>
      <c r="C22" s="10" t="s">
        <v>40</v>
      </c>
      <c r="D22" s="11" t="s">
        <v>41</v>
      </c>
    </row>
    <row r="23" customFormat="false" ht="15" hidden="false" customHeight="true" outlineLevel="0" collapsed="false">
      <c r="B23" s="9" t="s">
        <v>39</v>
      </c>
      <c r="C23" s="10" t="s">
        <v>42</v>
      </c>
      <c r="D23" s="11" t="s">
        <v>43</v>
      </c>
    </row>
    <row r="24" customFormat="false" ht="15" hidden="false" customHeight="true" outlineLevel="0" collapsed="false">
      <c r="B24" s="9" t="s">
        <v>44</v>
      </c>
      <c r="C24" s="10" t="s">
        <v>45</v>
      </c>
      <c r="D24" s="11" t="s">
        <v>46</v>
      </c>
    </row>
    <row r="25" customFormat="false" ht="15" hidden="false" customHeight="true" outlineLevel="0" collapsed="false">
      <c r="B25" s="9" t="s">
        <v>47</v>
      </c>
      <c r="C25" s="10" t="s">
        <v>48</v>
      </c>
      <c r="D25" s="11" t="s">
        <v>49</v>
      </c>
    </row>
    <row r="26" customFormat="false" ht="15" hidden="false" customHeight="true" outlineLevel="0" collapsed="false">
      <c r="B26" s="9" t="s">
        <v>50</v>
      </c>
      <c r="C26" s="10" t="s">
        <v>51</v>
      </c>
      <c r="D26" s="11" t="s">
        <v>52</v>
      </c>
    </row>
    <row r="27" customFormat="false" ht="15" hidden="false" customHeight="true" outlineLevel="0" collapsed="false">
      <c r="B27" s="9" t="s">
        <v>50</v>
      </c>
      <c r="C27" s="10" t="s">
        <v>53</v>
      </c>
      <c r="D27" s="11" t="s">
        <v>54</v>
      </c>
    </row>
    <row r="28" customFormat="false" ht="15" hidden="false" customHeight="true" outlineLevel="0" collapsed="false">
      <c r="B28" s="9" t="s">
        <v>50</v>
      </c>
      <c r="C28" s="10" t="s">
        <v>55</v>
      </c>
      <c r="D28" s="11" t="s">
        <v>56</v>
      </c>
    </row>
    <row r="29" customFormat="false" ht="15" hidden="false" customHeight="true" outlineLevel="0" collapsed="false">
      <c r="B29" s="9" t="s">
        <v>50</v>
      </c>
      <c r="C29" s="10" t="s">
        <v>57</v>
      </c>
      <c r="D29" s="11" t="s">
        <v>58</v>
      </c>
    </row>
    <row r="30" customFormat="false" ht="30" hidden="false" customHeight="true" outlineLevel="0" collapsed="false"/>
    <row r="31" customFormat="false" ht="15" hidden="false" customHeight="true" outlineLevel="0" collapsed="false">
      <c r="B31" s="7" t="s">
        <v>59</v>
      </c>
      <c r="C31" s="7"/>
      <c r="D31" s="7"/>
    </row>
    <row r="32" customFormat="false" ht="15" hidden="false" customHeight="true" outlineLevel="0" collapsed="false">
      <c r="B32" s="12" t="s">
        <v>60</v>
      </c>
      <c r="C32" s="12"/>
      <c r="D32" s="12"/>
    </row>
    <row r="33" customFormat="false" ht="15" hidden="false" customHeight="true" outlineLevel="0" collapsed="false">
      <c r="B33" s="12" t="s">
        <v>61</v>
      </c>
      <c r="C33" s="12"/>
      <c r="D33" s="12"/>
    </row>
    <row r="34" customFormat="false" ht="15" hidden="false" customHeight="true" outlineLevel="0" collapsed="false">
      <c r="B34" s="12" t="s">
        <v>62</v>
      </c>
      <c r="C34" s="12"/>
      <c r="D34" s="12"/>
    </row>
    <row r="35" customFormat="false" ht="15" hidden="false" customHeight="true" outlineLevel="0" collapsed="false">
      <c r="B35" s="12" t="s">
        <v>63</v>
      </c>
      <c r="C35" s="12"/>
      <c r="D35" s="12"/>
    </row>
  </sheetData>
  <mergeCells count="6">
    <mergeCell ref="B12:D12"/>
    <mergeCell ref="B31:D31"/>
    <mergeCell ref="B32:D32"/>
    <mergeCell ref="B33:D33"/>
    <mergeCell ref="B34:D34"/>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4" style="1" width="52"/>
    <col collapsed="false" customWidth="true" hidden="false" outlineLevel="0" max="5" min="5" style="1" width="22"/>
    <col collapsed="false" customWidth="true" hidden="false" outlineLevel="0" max="6" min="6" style="1" width="7"/>
  </cols>
  <sheetData>
    <row r="2" customFormat="false" ht="33.75" hidden="false" customHeight="true" outlineLevel="0" collapsed="false">
      <c r="B2" s="2" t="s">
        <v>64</v>
      </c>
      <c r="C2" s="2"/>
      <c r="D2" s="2"/>
      <c r="E2" s="2"/>
      <c r="F2" s="2"/>
    </row>
    <row r="3" customFormat="false" ht="42" hidden="false" customHeight="true" outlineLevel="0" collapsed="false">
      <c r="B3" s="13" t="s">
        <v>65</v>
      </c>
      <c r="C3" s="13"/>
      <c r="D3" s="13"/>
      <c r="E3" s="13"/>
      <c r="F3" s="13"/>
    </row>
    <row r="4" customFormat="false" ht="15" hidden="false" customHeight="true" outlineLevel="0" collapsed="false">
      <c r="B4" s="14"/>
      <c r="C4" s="15"/>
      <c r="D4" s="15"/>
      <c r="E4" s="15"/>
      <c r="F4" s="15"/>
    </row>
    <row r="5" customFormat="false" ht="15" hidden="false" customHeight="true" outlineLevel="0" collapsed="false">
      <c r="B5" s="16" t="s">
        <v>66</v>
      </c>
    </row>
    <row r="6" customFormat="false" ht="15" hidden="false" customHeight="true" outlineLevel="0" collapsed="false">
      <c r="B6" s="17" t="s">
        <v>67</v>
      </c>
    </row>
    <row r="8" customFormat="false" ht="30" hidden="false" customHeight="true" outlineLevel="0" collapsed="false">
      <c r="B8" s="18" t="s">
        <v>68</v>
      </c>
      <c r="C8" s="18" t="s">
        <v>69</v>
      </c>
      <c r="D8" s="18" t="s">
        <v>70</v>
      </c>
      <c r="E8" s="18" t="s">
        <v>71</v>
      </c>
      <c r="F8" s="19" t="s">
        <v>72</v>
      </c>
    </row>
    <row r="9" customFormat="false" ht="30" hidden="false" customHeight="true" outlineLevel="0" collapsed="false">
      <c r="B9" s="20" t="s">
        <v>73</v>
      </c>
      <c r="C9" s="21"/>
      <c r="D9" s="21"/>
      <c r="E9" s="21"/>
      <c r="F9" s="21"/>
    </row>
    <row r="10" customFormat="false" ht="15" hidden="false" customHeight="true" outlineLevel="0" collapsed="false">
      <c r="B10" s="22"/>
      <c r="C10" s="23" t="s">
        <v>74</v>
      </c>
      <c r="D10" s="22"/>
      <c r="E10" s="22"/>
      <c r="F10" s="22"/>
    </row>
    <row r="11" customFormat="false" ht="15" hidden="false" customHeight="true" outlineLevel="0" collapsed="false">
      <c r="B11" s="24"/>
      <c r="C11" s="24"/>
      <c r="D11" s="25" t="s">
        <v>75</v>
      </c>
      <c r="E11" s="26" t="s">
        <v>76</v>
      </c>
      <c r="F11" s="27" t="s">
        <v>77</v>
      </c>
    </row>
    <row r="12" customFormat="false" ht="15" hidden="false" customHeight="true" outlineLevel="0" collapsed="false">
      <c r="B12" s="24"/>
      <c r="C12" s="24"/>
      <c r="D12" s="25" t="s">
        <v>78</v>
      </c>
      <c r="E12" s="26" t="s">
        <v>79</v>
      </c>
      <c r="F12" s="27" t="s">
        <v>77</v>
      </c>
    </row>
    <row r="13" customFormat="false" ht="15" hidden="false" customHeight="true" outlineLevel="0" collapsed="false">
      <c r="B13" s="24"/>
      <c r="C13" s="24"/>
      <c r="D13" s="25" t="s">
        <v>80</v>
      </c>
      <c r="E13" s="26" t="s">
        <v>81</v>
      </c>
      <c r="F13" s="27" t="s">
        <v>77</v>
      </c>
    </row>
    <row r="14" customFormat="false" ht="15" hidden="false" customHeight="true" outlineLevel="0" collapsed="false">
      <c r="B14" s="24"/>
      <c r="C14" s="24"/>
      <c r="D14" s="25" t="s">
        <v>82</v>
      </c>
      <c r="E14" s="26" t="s">
        <v>79</v>
      </c>
      <c r="F14" s="27"/>
    </row>
    <row r="15" customFormat="false" ht="15" hidden="false" customHeight="true" outlineLevel="0" collapsed="false">
      <c r="B15" s="24"/>
      <c r="C15" s="24"/>
      <c r="D15" s="25" t="s">
        <v>83</v>
      </c>
      <c r="E15" s="26" t="s">
        <v>84</v>
      </c>
      <c r="F15" s="27"/>
    </row>
    <row r="16" customFormat="false" ht="15" hidden="false" customHeight="true" outlineLevel="0" collapsed="false">
      <c r="B16" s="24"/>
      <c r="C16" s="24"/>
      <c r="D16" s="25" t="s">
        <v>85</v>
      </c>
      <c r="E16" s="26" t="s">
        <v>86</v>
      </c>
      <c r="F16" s="27"/>
    </row>
    <row r="17" customFormat="false" ht="15" hidden="false" customHeight="true" outlineLevel="0" collapsed="false">
      <c r="B17" s="22"/>
      <c r="C17" s="23" t="s">
        <v>87</v>
      </c>
      <c r="D17" s="22"/>
      <c r="E17" s="22"/>
      <c r="F17" s="22"/>
    </row>
    <row r="18" customFormat="false" ht="15" hidden="false" customHeight="true" outlineLevel="0" collapsed="false">
      <c r="B18" s="24"/>
      <c r="C18" s="24"/>
      <c r="D18" s="25" t="s">
        <v>88</v>
      </c>
      <c r="E18" s="26" t="s">
        <v>81</v>
      </c>
      <c r="F18" s="27" t="s">
        <v>77</v>
      </c>
    </row>
    <row r="19" customFormat="false" ht="15" hidden="false" customHeight="true" outlineLevel="0" collapsed="false">
      <c r="B19" s="24"/>
      <c r="C19" s="24"/>
      <c r="D19" s="25" t="s">
        <v>89</v>
      </c>
      <c r="E19" s="26" t="s">
        <v>79</v>
      </c>
      <c r="F19" s="27" t="s">
        <v>77</v>
      </c>
    </row>
    <row r="20" customFormat="false" ht="15" hidden="false" customHeight="true" outlineLevel="0" collapsed="false">
      <c r="B20" s="24"/>
      <c r="C20" s="24"/>
      <c r="D20" s="25" t="s">
        <v>90</v>
      </c>
      <c r="E20" s="26" t="s">
        <v>81</v>
      </c>
      <c r="F20" s="27" t="s">
        <v>77</v>
      </c>
    </row>
    <row r="21" customFormat="false" ht="15" hidden="false" customHeight="true" outlineLevel="0" collapsed="false">
      <c r="B21" s="24"/>
      <c r="C21" s="24"/>
      <c r="D21" s="25" t="s">
        <v>91</v>
      </c>
      <c r="E21" s="26" t="s">
        <v>84</v>
      </c>
      <c r="F21" s="27"/>
    </row>
    <row r="22" customFormat="false" ht="15" hidden="false" customHeight="true" outlineLevel="0" collapsed="false">
      <c r="B22" s="24"/>
      <c r="C22" s="24"/>
      <c r="D22" s="25" t="s">
        <v>92</v>
      </c>
      <c r="E22" s="26" t="s">
        <v>86</v>
      </c>
      <c r="F22" s="27"/>
    </row>
    <row r="23" customFormat="false" ht="15" hidden="false" customHeight="true" outlineLevel="0" collapsed="false">
      <c r="B23" s="22"/>
      <c r="C23" s="23" t="s">
        <v>93</v>
      </c>
      <c r="D23" s="22"/>
      <c r="E23" s="22"/>
      <c r="F23" s="22"/>
    </row>
    <row r="24" customFormat="false" ht="15" hidden="false" customHeight="true" outlineLevel="0" collapsed="false">
      <c r="B24" s="24"/>
      <c r="C24" s="24"/>
      <c r="D24" s="25" t="s">
        <v>94</v>
      </c>
      <c r="E24" s="26" t="s">
        <v>95</v>
      </c>
      <c r="F24" s="27" t="s">
        <v>77</v>
      </c>
    </row>
    <row r="25" customFormat="false" ht="15" hidden="false" customHeight="true" outlineLevel="0" collapsed="false">
      <c r="B25" s="24"/>
      <c r="C25" s="24"/>
      <c r="D25" s="25" t="s">
        <v>96</v>
      </c>
      <c r="E25" s="26" t="s">
        <v>95</v>
      </c>
      <c r="F25" s="27" t="s">
        <v>77</v>
      </c>
    </row>
    <row r="26" customFormat="false" ht="15" hidden="false" customHeight="true" outlineLevel="0" collapsed="false">
      <c r="B26" s="24"/>
      <c r="C26" s="24"/>
      <c r="D26" s="25" t="s">
        <v>97</v>
      </c>
      <c r="E26" s="26" t="s">
        <v>95</v>
      </c>
      <c r="F26" s="27" t="s">
        <v>77</v>
      </c>
    </row>
    <row r="27" customFormat="false" ht="15" hidden="false" customHeight="true" outlineLevel="0" collapsed="false">
      <c r="B27" s="24"/>
      <c r="C27" s="24"/>
      <c r="D27" s="25" t="s">
        <v>98</v>
      </c>
      <c r="E27" s="26" t="s">
        <v>95</v>
      </c>
      <c r="F27" s="27"/>
    </row>
    <row r="28" customFormat="false" ht="15" hidden="false" customHeight="true" outlineLevel="0" collapsed="false">
      <c r="B28" s="24"/>
      <c r="C28" s="24"/>
      <c r="D28" s="25" t="s">
        <v>99</v>
      </c>
      <c r="E28" s="26" t="s">
        <v>84</v>
      </c>
      <c r="F28" s="27"/>
    </row>
    <row r="29" customFormat="false" ht="15" hidden="false" customHeight="true" outlineLevel="0" collapsed="false">
      <c r="B29" s="24"/>
      <c r="C29" s="24"/>
      <c r="D29" s="25" t="s">
        <v>100</v>
      </c>
      <c r="E29" s="26" t="s">
        <v>95</v>
      </c>
      <c r="F29" s="27"/>
    </row>
    <row r="30" customFormat="false" ht="15" hidden="false" customHeight="true" outlineLevel="0" collapsed="false">
      <c r="B30" s="22"/>
      <c r="C30" s="23" t="s">
        <v>101</v>
      </c>
      <c r="D30" s="22"/>
      <c r="E30" s="22"/>
      <c r="F30" s="22"/>
    </row>
    <row r="31" customFormat="false" ht="15" hidden="false" customHeight="true" outlineLevel="0" collapsed="false">
      <c r="B31" s="24"/>
      <c r="C31" s="24"/>
      <c r="D31" s="25" t="s">
        <v>102</v>
      </c>
      <c r="E31" s="26" t="s">
        <v>76</v>
      </c>
      <c r="F31" s="27" t="s">
        <v>77</v>
      </c>
    </row>
    <row r="32" customFormat="false" ht="15" hidden="false" customHeight="true" outlineLevel="0" collapsed="false">
      <c r="B32" s="24"/>
      <c r="C32" s="24"/>
      <c r="D32" s="25" t="s">
        <v>103</v>
      </c>
      <c r="E32" s="26" t="s">
        <v>79</v>
      </c>
      <c r="F32" s="27" t="s">
        <v>77</v>
      </c>
    </row>
    <row r="33" customFormat="false" ht="15" hidden="false" customHeight="true" outlineLevel="0" collapsed="false">
      <c r="B33" s="24"/>
      <c r="C33" s="24"/>
      <c r="D33" s="25" t="s">
        <v>104</v>
      </c>
      <c r="E33" s="26" t="s">
        <v>81</v>
      </c>
      <c r="F33" s="27" t="s">
        <v>77</v>
      </c>
    </row>
    <row r="34" customFormat="false" ht="15" hidden="false" customHeight="true" outlineLevel="0" collapsed="false">
      <c r="B34" s="24"/>
      <c r="C34" s="24"/>
      <c r="D34" s="25" t="s">
        <v>105</v>
      </c>
      <c r="E34" s="26" t="s">
        <v>84</v>
      </c>
      <c r="F34" s="27"/>
    </row>
    <row r="35" customFormat="false" ht="15" hidden="false" customHeight="true" outlineLevel="0" collapsed="false">
      <c r="B35" s="24"/>
      <c r="C35" s="24"/>
      <c r="D35" s="25" t="s">
        <v>106</v>
      </c>
      <c r="E35" s="26" t="s">
        <v>107</v>
      </c>
      <c r="F35" s="27"/>
    </row>
    <row r="36" customFormat="false" ht="30" hidden="false" customHeight="true" outlineLevel="0" collapsed="false">
      <c r="B36" s="20" t="s">
        <v>108</v>
      </c>
      <c r="C36" s="21"/>
      <c r="D36" s="21"/>
      <c r="E36" s="21"/>
      <c r="F36" s="21"/>
    </row>
    <row r="37" customFormat="false" ht="15" hidden="false" customHeight="true" outlineLevel="0" collapsed="false">
      <c r="B37" s="22"/>
      <c r="C37" s="23" t="s">
        <v>109</v>
      </c>
      <c r="D37" s="22"/>
      <c r="E37" s="22"/>
      <c r="F37" s="22"/>
    </row>
    <row r="38" customFormat="false" ht="15" hidden="false" customHeight="true" outlineLevel="0" collapsed="false">
      <c r="B38" s="24"/>
      <c r="C38" s="24"/>
      <c r="D38" s="25" t="s">
        <v>110</v>
      </c>
      <c r="E38" s="26" t="s">
        <v>76</v>
      </c>
      <c r="F38" s="27" t="s">
        <v>77</v>
      </c>
    </row>
    <row r="39" customFormat="false" ht="15" hidden="false" customHeight="true" outlineLevel="0" collapsed="false">
      <c r="B39" s="24"/>
      <c r="C39" s="24"/>
      <c r="D39" s="25" t="s">
        <v>111</v>
      </c>
      <c r="E39" s="26" t="s">
        <v>79</v>
      </c>
      <c r="F39" s="27" t="s">
        <v>77</v>
      </c>
    </row>
    <row r="40" customFormat="false" ht="15" hidden="false" customHeight="true" outlineLevel="0" collapsed="false">
      <c r="B40" s="24"/>
      <c r="C40" s="24"/>
      <c r="D40" s="25" t="s">
        <v>112</v>
      </c>
      <c r="E40" s="26" t="s">
        <v>81</v>
      </c>
      <c r="F40" s="27" t="s">
        <v>77</v>
      </c>
    </row>
    <row r="41" customFormat="false" ht="15" hidden="false" customHeight="true" outlineLevel="0" collapsed="false">
      <c r="B41" s="24"/>
      <c r="C41" s="24"/>
      <c r="D41" s="25" t="s">
        <v>113</v>
      </c>
      <c r="E41" s="26" t="s">
        <v>84</v>
      </c>
      <c r="F41" s="27" t="s">
        <v>77</v>
      </c>
    </row>
    <row r="42" customFormat="false" ht="15" hidden="false" customHeight="true" outlineLevel="0" collapsed="false">
      <c r="B42" s="24"/>
      <c r="C42" s="24"/>
      <c r="D42" s="25" t="s">
        <v>114</v>
      </c>
      <c r="E42" s="26" t="s">
        <v>86</v>
      </c>
      <c r="F42" s="27"/>
    </row>
    <row r="43" customFormat="false" ht="15" hidden="false" customHeight="true" outlineLevel="0" collapsed="false">
      <c r="B43" s="24"/>
      <c r="C43" s="24"/>
      <c r="D43" s="25" t="s">
        <v>115</v>
      </c>
      <c r="E43" s="26" t="s">
        <v>107</v>
      </c>
      <c r="F43" s="27"/>
    </row>
    <row r="44" customFormat="false" ht="15" hidden="false" customHeight="true" outlineLevel="0" collapsed="false">
      <c r="B44" s="22"/>
      <c r="C44" s="23" t="s">
        <v>116</v>
      </c>
      <c r="D44" s="22"/>
      <c r="E44" s="22"/>
      <c r="F44" s="22"/>
    </row>
    <row r="45" customFormat="false" ht="15" hidden="false" customHeight="true" outlineLevel="0" collapsed="false">
      <c r="B45" s="24"/>
      <c r="C45" s="24"/>
      <c r="D45" s="25" t="s">
        <v>117</v>
      </c>
      <c r="E45" s="26" t="s">
        <v>81</v>
      </c>
      <c r="F45" s="27" t="s">
        <v>77</v>
      </c>
    </row>
    <row r="46" customFormat="false" ht="15" hidden="false" customHeight="true" outlineLevel="0" collapsed="false">
      <c r="B46" s="24"/>
      <c r="C46" s="24"/>
      <c r="D46" s="25" t="s">
        <v>118</v>
      </c>
      <c r="E46" s="26" t="s">
        <v>95</v>
      </c>
      <c r="F46" s="27" t="s">
        <v>77</v>
      </c>
    </row>
    <row r="47" customFormat="false" ht="15" hidden="false" customHeight="true" outlineLevel="0" collapsed="false">
      <c r="B47" s="24"/>
      <c r="C47" s="24"/>
      <c r="D47" s="25" t="s">
        <v>119</v>
      </c>
      <c r="E47" s="26" t="s">
        <v>81</v>
      </c>
      <c r="F47" s="27" t="s">
        <v>77</v>
      </c>
    </row>
    <row r="48" customFormat="false" ht="15" hidden="false" customHeight="true" outlineLevel="0" collapsed="false">
      <c r="B48" s="24"/>
      <c r="C48" s="24"/>
      <c r="D48" s="25" t="s">
        <v>120</v>
      </c>
      <c r="E48" s="26" t="s">
        <v>81</v>
      </c>
      <c r="F48" s="27"/>
    </row>
    <row r="49" customFormat="false" ht="15" hidden="false" customHeight="true" outlineLevel="0" collapsed="false">
      <c r="B49" s="24"/>
      <c r="C49" s="24"/>
      <c r="D49" s="25" t="s">
        <v>121</v>
      </c>
      <c r="E49" s="26" t="s">
        <v>107</v>
      </c>
      <c r="F49" s="27"/>
    </row>
    <row r="50" customFormat="false" ht="15" hidden="false" customHeight="true" outlineLevel="0" collapsed="false">
      <c r="B50" s="22"/>
      <c r="C50" s="23" t="s">
        <v>122</v>
      </c>
      <c r="D50" s="22"/>
      <c r="E50" s="22"/>
      <c r="F50" s="22"/>
    </row>
    <row r="51" customFormat="false" ht="15" hidden="false" customHeight="true" outlineLevel="0" collapsed="false">
      <c r="B51" s="24"/>
      <c r="C51" s="24"/>
      <c r="D51" s="25" t="s">
        <v>123</v>
      </c>
      <c r="E51" s="26" t="s">
        <v>84</v>
      </c>
      <c r="F51" s="27" t="s">
        <v>77</v>
      </c>
    </row>
    <row r="52" customFormat="false" ht="15" hidden="false" customHeight="true" outlineLevel="0" collapsed="false">
      <c r="B52" s="24"/>
      <c r="C52" s="24"/>
      <c r="D52" s="25" t="s">
        <v>124</v>
      </c>
      <c r="E52" s="26" t="s">
        <v>79</v>
      </c>
      <c r="F52" s="27" t="s">
        <v>77</v>
      </c>
    </row>
    <row r="53" customFormat="false" ht="15" hidden="false" customHeight="true" outlineLevel="0" collapsed="false">
      <c r="B53" s="24"/>
      <c r="C53" s="24"/>
      <c r="D53" s="25" t="s">
        <v>125</v>
      </c>
      <c r="E53" s="26" t="s">
        <v>81</v>
      </c>
      <c r="F53" s="27" t="s">
        <v>77</v>
      </c>
    </row>
    <row r="54" customFormat="false" ht="15" hidden="false" customHeight="true" outlineLevel="0" collapsed="false">
      <c r="B54" s="24"/>
      <c r="C54" s="24"/>
      <c r="D54" s="25" t="s">
        <v>126</v>
      </c>
      <c r="E54" s="26" t="s">
        <v>86</v>
      </c>
      <c r="F54" s="27"/>
    </row>
    <row r="55" customFormat="false" ht="15" hidden="false" customHeight="true" outlineLevel="0" collapsed="false">
      <c r="B55" s="24"/>
      <c r="C55" s="24"/>
      <c r="D55" s="25" t="s">
        <v>127</v>
      </c>
      <c r="E55" s="26" t="s">
        <v>107</v>
      </c>
      <c r="F55" s="27"/>
    </row>
    <row r="56" customFormat="false" ht="15" hidden="false" customHeight="true" outlineLevel="0" collapsed="false">
      <c r="B56" s="22"/>
      <c r="C56" s="23" t="s">
        <v>128</v>
      </c>
      <c r="D56" s="22"/>
      <c r="E56" s="22"/>
      <c r="F56" s="22"/>
    </row>
    <row r="57" customFormat="false" ht="15" hidden="false" customHeight="true" outlineLevel="0" collapsed="false">
      <c r="B57" s="24"/>
      <c r="C57" s="24"/>
      <c r="D57" s="25" t="s">
        <v>129</v>
      </c>
      <c r="E57" s="26" t="s">
        <v>130</v>
      </c>
      <c r="F57" s="27" t="s">
        <v>77</v>
      </c>
    </row>
    <row r="58" customFormat="false" ht="15" hidden="false" customHeight="true" outlineLevel="0" collapsed="false">
      <c r="B58" s="24"/>
      <c r="C58" s="24"/>
      <c r="D58" s="25" t="s">
        <v>131</v>
      </c>
      <c r="E58" s="26" t="s">
        <v>81</v>
      </c>
      <c r="F58" s="27" t="s">
        <v>77</v>
      </c>
    </row>
    <row r="59" customFormat="false" ht="15" hidden="false" customHeight="true" outlineLevel="0" collapsed="false">
      <c r="B59" s="24"/>
      <c r="C59" s="24"/>
      <c r="D59" s="25" t="s">
        <v>132</v>
      </c>
      <c r="E59" s="26" t="s">
        <v>130</v>
      </c>
      <c r="F59" s="27" t="s">
        <v>77</v>
      </c>
    </row>
    <row r="60" customFormat="false" ht="15" hidden="false" customHeight="true" outlineLevel="0" collapsed="false">
      <c r="B60" s="24"/>
      <c r="C60" s="24"/>
      <c r="D60" s="25" t="s">
        <v>133</v>
      </c>
      <c r="E60" s="26" t="s">
        <v>84</v>
      </c>
      <c r="F60" s="27"/>
    </row>
    <row r="61" customFormat="false" ht="15" hidden="false" customHeight="true" outlineLevel="0" collapsed="false">
      <c r="B61" s="24"/>
      <c r="C61" s="24"/>
      <c r="D61" s="25" t="s">
        <v>134</v>
      </c>
      <c r="E61" s="26" t="s">
        <v>86</v>
      </c>
      <c r="F61" s="27"/>
    </row>
    <row r="62" customFormat="false" ht="15" hidden="false" customHeight="true" outlineLevel="0" collapsed="false">
      <c r="B62" s="22"/>
      <c r="C62" s="23" t="s">
        <v>135</v>
      </c>
      <c r="D62" s="22"/>
      <c r="E62" s="22"/>
      <c r="F62" s="22"/>
    </row>
    <row r="63" customFormat="false" ht="15" hidden="false" customHeight="true" outlineLevel="0" collapsed="false">
      <c r="B63" s="24"/>
      <c r="C63" s="24"/>
      <c r="D63" s="25" t="s">
        <v>136</v>
      </c>
      <c r="E63" s="26" t="s">
        <v>84</v>
      </c>
      <c r="F63" s="27" t="s">
        <v>77</v>
      </c>
    </row>
    <row r="64" customFormat="false" ht="15" hidden="false" customHeight="true" outlineLevel="0" collapsed="false">
      <c r="B64" s="24"/>
      <c r="C64" s="24"/>
      <c r="D64" s="25" t="s">
        <v>137</v>
      </c>
      <c r="E64" s="26" t="s">
        <v>84</v>
      </c>
      <c r="F64" s="27" t="s">
        <v>77</v>
      </c>
    </row>
    <row r="65" customFormat="false" ht="15" hidden="false" customHeight="true" outlineLevel="0" collapsed="false">
      <c r="B65" s="24"/>
      <c r="C65" s="24"/>
      <c r="D65" s="25" t="s">
        <v>138</v>
      </c>
      <c r="E65" s="26" t="s">
        <v>81</v>
      </c>
      <c r="F65" s="27" t="s">
        <v>77</v>
      </c>
    </row>
    <row r="66" customFormat="false" ht="15" hidden="false" customHeight="true" outlineLevel="0" collapsed="false">
      <c r="B66" s="24"/>
      <c r="C66" s="24"/>
      <c r="D66" s="25" t="s">
        <v>139</v>
      </c>
      <c r="E66" s="26" t="s">
        <v>95</v>
      </c>
      <c r="F66" s="27"/>
    </row>
    <row r="67" customFormat="false" ht="15" hidden="false" customHeight="true" outlineLevel="0" collapsed="false">
      <c r="B67" s="24"/>
      <c r="C67" s="24"/>
      <c r="D67" s="25" t="s">
        <v>140</v>
      </c>
      <c r="E67" s="26" t="s">
        <v>107</v>
      </c>
      <c r="F67" s="27"/>
    </row>
    <row r="68" customFormat="false" ht="30" hidden="false" customHeight="true" outlineLevel="0" collapsed="false">
      <c r="B68" s="20" t="s">
        <v>141</v>
      </c>
      <c r="C68" s="21"/>
      <c r="D68" s="21"/>
      <c r="E68" s="21"/>
      <c r="F68" s="21"/>
    </row>
    <row r="69" customFormat="false" ht="15" hidden="false" customHeight="true" outlineLevel="0" collapsed="false">
      <c r="B69" s="22"/>
      <c r="C69" s="23" t="s">
        <v>142</v>
      </c>
      <c r="D69" s="22"/>
      <c r="E69" s="22"/>
      <c r="F69" s="22"/>
    </row>
    <row r="70" customFormat="false" ht="15" hidden="false" customHeight="true" outlineLevel="0" collapsed="false">
      <c r="B70" s="24"/>
      <c r="C70" s="24"/>
      <c r="D70" s="25" t="s">
        <v>143</v>
      </c>
      <c r="E70" s="26" t="s">
        <v>130</v>
      </c>
      <c r="F70" s="27" t="s">
        <v>77</v>
      </c>
    </row>
    <row r="71" customFormat="false" ht="15" hidden="false" customHeight="true" outlineLevel="0" collapsed="false">
      <c r="B71" s="24"/>
      <c r="C71" s="24"/>
      <c r="D71" s="25" t="s">
        <v>144</v>
      </c>
      <c r="E71" s="26" t="s">
        <v>130</v>
      </c>
      <c r="F71" s="27" t="s">
        <v>77</v>
      </c>
    </row>
    <row r="72" customFormat="false" ht="15" hidden="false" customHeight="true" outlineLevel="0" collapsed="false">
      <c r="B72" s="24"/>
      <c r="C72" s="24"/>
      <c r="D72" s="25" t="s">
        <v>145</v>
      </c>
      <c r="E72" s="26" t="s">
        <v>86</v>
      </c>
      <c r="F72" s="27" t="s">
        <v>77</v>
      </c>
    </row>
    <row r="73" customFormat="false" ht="15" hidden="false" customHeight="true" outlineLevel="0" collapsed="false">
      <c r="B73" s="24"/>
      <c r="C73" s="24"/>
      <c r="D73" s="25" t="s">
        <v>146</v>
      </c>
      <c r="E73" s="26" t="s">
        <v>130</v>
      </c>
      <c r="F73" s="27"/>
    </row>
    <row r="74" customFormat="false" ht="15" hidden="false" customHeight="true" outlineLevel="0" collapsed="false">
      <c r="B74" s="24"/>
      <c r="C74" s="24"/>
      <c r="D74" s="25" t="s">
        <v>147</v>
      </c>
      <c r="E74" s="26" t="s">
        <v>84</v>
      </c>
      <c r="F74" s="27"/>
    </row>
    <row r="75" customFormat="false" ht="15" hidden="false" customHeight="true" outlineLevel="0" collapsed="false">
      <c r="B75" s="24"/>
      <c r="C75" s="24"/>
      <c r="D75" s="25" t="s">
        <v>148</v>
      </c>
      <c r="E75" s="26" t="s">
        <v>86</v>
      </c>
      <c r="F75" s="27"/>
    </row>
    <row r="76" customFormat="false" ht="15" hidden="false" customHeight="true" outlineLevel="0" collapsed="false">
      <c r="B76" s="22"/>
      <c r="C76" s="23" t="s">
        <v>149</v>
      </c>
      <c r="D76" s="22"/>
      <c r="E76" s="22"/>
      <c r="F76" s="22"/>
    </row>
    <row r="77" customFormat="false" ht="15" hidden="false" customHeight="true" outlineLevel="0" collapsed="false">
      <c r="B77" s="24"/>
      <c r="C77" s="24"/>
      <c r="D77" s="25" t="s">
        <v>150</v>
      </c>
      <c r="E77" s="26" t="s">
        <v>151</v>
      </c>
      <c r="F77" s="27" t="s">
        <v>77</v>
      </c>
    </row>
    <row r="78" customFormat="false" ht="15" hidden="false" customHeight="true" outlineLevel="0" collapsed="false">
      <c r="B78" s="24"/>
      <c r="C78" s="24"/>
      <c r="D78" s="25" t="s">
        <v>152</v>
      </c>
      <c r="E78" s="26" t="s">
        <v>107</v>
      </c>
      <c r="F78" s="27" t="s">
        <v>77</v>
      </c>
    </row>
    <row r="79" customFormat="false" ht="15" hidden="false" customHeight="true" outlineLevel="0" collapsed="false">
      <c r="B79" s="24"/>
      <c r="C79" s="24"/>
      <c r="D79" s="25" t="s">
        <v>153</v>
      </c>
      <c r="E79" s="26" t="s">
        <v>130</v>
      </c>
      <c r="F79" s="27" t="s">
        <v>77</v>
      </c>
    </row>
    <row r="80" customFormat="false" ht="15" hidden="false" customHeight="true" outlineLevel="0" collapsed="false">
      <c r="B80" s="24"/>
      <c r="C80" s="24"/>
      <c r="D80" s="25" t="s">
        <v>154</v>
      </c>
      <c r="E80" s="26" t="s">
        <v>155</v>
      </c>
      <c r="F80" s="27" t="s">
        <v>77</v>
      </c>
    </row>
    <row r="81" customFormat="false" ht="15" hidden="false" customHeight="true" outlineLevel="0" collapsed="false">
      <c r="B81" s="24"/>
      <c r="C81" s="24"/>
      <c r="D81" s="25" t="s">
        <v>156</v>
      </c>
      <c r="E81" s="26" t="s">
        <v>84</v>
      </c>
      <c r="F81" s="27"/>
    </row>
    <row r="82" customFormat="false" ht="15" hidden="false" customHeight="true" outlineLevel="0" collapsed="false">
      <c r="B82" s="24"/>
      <c r="C82" s="24"/>
      <c r="D82" s="25" t="s">
        <v>157</v>
      </c>
      <c r="E82" s="26" t="s">
        <v>86</v>
      </c>
      <c r="F82" s="27"/>
    </row>
    <row r="83" customFormat="false" ht="15" hidden="false" customHeight="true" outlineLevel="0" collapsed="false">
      <c r="B83" s="22"/>
      <c r="C83" s="23" t="s">
        <v>158</v>
      </c>
      <c r="D83" s="22"/>
      <c r="E83" s="22"/>
      <c r="F83" s="22"/>
    </row>
    <row r="84" customFormat="false" ht="15" hidden="false" customHeight="true" outlineLevel="0" collapsed="false">
      <c r="B84" s="24"/>
      <c r="C84" s="24"/>
      <c r="D84" s="25" t="s">
        <v>159</v>
      </c>
      <c r="E84" s="26" t="s">
        <v>81</v>
      </c>
      <c r="F84" s="27" t="s">
        <v>77</v>
      </c>
    </row>
    <row r="85" customFormat="false" ht="15" hidden="false" customHeight="true" outlineLevel="0" collapsed="false">
      <c r="B85" s="24"/>
      <c r="C85" s="24"/>
      <c r="D85" s="25" t="s">
        <v>160</v>
      </c>
      <c r="E85" s="26" t="s">
        <v>130</v>
      </c>
      <c r="F85" s="27" t="s">
        <v>77</v>
      </c>
    </row>
    <row r="86" customFormat="false" ht="15" hidden="false" customHeight="true" outlineLevel="0" collapsed="false">
      <c r="B86" s="24"/>
      <c r="C86" s="24"/>
      <c r="D86" s="25" t="s">
        <v>161</v>
      </c>
      <c r="E86" s="26" t="s">
        <v>84</v>
      </c>
      <c r="F86" s="27" t="s">
        <v>77</v>
      </c>
    </row>
    <row r="87" customFormat="false" ht="15" hidden="false" customHeight="true" outlineLevel="0" collapsed="false">
      <c r="B87" s="24"/>
      <c r="C87" s="24"/>
      <c r="D87" s="25" t="s">
        <v>162</v>
      </c>
      <c r="E87" s="26" t="s">
        <v>79</v>
      </c>
      <c r="F87" s="27"/>
    </row>
    <row r="88" customFormat="false" ht="15" hidden="false" customHeight="true" outlineLevel="0" collapsed="false">
      <c r="B88" s="24"/>
      <c r="C88" s="24"/>
      <c r="D88" s="25" t="s">
        <v>163</v>
      </c>
      <c r="E88" s="26" t="s">
        <v>86</v>
      </c>
      <c r="F88" s="27"/>
    </row>
    <row r="89" customFormat="false" ht="15" hidden="false" customHeight="true" outlineLevel="0" collapsed="false">
      <c r="B89" s="22"/>
      <c r="C89" s="23" t="s">
        <v>164</v>
      </c>
      <c r="D89" s="22"/>
      <c r="E89" s="22"/>
      <c r="F89" s="22"/>
    </row>
    <row r="90" customFormat="false" ht="15" hidden="false" customHeight="true" outlineLevel="0" collapsed="false">
      <c r="B90" s="24"/>
      <c r="C90" s="24"/>
      <c r="D90" s="25" t="s">
        <v>165</v>
      </c>
      <c r="E90" s="26" t="s">
        <v>76</v>
      </c>
      <c r="F90" s="27" t="s">
        <v>77</v>
      </c>
    </row>
    <row r="91" customFormat="false" ht="15" hidden="false" customHeight="true" outlineLevel="0" collapsed="false">
      <c r="B91" s="24"/>
      <c r="C91" s="24"/>
      <c r="D91" s="25" t="s">
        <v>166</v>
      </c>
      <c r="E91" s="26" t="s">
        <v>130</v>
      </c>
      <c r="F91" s="27" t="s">
        <v>77</v>
      </c>
    </row>
    <row r="92" customFormat="false" ht="15" hidden="false" customHeight="true" outlineLevel="0" collapsed="false">
      <c r="B92" s="24"/>
      <c r="C92" s="24"/>
      <c r="D92" s="25" t="s">
        <v>167</v>
      </c>
      <c r="E92" s="26" t="s">
        <v>84</v>
      </c>
      <c r="F92" s="27" t="s">
        <v>77</v>
      </c>
    </row>
    <row r="93" customFormat="false" ht="15" hidden="false" customHeight="true" outlineLevel="0" collapsed="false">
      <c r="B93" s="24"/>
      <c r="C93" s="24"/>
      <c r="D93" s="25" t="s">
        <v>168</v>
      </c>
      <c r="E93" s="26" t="s">
        <v>86</v>
      </c>
      <c r="F93" s="27"/>
    </row>
    <row r="94" customFormat="false" ht="15" hidden="false" customHeight="true" outlineLevel="0" collapsed="false">
      <c r="B94" s="24"/>
      <c r="C94" s="24"/>
      <c r="D94" s="25" t="s">
        <v>169</v>
      </c>
      <c r="E94" s="26" t="s">
        <v>107</v>
      </c>
      <c r="F94" s="27"/>
    </row>
    <row r="95" customFormat="false" ht="15" hidden="false" customHeight="true" outlineLevel="0" collapsed="false">
      <c r="B95" s="22"/>
      <c r="C95" s="23" t="s">
        <v>170</v>
      </c>
      <c r="D95" s="22"/>
      <c r="E95" s="22"/>
      <c r="F95" s="22"/>
    </row>
    <row r="96" customFormat="false" ht="15" hidden="false" customHeight="true" outlineLevel="0" collapsed="false">
      <c r="B96" s="24"/>
      <c r="C96" s="24"/>
      <c r="D96" s="25" t="s">
        <v>171</v>
      </c>
      <c r="E96" s="26" t="s">
        <v>84</v>
      </c>
      <c r="F96" s="27" t="s">
        <v>77</v>
      </c>
    </row>
    <row r="97" customFormat="false" ht="15" hidden="false" customHeight="true" outlineLevel="0" collapsed="false">
      <c r="B97" s="24"/>
      <c r="C97" s="24"/>
      <c r="D97" s="25" t="s">
        <v>172</v>
      </c>
      <c r="E97" s="26" t="s">
        <v>130</v>
      </c>
      <c r="F97" s="27" t="s">
        <v>77</v>
      </c>
    </row>
    <row r="98" customFormat="false" ht="15" hidden="false" customHeight="true" outlineLevel="0" collapsed="false">
      <c r="B98" s="24"/>
      <c r="C98" s="24"/>
      <c r="D98" s="25" t="s">
        <v>173</v>
      </c>
      <c r="E98" s="26" t="s">
        <v>107</v>
      </c>
      <c r="F98" s="27" t="s">
        <v>77</v>
      </c>
    </row>
    <row r="99" customFormat="false" ht="15" hidden="false" customHeight="true" outlineLevel="0" collapsed="false">
      <c r="B99" s="24"/>
      <c r="C99" s="24"/>
      <c r="D99" s="25" t="s">
        <v>174</v>
      </c>
      <c r="E99" s="26" t="s">
        <v>84</v>
      </c>
      <c r="F99" s="27"/>
    </row>
    <row r="100" customFormat="false" ht="15" hidden="false" customHeight="true" outlineLevel="0" collapsed="false">
      <c r="B100" s="24"/>
      <c r="C100" s="24"/>
      <c r="D100" s="25" t="s">
        <v>175</v>
      </c>
      <c r="E100" s="26" t="s">
        <v>86</v>
      </c>
      <c r="F100" s="27"/>
    </row>
    <row r="101" customFormat="false" ht="30" hidden="false" customHeight="true" outlineLevel="0" collapsed="false">
      <c r="B101" s="20" t="s">
        <v>176</v>
      </c>
      <c r="C101" s="21"/>
      <c r="D101" s="21"/>
      <c r="E101" s="21"/>
      <c r="F101" s="21"/>
    </row>
    <row r="102" customFormat="false" ht="15" hidden="false" customHeight="true" outlineLevel="0" collapsed="false">
      <c r="B102" s="22"/>
      <c r="C102" s="23" t="s">
        <v>177</v>
      </c>
      <c r="D102" s="22"/>
      <c r="E102" s="22"/>
      <c r="F102" s="22"/>
    </row>
    <row r="103" customFormat="false" ht="15" hidden="false" customHeight="true" outlineLevel="0" collapsed="false">
      <c r="B103" s="24"/>
      <c r="C103" s="24"/>
      <c r="D103" s="25" t="s">
        <v>178</v>
      </c>
      <c r="E103" s="26" t="s">
        <v>79</v>
      </c>
      <c r="F103" s="27" t="s">
        <v>77</v>
      </c>
    </row>
    <row r="104" customFormat="false" ht="15" hidden="false" customHeight="true" outlineLevel="0" collapsed="false">
      <c r="B104" s="24"/>
      <c r="C104" s="24"/>
      <c r="D104" s="25" t="s">
        <v>179</v>
      </c>
      <c r="E104" s="26" t="s">
        <v>84</v>
      </c>
      <c r="F104" s="27" t="s">
        <v>77</v>
      </c>
    </row>
    <row r="105" customFormat="false" ht="15" hidden="false" customHeight="true" outlineLevel="0" collapsed="false">
      <c r="B105" s="24"/>
      <c r="C105" s="24"/>
      <c r="D105" s="25" t="s">
        <v>180</v>
      </c>
      <c r="E105" s="26" t="s">
        <v>86</v>
      </c>
      <c r="F105" s="27" t="s">
        <v>77</v>
      </c>
    </row>
    <row r="106" customFormat="false" ht="15" hidden="false" customHeight="true" outlineLevel="0" collapsed="false">
      <c r="B106" s="24"/>
      <c r="C106" s="24"/>
      <c r="D106" s="25" t="s">
        <v>181</v>
      </c>
      <c r="E106" s="26" t="s">
        <v>84</v>
      </c>
      <c r="F106" s="27"/>
    </row>
    <row r="107" customFormat="false" ht="15" hidden="false" customHeight="true" outlineLevel="0" collapsed="false">
      <c r="B107" s="24"/>
      <c r="C107" s="24"/>
      <c r="D107" s="25" t="s">
        <v>182</v>
      </c>
      <c r="E107" s="26" t="s">
        <v>86</v>
      </c>
      <c r="F107" s="27"/>
    </row>
    <row r="108" customFormat="false" ht="15" hidden="false" customHeight="true" outlineLevel="0" collapsed="false">
      <c r="B108" s="22"/>
      <c r="C108" s="23" t="s">
        <v>183</v>
      </c>
      <c r="D108" s="22"/>
      <c r="E108" s="22"/>
      <c r="F108" s="22"/>
    </row>
    <row r="109" customFormat="false" ht="15" hidden="false" customHeight="true" outlineLevel="0" collapsed="false">
      <c r="B109" s="24"/>
      <c r="C109" s="24"/>
      <c r="D109" s="25" t="s">
        <v>184</v>
      </c>
      <c r="E109" s="26" t="s">
        <v>107</v>
      </c>
      <c r="F109" s="27" t="s">
        <v>77</v>
      </c>
    </row>
    <row r="110" customFormat="false" ht="15" hidden="false" customHeight="true" outlineLevel="0" collapsed="false">
      <c r="B110" s="24"/>
      <c r="C110" s="24"/>
      <c r="D110" s="25" t="s">
        <v>185</v>
      </c>
      <c r="E110" s="26" t="s">
        <v>86</v>
      </c>
      <c r="F110" s="27" t="s">
        <v>77</v>
      </c>
    </row>
    <row r="111" customFormat="false" ht="15" hidden="false" customHeight="true" outlineLevel="0" collapsed="false">
      <c r="B111" s="24"/>
      <c r="C111" s="24"/>
      <c r="D111" s="25" t="s">
        <v>186</v>
      </c>
      <c r="E111" s="26" t="s">
        <v>84</v>
      </c>
      <c r="F111" s="27" t="s">
        <v>77</v>
      </c>
    </row>
    <row r="112" customFormat="false" ht="15" hidden="false" customHeight="true" outlineLevel="0" collapsed="false">
      <c r="B112" s="24"/>
      <c r="C112" s="24"/>
      <c r="D112" s="25" t="s">
        <v>187</v>
      </c>
      <c r="E112" s="26" t="s">
        <v>188</v>
      </c>
      <c r="F112" s="27" t="s">
        <v>77</v>
      </c>
    </row>
    <row r="113" customFormat="false" ht="15" hidden="false" customHeight="true" outlineLevel="0" collapsed="false">
      <c r="B113" s="24"/>
      <c r="C113" s="24"/>
      <c r="D113" s="25" t="s">
        <v>189</v>
      </c>
      <c r="E113" s="26" t="s">
        <v>107</v>
      </c>
      <c r="F113" s="27"/>
    </row>
    <row r="114" customFormat="false" ht="15" hidden="false" customHeight="true" outlineLevel="0" collapsed="false">
      <c r="B114" s="22"/>
      <c r="C114" s="23" t="s">
        <v>190</v>
      </c>
      <c r="D114" s="22"/>
      <c r="E114" s="22"/>
      <c r="F114" s="22"/>
    </row>
    <row r="115" customFormat="false" ht="15" hidden="false" customHeight="true" outlineLevel="0" collapsed="false">
      <c r="B115" s="24"/>
      <c r="C115" s="24"/>
      <c r="D115" s="25" t="s">
        <v>191</v>
      </c>
      <c r="E115" s="26" t="s">
        <v>81</v>
      </c>
      <c r="F115" s="27" t="s">
        <v>77</v>
      </c>
    </row>
    <row r="116" customFormat="false" ht="15" hidden="false" customHeight="true" outlineLevel="0" collapsed="false">
      <c r="B116" s="24"/>
      <c r="C116" s="24"/>
      <c r="D116" s="25" t="s">
        <v>192</v>
      </c>
      <c r="E116" s="26" t="s">
        <v>76</v>
      </c>
      <c r="F116" s="27" t="s">
        <v>77</v>
      </c>
    </row>
    <row r="117" customFormat="false" ht="15" hidden="false" customHeight="true" outlineLevel="0" collapsed="false">
      <c r="B117" s="24"/>
      <c r="C117" s="24"/>
      <c r="D117" s="25" t="s">
        <v>193</v>
      </c>
      <c r="E117" s="26" t="s">
        <v>79</v>
      </c>
      <c r="F117" s="27" t="s">
        <v>77</v>
      </c>
    </row>
    <row r="118" customFormat="false" ht="15" hidden="false" customHeight="true" outlineLevel="0" collapsed="false">
      <c r="B118" s="24"/>
      <c r="C118" s="24"/>
      <c r="D118" s="25" t="s">
        <v>194</v>
      </c>
      <c r="E118" s="26" t="s">
        <v>95</v>
      </c>
      <c r="F118" s="27" t="s">
        <v>77</v>
      </c>
    </row>
    <row r="119" customFormat="false" ht="15" hidden="false" customHeight="true" outlineLevel="0" collapsed="false">
      <c r="B119" s="24"/>
      <c r="C119" s="24"/>
      <c r="D119" s="25" t="s">
        <v>195</v>
      </c>
      <c r="E119" s="26" t="s">
        <v>196</v>
      </c>
      <c r="F119" s="27"/>
    </row>
    <row r="120" customFormat="false" ht="15" hidden="false" customHeight="true" outlineLevel="0" collapsed="false">
      <c r="B120" s="24"/>
      <c r="C120" s="24"/>
      <c r="D120" s="25" t="s">
        <v>197</v>
      </c>
      <c r="E120" s="26" t="s">
        <v>81</v>
      </c>
      <c r="F120" s="27"/>
    </row>
    <row r="121" customFormat="false" ht="15" hidden="false" customHeight="true" outlineLevel="0" collapsed="false">
      <c r="B121" s="22"/>
      <c r="C121" s="23" t="s">
        <v>198</v>
      </c>
      <c r="D121" s="22"/>
      <c r="E121" s="22"/>
      <c r="F121" s="22"/>
    </row>
    <row r="122" customFormat="false" ht="15" hidden="false" customHeight="true" outlineLevel="0" collapsed="false">
      <c r="B122" s="24"/>
      <c r="C122" s="24"/>
      <c r="D122" s="25" t="s">
        <v>199</v>
      </c>
      <c r="E122" s="26" t="s">
        <v>84</v>
      </c>
      <c r="F122" s="27" t="s">
        <v>77</v>
      </c>
    </row>
    <row r="123" customFormat="false" ht="15" hidden="false" customHeight="true" outlineLevel="0" collapsed="false">
      <c r="B123" s="24"/>
      <c r="C123" s="24"/>
      <c r="D123" s="25" t="s">
        <v>200</v>
      </c>
      <c r="E123" s="26" t="s">
        <v>130</v>
      </c>
      <c r="F123" s="27" t="s">
        <v>77</v>
      </c>
    </row>
    <row r="124" customFormat="false" ht="15" hidden="false" customHeight="true" outlineLevel="0" collapsed="false">
      <c r="B124" s="24"/>
      <c r="C124" s="24"/>
      <c r="D124" s="25" t="s">
        <v>201</v>
      </c>
      <c r="E124" s="26" t="s">
        <v>84</v>
      </c>
      <c r="F124" s="27" t="s">
        <v>77</v>
      </c>
    </row>
    <row r="125" customFormat="false" ht="15" hidden="false" customHeight="true" outlineLevel="0" collapsed="false">
      <c r="B125" s="24"/>
      <c r="C125" s="24"/>
      <c r="D125" s="25" t="s">
        <v>202</v>
      </c>
      <c r="E125" s="26" t="s">
        <v>86</v>
      </c>
      <c r="F125" s="27"/>
    </row>
    <row r="126" customFormat="false" ht="15" hidden="false" customHeight="true" outlineLevel="0" collapsed="false">
      <c r="B126" s="24"/>
      <c r="C126" s="24"/>
      <c r="D126" s="25" t="s">
        <v>203</v>
      </c>
      <c r="E126" s="26" t="s">
        <v>107</v>
      </c>
      <c r="F126" s="27"/>
    </row>
    <row r="127" customFormat="false" ht="15" hidden="false" customHeight="true" outlineLevel="0" collapsed="false">
      <c r="B127" s="22"/>
      <c r="C127" s="23" t="s">
        <v>204</v>
      </c>
      <c r="D127" s="22"/>
      <c r="E127" s="22"/>
      <c r="F127" s="22"/>
    </row>
    <row r="128" customFormat="false" ht="15" hidden="false" customHeight="true" outlineLevel="0" collapsed="false">
      <c r="B128" s="24"/>
      <c r="C128" s="24"/>
      <c r="D128" s="25" t="s">
        <v>205</v>
      </c>
      <c r="E128" s="26" t="s">
        <v>81</v>
      </c>
      <c r="F128" s="27" t="s">
        <v>77</v>
      </c>
    </row>
    <row r="129" customFormat="false" ht="15" hidden="false" customHeight="true" outlineLevel="0" collapsed="false">
      <c r="B129" s="24"/>
      <c r="C129" s="24"/>
      <c r="D129" s="25" t="s">
        <v>206</v>
      </c>
      <c r="E129" s="26" t="s">
        <v>81</v>
      </c>
      <c r="F129" s="27" t="s">
        <v>77</v>
      </c>
    </row>
    <row r="130" customFormat="false" ht="15" hidden="false" customHeight="true" outlineLevel="0" collapsed="false">
      <c r="B130" s="24"/>
      <c r="C130" s="24"/>
      <c r="D130" s="25" t="s">
        <v>207</v>
      </c>
      <c r="E130" s="26" t="s">
        <v>84</v>
      </c>
      <c r="F130" s="27" t="s">
        <v>77</v>
      </c>
    </row>
    <row r="131" customFormat="false" ht="15" hidden="false" customHeight="true" outlineLevel="0" collapsed="false">
      <c r="B131" s="24"/>
      <c r="C131" s="24"/>
      <c r="D131" s="25" t="s">
        <v>208</v>
      </c>
      <c r="E131" s="26" t="s">
        <v>107</v>
      </c>
      <c r="F131" s="27"/>
    </row>
    <row r="132" customFormat="false" ht="15" hidden="false" customHeight="true" outlineLevel="0" collapsed="false">
      <c r="B132" s="24"/>
      <c r="C132" s="24"/>
      <c r="D132" s="25" t="s">
        <v>209</v>
      </c>
      <c r="E132" s="26" t="s">
        <v>79</v>
      </c>
      <c r="F132" s="27"/>
    </row>
    <row r="134" customFormat="false" ht="30" hidden="false" customHeight="true" outlineLevel="0" collapsed="false">
      <c r="B134" s="28" t="s">
        <v>210</v>
      </c>
      <c r="C134" s="28"/>
      <c r="D134" s="28"/>
      <c r="E134" s="28"/>
      <c r="F134" s="28"/>
    </row>
    <row r="135" customFormat="false" ht="15" hidden="false" customHeight="true" outlineLevel="0" collapsed="false">
      <c r="B135" s="22"/>
      <c r="C135" s="23" t="s">
        <v>211</v>
      </c>
      <c r="D135" s="22"/>
      <c r="E135" s="22"/>
      <c r="F135" s="22"/>
    </row>
    <row r="136" customFormat="false" ht="15" hidden="false" customHeight="true" outlineLevel="0" collapsed="false">
      <c r="B136" s="22"/>
      <c r="C136" s="29" t="s">
        <v>212</v>
      </c>
      <c r="D136" s="29"/>
      <c r="E136" s="22"/>
      <c r="F136" s="22"/>
    </row>
    <row r="137" customFormat="false" ht="15" hidden="false" customHeight="true" outlineLevel="0" collapsed="false">
      <c r="B137" s="24"/>
      <c r="C137" s="24"/>
      <c r="D137" s="25" t="s">
        <v>213</v>
      </c>
      <c r="E137" s="26" t="s">
        <v>84</v>
      </c>
      <c r="F137" s="27" t="s">
        <v>77</v>
      </c>
    </row>
    <row r="138" customFormat="false" ht="15" hidden="false" customHeight="true" outlineLevel="0" collapsed="false">
      <c r="B138" s="24"/>
      <c r="C138" s="24"/>
      <c r="D138" s="25" t="s">
        <v>214</v>
      </c>
      <c r="E138" s="26" t="s">
        <v>130</v>
      </c>
      <c r="F138" s="27" t="s">
        <v>77</v>
      </c>
    </row>
    <row r="139" customFormat="false" ht="15" hidden="false" customHeight="true" outlineLevel="0" collapsed="false">
      <c r="B139" s="24"/>
      <c r="C139" s="24"/>
      <c r="D139" s="25" t="s">
        <v>215</v>
      </c>
      <c r="E139" s="26" t="s">
        <v>216</v>
      </c>
      <c r="F139" s="27" t="s">
        <v>77</v>
      </c>
    </row>
    <row r="140" customFormat="false" ht="15" hidden="false" customHeight="true" outlineLevel="0" collapsed="false">
      <c r="B140" s="24"/>
      <c r="C140" s="24"/>
      <c r="D140" s="24"/>
      <c r="E140" s="24"/>
      <c r="F140" s="24"/>
    </row>
    <row r="141" customFormat="false" ht="15" hidden="false" customHeight="true" outlineLevel="0" collapsed="false">
      <c r="B141" s="22"/>
      <c r="C141" s="23" t="s">
        <v>217</v>
      </c>
      <c r="D141" s="22"/>
      <c r="E141" s="22"/>
      <c r="F141" s="22"/>
    </row>
    <row r="142" customFormat="false" ht="15" hidden="false" customHeight="true" outlineLevel="0" collapsed="false">
      <c r="B142" s="22"/>
      <c r="C142" s="29" t="s">
        <v>218</v>
      </c>
      <c r="D142" s="29"/>
      <c r="E142" s="22"/>
      <c r="F142" s="22"/>
    </row>
    <row r="143" customFormat="false" ht="15" hidden="false" customHeight="true" outlineLevel="0" collapsed="false">
      <c r="B143" s="24"/>
      <c r="C143" s="24"/>
      <c r="D143" s="25" t="s">
        <v>219</v>
      </c>
      <c r="E143" s="26" t="s">
        <v>220</v>
      </c>
      <c r="F143" s="27" t="s">
        <v>77</v>
      </c>
    </row>
    <row r="144" customFormat="false" ht="15" hidden="false" customHeight="true" outlineLevel="0" collapsed="false">
      <c r="B144" s="24"/>
      <c r="C144" s="24"/>
      <c r="D144" s="25" t="s">
        <v>221</v>
      </c>
      <c r="E144" s="26" t="s">
        <v>79</v>
      </c>
      <c r="F144" s="27" t="s">
        <v>77</v>
      </c>
    </row>
    <row r="145" customFormat="false" ht="15" hidden="false" customHeight="true" outlineLevel="0" collapsed="false">
      <c r="B145" s="24"/>
      <c r="C145" s="24"/>
      <c r="D145" s="25" t="s">
        <v>222</v>
      </c>
      <c r="E145" s="26" t="s">
        <v>107</v>
      </c>
      <c r="F145" s="27" t="s">
        <v>77</v>
      </c>
    </row>
    <row r="146" customFormat="false" ht="15" hidden="false" customHeight="true" outlineLevel="0" collapsed="false">
      <c r="B146" s="30"/>
    </row>
    <row r="147" customFormat="false" ht="15" hidden="false" customHeight="true" outlineLevel="0" collapsed="false">
      <c r="B147" s="30"/>
    </row>
    <row r="148" customFormat="false" ht="30" hidden="false" customHeight="true" outlineLevel="0" collapsed="false">
      <c r="B148" s="31" t="s">
        <v>223</v>
      </c>
      <c r="C148" s="31"/>
      <c r="D148" s="31"/>
      <c r="E148" s="31"/>
      <c r="F148" s="31"/>
    </row>
    <row r="149" customFormat="false" ht="15" hidden="false" customHeight="true" outlineLevel="0" collapsed="false">
      <c r="C149" s="32" t="s">
        <v>224</v>
      </c>
    </row>
    <row r="150" customFormat="false" ht="15" hidden="false" customHeight="true" outlineLevel="0" collapsed="false">
      <c r="C150" s="33"/>
      <c r="D150" s="34" t="s">
        <v>225</v>
      </c>
    </row>
    <row r="151" customFormat="false" ht="15" hidden="false" customHeight="true" outlineLevel="0" collapsed="false">
      <c r="C151" s="32" t="s">
        <v>226</v>
      </c>
    </row>
    <row r="152" customFormat="false" ht="15" hidden="false" customHeight="true" outlineLevel="0" collapsed="false">
      <c r="D152" s="34" t="s">
        <v>227</v>
      </c>
    </row>
    <row r="153" customFormat="false" ht="30" hidden="false" customHeight="true" outlineLevel="0" collapsed="false">
      <c r="B153" s="35" t="s">
        <v>228</v>
      </c>
    </row>
  </sheetData>
  <mergeCells count="4">
    <mergeCell ref="B3:F3"/>
    <mergeCell ref="B134:F134"/>
    <mergeCell ref="B140:F140"/>
    <mergeCell ref="B148:F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1:AC7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8.66796875" defaultRowHeight="21" zeroHeight="false" outlineLevelRow="0" outlineLevelCol="0"/>
  <cols>
    <col collapsed="false" customWidth="true" hidden="false" outlineLevel="0" max="1" min="1" style="36" width="2.83"/>
    <col collapsed="false" customWidth="true" hidden="false" outlineLevel="0" max="2" min="2" style="36" width="5.83"/>
    <col collapsed="false" customWidth="true" hidden="false" outlineLevel="0" max="10" min="3" style="36" width="13.83"/>
    <col collapsed="false" customWidth="true" hidden="false" outlineLevel="0" max="12" min="11" style="36" width="3.83"/>
    <col collapsed="false" customWidth="true" hidden="false" outlineLevel="0" max="14" min="13" style="36" width="21.83"/>
    <col collapsed="false" customWidth="true" hidden="false" outlineLevel="0" max="16" min="15" style="36" width="3.83"/>
    <col collapsed="false" customWidth="true" hidden="false" outlineLevel="0" max="17" min="17" style="36" width="21.83"/>
    <col collapsed="false" customWidth="true" hidden="false" outlineLevel="0" max="18" min="18" style="36" width="3.83"/>
    <col collapsed="false" customWidth="true" hidden="false" outlineLevel="0" max="19" min="19" style="36" width="21.83"/>
    <col collapsed="false" customWidth="true" hidden="false" outlineLevel="0" max="20" min="20" style="36" width="3.83"/>
    <col collapsed="false" customWidth="true" hidden="false" outlineLevel="0" max="21" min="21" style="36" width="21.83"/>
    <col collapsed="false" customWidth="true" hidden="false" outlineLevel="0" max="22" min="22" style="36" width="3.83"/>
    <col collapsed="false" customWidth="false" hidden="false" outlineLevel="0" max="16384" min="23" style="36" width="8.67"/>
  </cols>
  <sheetData>
    <row r="1" customFormat="false" ht="15" hidden="false" customHeight="true" outlineLevel="0" collapsed="false"/>
    <row r="2" customFormat="false" ht="33.75" hidden="false" customHeight="true" outlineLevel="0" collapsed="false">
      <c r="B2" s="2" t="s">
        <v>229</v>
      </c>
      <c r="C2" s="2"/>
      <c r="D2" s="2"/>
      <c r="E2" s="2"/>
      <c r="F2" s="2"/>
      <c r="G2" s="2"/>
      <c r="H2" s="2"/>
      <c r="I2" s="2"/>
      <c r="J2" s="2"/>
    </row>
    <row r="3" customFormat="false" ht="13.5" hidden="false" customHeight="true" outlineLevel="0" collapsed="false"/>
    <row r="4" s="37" customFormat="true" ht="33.75" hidden="false" customHeight="true" outlineLevel="0" collapsed="false">
      <c r="B4" s="38" t="s">
        <v>230</v>
      </c>
      <c r="C4" s="38" t="s">
        <v>231</v>
      </c>
      <c r="D4" s="38"/>
      <c r="E4" s="38"/>
      <c r="F4" s="39" t="s">
        <v>232</v>
      </c>
      <c r="G4" s="38" t="s">
        <v>233</v>
      </c>
      <c r="H4" s="38"/>
      <c r="I4" s="38"/>
      <c r="J4" s="38"/>
      <c r="M4" s="38" t="s">
        <v>234</v>
      </c>
      <c r="N4" s="40"/>
      <c r="O4" s="40"/>
      <c r="P4" s="40"/>
      <c r="Q4" s="39" t="s">
        <v>235</v>
      </c>
      <c r="R4" s="40"/>
      <c r="S4" s="39" t="s">
        <v>236</v>
      </c>
      <c r="T4" s="40"/>
      <c r="U4" s="39" t="s">
        <v>237</v>
      </c>
      <c r="V4" s="40"/>
      <c r="X4" s="41" t="s">
        <v>238</v>
      </c>
      <c r="Y4" s="39"/>
      <c r="AA4" s="41" t="s">
        <v>239</v>
      </c>
      <c r="AB4" s="39"/>
      <c r="AC4" s="39"/>
    </row>
    <row r="5" customFormat="false" ht="21" hidden="false" customHeight="true" outlineLevel="0" collapsed="false">
      <c r="B5" s="42" t="s">
        <v>240</v>
      </c>
      <c r="C5" s="43" t="s">
        <v>241</v>
      </c>
      <c r="D5" s="43"/>
      <c r="E5" s="43"/>
      <c r="F5" s="44"/>
      <c r="G5" s="43" t="s">
        <v>242</v>
      </c>
      <c r="H5" s="43"/>
      <c r="I5" s="43"/>
      <c r="J5" s="43"/>
      <c r="M5" s="45" t="s">
        <v>243</v>
      </c>
      <c r="N5" s="46" t="n">
        <f aca="false">F5</f>
        <v>0</v>
      </c>
      <c r="Q5" s="47" t="str">
        <f aca="false">'Package Reference'!B6</f>
        <v>Basic Intake</v>
      </c>
      <c r="S5" s="47" t="str">
        <f aca="false">'Access Models'!B6</f>
        <v>Managed service</v>
      </c>
      <c r="U5" s="47" t="str">
        <f aca="false">'Complexity Reference'!L5</f>
        <v>No support</v>
      </c>
      <c r="X5" s="48" t="s">
        <v>244</v>
      </c>
      <c r="Y5" s="48"/>
      <c r="AA5" s="48" t="s">
        <v>245</v>
      </c>
      <c r="AB5" s="48"/>
      <c r="AC5" s="48"/>
    </row>
    <row r="6" customFormat="false" ht="21" hidden="false" customHeight="true" outlineLevel="0" collapsed="false">
      <c r="B6" s="42" t="s">
        <v>246</v>
      </c>
      <c r="C6" s="43" t="s">
        <v>247</v>
      </c>
      <c r="D6" s="43"/>
      <c r="E6" s="43"/>
      <c r="F6" s="49" t="s">
        <v>248</v>
      </c>
      <c r="G6" s="43" t="s">
        <v>249</v>
      </c>
      <c r="H6" s="43"/>
      <c r="I6" s="43"/>
      <c r="J6" s="43"/>
      <c r="K6" s="36" t="s">
        <v>250</v>
      </c>
      <c r="M6" s="45" t="s">
        <v>251</v>
      </c>
      <c r="N6" s="46" t="str">
        <f aca="false">F6</f>
        <v>Basic Intake</v>
      </c>
      <c r="Q6" s="47" t="str">
        <f aca="false">'Package Reference'!B7</f>
        <v>Basic+ AI Triage</v>
      </c>
      <c r="S6" s="47" t="str">
        <f aca="false">'Access Models'!B7</f>
        <v>Logic visibility</v>
      </c>
      <c r="U6" s="47" t="str">
        <f aca="false">'Complexity Reference'!L6</f>
        <v>Light support</v>
      </c>
      <c r="X6" s="50" t="s">
        <v>252</v>
      </c>
      <c r="Y6" s="50"/>
      <c r="AA6" s="50" t="s">
        <v>253</v>
      </c>
      <c r="AB6" s="50"/>
      <c r="AC6" s="50"/>
    </row>
    <row r="7" customFormat="false" ht="21" hidden="false" customHeight="true" outlineLevel="0" collapsed="false">
      <c r="B7" s="42" t="s">
        <v>254</v>
      </c>
      <c r="C7" s="43" t="s">
        <v>255</v>
      </c>
      <c r="D7" s="43"/>
      <c r="E7" s="43"/>
      <c r="F7" s="49" t="s">
        <v>256</v>
      </c>
      <c r="G7" s="43" t="s">
        <v>257</v>
      </c>
      <c r="H7" s="43"/>
      <c r="I7" s="43"/>
      <c r="J7" s="43"/>
      <c r="K7" s="36" t="s">
        <v>250</v>
      </c>
      <c r="M7" s="45" t="s">
        <v>258</v>
      </c>
      <c r="N7" s="46" t="str">
        <f aca="false">F7</f>
        <v>Managed service</v>
      </c>
      <c r="Q7" s="47" t="str">
        <f aca="false">'Package Reference'!B8</f>
        <v>Pro Multi-Channel</v>
      </c>
      <c r="S7" s="47" t="str">
        <f aca="false">'Access Models'!B8</f>
        <v>Limited admin</v>
      </c>
      <c r="U7" s="47" t="str">
        <f aca="false">'Complexity Reference'!L7</f>
        <v>Normal managed support</v>
      </c>
      <c r="X7" s="51" t="s">
        <v>259</v>
      </c>
      <c r="Y7" s="51"/>
      <c r="AA7" s="51" t="s">
        <v>260</v>
      </c>
      <c r="AB7" s="51"/>
      <c r="AC7" s="51"/>
    </row>
    <row r="8" customFormat="false" ht="21" hidden="false" customHeight="true" outlineLevel="0" collapsed="false">
      <c r="B8" s="42" t="s">
        <v>261</v>
      </c>
      <c r="C8" s="43" t="s">
        <v>238</v>
      </c>
      <c r="D8" s="43"/>
      <c r="E8" s="43"/>
      <c r="F8" s="49" t="s">
        <v>259</v>
      </c>
      <c r="G8" s="43" t="s">
        <v>262</v>
      </c>
      <c r="H8" s="43"/>
      <c r="I8" s="43"/>
      <c r="J8" s="43"/>
      <c r="K8" s="36" t="s">
        <v>250</v>
      </c>
      <c r="M8" s="45" t="s">
        <v>238</v>
      </c>
      <c r="N8" s="46" t="str">
        <f aca="false">F8</f>
        <v>Normal managed support</v>
      </c>
      <c r="Q8" s="47" t="str">
        <f aca="false">'Package Reference'!B9</f>
        <v>Managed Operations</v>
      </c>
      <c r="S8" s="47" t="str">
        <f aca="false">'Access Models'!B9</f>
        <v>Client-owned workspace</v>
      </c>
      <c r="U8" s="47" t="str">
        <f aca="false">'Complexity Reference'!L8</f>
        <v>High-responsibility maintenance</v>
      </c>
      <c r="X8" s="52" t="s">
        <v>263</v>
      </c>
      <c r="Y8" s="52"/>
      <c r="AA8" s="52" t="s">
        <v>264</v>
      </c>
      <c r="AB8" s="52"/>
      <c r="AC8" s="52"/>
    </row>
    <row r="9" customFormat="false" ht="21" hidden="false" customHeight="true" outlineLevel="0" collapsed="false">
      <c r="B9" s="43"/>
      <c r="C9" s="43"/>
      <c r="D9" s="43"/>
      <c r="E9" s="43"/>
      <c r="G9" s="43"/>
      <c r="H9" s="43"/>
      <c r="I9" s="43"/>
      <c r="J9" s="43"/>
      <c r="K9" s="36" t="s">
        <v>250</v>
      </c>
      <c r="M9" s="45" t="s">
        <v>265</v>
      </c>
      <c r="N9" s="46" t="str">
        <f aca="false">"CHF "&amp;ROUND(F35,0)&amp;" - CHF "&amp;ROUND(F36,0)</f>
        <v>CHF 2750 - CHF 8300</v>
      </c>
      <c r="Q9" s="47" t="str">
        <f aca="false">'Package Reference'!B10</f>
        <v>Agentic Automation</v>
      </c>
      <c r="S9" s="47" t="str">
        <f aca="false">'Access Models'!B10</f>
        <v>Build-and-transfer</v>
      </c>
      <c r="U9" s="47" t="str">
        <f aca="false">'Complexity Reference'!L9</f>
        <v>Premium transfer support</v>
      </c>
      <c r="X9" s="53" t="s">
        <v>266</v>
      </c>
      <c r="Y9" s="53"/>
      <c r="AA9" s="53" t="s">
        <v>267</v>
      </c>
      <c r="AB9" s="53"/>
      <c r="AC9" s="53"/>
    </row>
    <row r="10" customFormat="false" ht="21" hidden="false" customHeight="true" outlineLevel="0" collapsed="false">
      <c r="B10" s="42" t="s">
        <v>268</v>
      </c>
      <c r="C10" s="54" t="s">
        <v>269</v>
      </c>
      <c r="D10" s="55"/>
      <c r="E10" s="55"/>
      <c r="F10" s="56" t="n">
        <f aca="false">IFERROR(VLOOKUP(F6,'Package Reference'!$B$6:$F$10,2,FALSE()),0)</f>
        <v>750</v>
      </c>
      <c r="G10" s="55" t="s">
        <v>270</v>
      </c>
      <c r="H10" s="55"/>
      <c r="I10" s="55"/>
      <c r="J10" s="57"/>
      <c r="K10" s="36" t="s">
        <v>250</v>
      </c>
      <c r="M10" s="45" t="s">
        <v>271</v>
      </c>
      <c r="N10" s="46" t="str">
        <f aca="false">"CHF "&amp;ROUND(F37,0)&amp;" - CHF "&amp;ROUND(F38,0)</f>
        <v>CHF 650 - CHF 2050</v>
      </c>
      <c r="Q10" s="47"/>
      <c r="S10" s="47"/>
      <c r="U10" s="47" t="str">
        <f aca="false">'Complexity Reference'!L10</f>
        <v>Critical support</v>
      </c>
      <c r="X10" s="58" t="s">
        <v>272</v>
      </c>
      <c r="Y10" s="58"/>
      <c r="AA10" s="58" t="s">
        <v>273</v>
      </c>
      <c r="AB10" s="58"/>
      <c r="AC10" s="58"/>
    </row>
    <row r="11" customFormat="false" ht="21" hidden="false" customHeight="true" outlineLevel="0" collapsed="false">
      <c r="B11" s="42" t="s">
        <v>274</v>
      </c>
      <c r="C11" s="54" t="s">
        <v>275</v>
      </c>
      <c r="D11" s="55"/>
      <c r="E11" s="55"/>
      <c r="F11" s="56" t="n">
        <f aca="false">IFERROR(VLOOKUP(F6,'Package Reference'!$B$6:$F$10,3,FALSE()),0)</f>
        <v>1800</v>
      </c>
      <c r="G11" s="55" t="s">
        <v>270</v>
      </c>
      <c r="H11" s="55"/>
      <c r="I11" s="55"/>
      <c r="J11" s="57"/>
      <c r="K11" s="36" t="s">
        <v>250</v>
      </c>
      <c r="M11" s="45" t="s">
        <v>276</v>
      </c>
      <c r="N11" s="46" t="str">
        <f aca="false">"CHF "&amp;ROUND(F39,0)</f>
        <v>CHF 5500</v>
      </c>
    </row>
    <row r="12" customFormat="false" ht="21" hidden="false" customHeight="true" outlineLevel="0" collapsed="false">
      <c r="B12" s="42" t="s">
        <v>277</v>
      </c>
      <c r="C12" s="54" t="s">
        <v>278</v>
      </c>
      <c r="D12" s="55"/>
      <c r="E12" s="55"/>
      <c r="F12" s="56" t="n">
        <f aca="false">IFERROR(VLOOKUP(F6,'Package Reference'!$B$6:$F$10,4,FALSE()),0)</f>
        <v>150</v>
      </c>
      <c r="G12" s="55" t="s">
        <v>270</v>
      </c>
      <c r="H12" s="55"/>
      <c r="I12" s="55"/>
      <c r="J12" s="57"/>
      <c r="K12" s="36" t="s">
        <v>250</v>
      </c>
      <c r="M12" s="45" t="s">
        <v>279</v>
      </c>
      <c r="N12" s="46" t="str">
        <f aca="false">"CHF "&amp;ROUND(F40,0)</f>
        <v>CHF 1400</v>
      </c>
    </row>
    <row r="13" customFormat="false" ht="21" hidden="false" customHeight="true" outlineLevel="0" collapsed="false">
      <c r="B13" s="42" t="s">
        <v>280</v>
      </c>
      <c r="C13" s="54" t="s">
        <v>281</v>
      </c>
      <c r="D13" s="55"/>
      <c r="E13" s="55"/>
      <c r="F13" s="56" t="n">
        <f aca="false">IFERROR(VLOOKUP(F6,'Package Reference'!$B$6:$F$10,5,FALSE()),0)</f>
        <v>450</v>
      </c>
      <c r="G13" s="55" t="s">
        <v>270</v>
      </c>
      <c r="H13" s="55"/>
      <c r="I13" s="55"/>
      <c r="J13" s="57"/>
      <c r="K13" s="36" t="s">
        <v>250</v>
      </c>
      <c r="M13" s="45" t="s">
        <v>282</v>
      </c>
      <c r="N13" s="46" t="s">
        <v>283</v>
      </c>
    </row>
    <row r="14" customFormat="false" ht="21" hidden="false" customHeight="true" outlineLevel="0" collapsed="false">
      <c r="B14" s="42" t="s">
        <v>284</v>
      </c>
      <c r="C14" s="54" t="s">
        <v>285</v>
      </c>
      <c r="D14" s="55"/>
      <c r="E14" s="55"/>
      <c r="F14" s="56" t="n">
        <f aca="false">IFERROR(VLOOKUP(F7,'Access Models'!$B$6:$L$10,10,FALSE()),1)</f>
        <v>1</v>
      </c>
      <c r="G14" s="55" t="s">
        <v>286</v>
      </c>
      <c r="H14" s="55"/>
      <c r="I14" s="55"/>
      <c r="J14" s="57"/>
      <c r="K14" s="36" t="s">
        <v>250</v>
      </c>
      <c r="M14" s="45" t="s">
        <v>287</v>
      </c>
      <c r="N14" s="46" t="s">
        <v>288</v>
      </c>
    </row>
    <row r="15" customFormat="false" ht="21" hidden="false" customHeight="true" outlineLevel="0" collapsed="false">
      <c r="B15" s="42" t="s">
        <v>289</v>
      </c>
      <c r="C15" s="54" t="s">
        <v>290</v>
      </c>
      <c r="D15" s="55"/>
      <c r="E15" s="55"/>
      <c r="F15" s="56" t="n">
        <f aca="false">IFERROR(VLOOKUP(F8,'Complexity Reference'!$L$5:$N$10,2,FALSE()),1)</f>
        <v>1</v>
      </c>
      <c r="G15" s="55" t="s">
        <v>291</v>
      </c>
      <c r="H15" s="55"/>
      <c r="I15" s="55"/>
      <c r="J15" s="57"/>
      <c r="K15" s="36" t="s">
        <v>250</v>
      </c>
    </row>
    <row r="16" customFormat="false" ht="21" hidden="false" customHeight="true" outlineLevel="0" collapsed="false">
      <c r="K16" s="36" t="s">
        <v>250</v>
      </c>
    </row>
    <row r="17" customFormat="false" ht="21" hidden="false" customHeight="true" outlineLevel="0" collapsed="false">
      <c r="B17" s="42" t="s">
        <v>292</v>
      </c>
      <c r="C17" s="54" t="s">
        <v>293</v>
      </c>
      <c r="D17" s="55"/>
      <c r="E17" s="55"/>
      <c r="F17" s="59" t="n">
        <v>0</v>
      </c>
      <c r="G17" s="55" t="s">
        <v>294</v>
      </c>
      <c r="H17" s="55"/>
      <c r="I17" s="55"/>
      <c r="J17" s="57"/>
      <c r="K17" s="36" t="s">
        <v>250</v>
      </c>
      <c r="M17" s="38" t="s">
        <v>295</v>
      </c>
      <c r="N17" s="38"/>
      <c r="O17" s="38"/>
      <c r="P17" s="38"/>
      <c r="Q17" s="38"/>
    </row>
    <row r="18" customFormat="false" ht="21" hidden="false" customHeight="true" outlineLevel="0" collapsed="false">
      <c r="B18" s="42" t="s">
        <v>296</v>
      </c>
      <c r="C18" s="54" t="s">
        <v>297</v>
      </c>
      <c r="D18" s="55"/>
      <c r="E18" s="55"/>
      <c r="F18" s="59" t="n">
        <v>1</v>
      </c>
      <c r="G18" s="55" t="s">
        <v>298</v>
      </c>
      <c r="H18" s="55"/>
      <c r="I18" s="55"/>
      <c r="J18" s="57"/>
      <c r="K18" s="36" t="s">
        <v>250</v>
      </c>
      <c r="M18" s="60" t="s">
        <v>299</v>
      </c>
      <c r="N18" s="60"/>
      <c r="O18" s="60"/>
      <c r="P18" s="60"/>
      <c r="Q18" s="60"/>
    </row>
    <row r="19" customFormat="false" ht="21" hidden="false" customHeight="true" outlineLevel="0" collapsed="false">
      <c r="B19" s="42" t="s">
        <v>300</v>
      </c>
      <c r="C19" s="54" t="s">
        <v>301</v>
      </c>
      <c r="D19" s="55"/>
      <c r="E19" s="55"/>
      <c r="F19" s="59" t="n">
        <v>1</v>
      </c>
      <c r="G19" s="61" t="s">
        <v>302</v>
      </c>
      <c r="H19" s="61"/>
      <c r="I19" s="61"/>
      <c r="J19" s="62"/>
      <c r="K19" s="36" t="s">
        <v>250</v>
      </c>
      <c r="M19" s="46" t="s">
        <v>303</v>
      </c>
    </row>
    <row r="20" customFormat="false" ht="21" hidden="false" customHeight="true" outlineLevel="0" collapsed="false">
      <c r="B20" s="42" t="s">
        <v>304</v>
      </c>
      <c r="C20" s="54" t="s">
        <v>305</v>
      </c>
      <c r="D20" s="55"/>
      <c r="E20" s="55"/>
      <c r="F20" s="59" t="n">
        <v>1</v>
      </c>
      <c r="G20" s="61" t="s">
        <v>306</v>
      </c>
      <c r="H20" s="61"/>
      <c r="I20" s="61"/>
      <c r="J20" s="62"/>
      <c r="K20" s="36" t="s">
        <v>250</v>
      </c>
      <c r="M20" s="46" t="s">
        <v>307</v>
      </c>
    </row>
    <row r="21" customFormat="false" ht="21" hidden="false" customHeight="true" outlineLevel="0" collapsed="false">
      <c r="B21" s="42" t="s">
        <v>308</v>
      </c>
      <c r="C21" s="54" t="s">
        <v>309</v>
      </c>
      <c r="D21" s="55"/>
      <c r="E21" s="55"/>
      <c r="F21" s="59" t="n">
        <v>0</v>
      </c>
      <c r="G21" s="61" t="s">
        <v>310</v>
      </c>
      <c r="H21" s="61"/>
      <c r="I21" s="61"/>
      <c r="J21" s="62"/>
      <c r="K21" s="36" t="s">
        <v>250</v>
      </c>
      <c r="N21" s="46" t="s">
        <v>311</v>
      </c>
    </row>
    <row r="22" customFormat="false" ht="21" hidden="false" customHeight="true" outlineLevel="0" collapsed="false">
      <c r="B22" s="42" t="s">
        <v>312</v>
      </c>
      <c r="C22" s="54" t="s">
        <v>313</v>
      </c>
      <c r="D22" s="55"/>
      <c r="E22" s="55"/>
      <c r="F22" s="59" t="n">
        <v>1</v>
      </c>
      <c r="G22" s="61" t="s">
        <v>314</v>
      </c>
      <c r="H22" s="61"/>
      <c r="I22" s="61"/>
      <c r="J22" s="62"/>
      <c r="K22" s="36" t="s">
        <v>250</v>
      </c>
      <c r="N22" s="46" t="s">
        <v>315</v>
      </c>
    </row>
    <row r="23" customFormat="false" ht="21" hidden="false" customHeight="true" outlineLevel="0" collapsed="false">
      <c r="B23" s="42" t="s">
        <v>316</v>
      </c>
      <c r="C23" s="54" t="s">
        <v>317</v>
      </c>
      <c r="D23" s="55"/>
      <c r="E23" s="55"/>
      <c r="F23" s="59" t="n">
        <v>1</v>
      </c>
      <c r="G23" s="61" t="s">
        <v>318</v>
      </c>
      <c r="H23" s="61"/>
      <c r="I23" s="61"/>
      <c r="J23" s="62"/>
      <c r="K23" s="36" t="s">
        <v>250</v>
      </c>
      <c r="N23" s="46" t="s">
        <v>319</v>
      </c>
    </row>
    <row r="24" customFormat="false" ht="21" hidden="false" customHeight="true" outlineLevel="0" collapsed="false">
      <c r="B24" s="42" t="s">
        <v>320</v>
      </c>
      <c r="C24" s="54" t="s">
        <v>321</v>
      </c>
      <c r="D24" s="55"/>
      <c r="E24" s="55"/>
      <c r="F24" s="63"/>
      <c r="G24" s="64" t="s">
        <v>322</v>
      </c>
      <c r="H24" s="64"/>
      <c r="I24" s="64"/>
      <c r="J24" s="65"/>
      <c r="K24" s="36" t="s">
        <v>250</v>
      </c>
      <c r="N24" s="46" t="s">
        <v>323</v>
      </c>
    </row>
    <row r="25" customFormat="false" ht="21" hidden="false" customHeight="true" outlineLevel="0" collapsed="false">
      <c r="B25" s="42" t="s">
        <v>324</v>
      </c>
      <c r="C25" s="54" t="s">
        <v>325</v>
      </c>
      <c r="D25" s="55"/>
      <c r="E25" s="55"/>
      <c r="F25" s="63"/>
      <c r="G25" s="64" t="s">
        <v>326</v>
      </c>
      <c r="H25" s="64"/>
      <c r="I25" s="64"/>
      <c r="J25" s="65"/>
      <c r="K25" s="36" t="s">
        <v>250</v>
      </c>
    </row>
    <row r="26" customFormat="false" ht="21" hidden="false" customHeight="true" outlineLevel="0" collapsed="false">
      <c r="B26" s="42" t="s">
        <v>327</v>
      </c>
      <c r="C26" s="54" t="s">
        <v>328</v>
      </c>
      <c r="D26" s="55"/>
      <c r="E26" s="55"/>
      <c r="F26" s="63" t="n">
        <v>0</v>
      </c>
      <c r="G26" s="64" t="s">
        <v>329</v>
      </c>
      <c r="H26" s="64"/>
      <c r="I26" s="64"/>
      <c r="J26" s="65"/>
      <c r="K26" s="36" t="s">
        <v>250</v>
      </c>
      <c r="M26" s="60" t="s">
        <v>330</v>
      </c>
      <c r="N26" s="60"/>
      <c r="O26" s="60"/>
      <c r="P26" s="60"/>
      <c r="Q26" s="60"/>
    </row>
    <row r="27" customFormat="false" ht="21" hidden="false" customHeight="true" outlineLevel="0" collapsed="false">
      <c r="B27" s="42" t="s">
        <v>331</v>
      </c>
      <c r="C27" s="54" t="s">
        <v>332</v>
      </c>
      <c r="D27" s="55"/>
      <c r="E27" s="55"/>
      <c r="F27" s="63" t="n">
        <v>0</v>
      </c>
      <c r="G27" s="64" t="s">
        <v>333</v>
      </c>
      <c r="H27" s="64"/>
      <c r="I27" s="64"/>
      <c r="J27" s="65"/>
      <c r="K27" s="36" t="s">
        <v>250</v>
      </c>
      <c r="M27" s="46" t="s">
        <v>334</v>
      </c>
    </row>
    <row r="28" customFormat="false" ht="21" hidden="false" customHeight="true" outlineLevel="0" collapsed="false">
      <c r="M28" s="46" t="s">
        <v>307</v>
      </c>
    </row>
    <row r="29" customFormat="false" ht="21" hidden="false" customHeight="true" outlineLevel="0" collapsed="false">
      <c r="C29" s="66" t="s">
        <v>335</v>
      </c>
      <c r="D29" s="67"/>
      <c r="E29" s="67"/>
      <c r="F29" s="68" t="n">
        <f aca="false">IF(F24="",F14,F24)</f>
        <v>1</v>
      </c>
      <c r="G29" s="67" t="s">
        <v>336</v>
      </c>
      <c r="H29" s="67"/>
      <c r="I29" s="67"/>
      <c r="J29" s="69"/>
      <c r="N29" s="46" t="s">
        <v>337</v>
      </c>
    </row>
    <row r="30" customFormat="false" ht="21" hidden="false" customHeight="true" outlineLevel="0" collapsed="false">
      <c r="C30" s="66" t="s">
        <v>338</v>
      </c>
      <c r="D30" s="67"/>
      <c r="E30" s="67"/>
      <c r="F30" s="68" t="n">
        <f aca="false">IF(F25="",F15,F25)</f>
        <v>1</v>
      </c>
      <c r="G30" s="67" t="s">
        <v>336</v>
      </c>
      <c r="H30" s="67"/>
      <c r="I30" s="67"/>
      <c r="J30" s="69"/>
      <c r="N30" s="46" t="s">
        <v>339</v>
      </c>
    </row>
    <row r="31" customFormat="false" ht="21" hidden="false" customHeight="true" outlineLevel="0" collapsed="false">
      <c r="C31" s="66" t="s">
        <v>340</v>
      </c>
      <c r="D31" s="67"/>
      <c r="E31" s="67"/>
      <c r="F31" s="68" t="n">
        <f aca="false">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67" t="s">
        <v>336</v>
      </c>
      <c r="H31" s="67"/>
      <c r="I31" s="67"/>
      <c r="J31" s="69"/>
      <c r="N31" s="46" t="s">
        <v>341</v>
      </c>
    </row>
    <row r="32" customFormat="false" ht="21" hidden="false" customHeight="true" outlineLevel="0" collapsed="false">
      <c r="C32" s="66" t="s">
        <v>342</v>
      </c>
      <c r="D32" s="67"/>
      <c r="E32" s="67"/>
      <c r="F32" s="68" t="n">
        <f aca="false">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67" t="s">
        <v>336</v>
      </c>
      <c r="H32" s="67"/>
      <c r="I32" s="67"/>
      <c r="J32" s="69"/>
    </row>
    <row r="33" customFormat="false" ht="21" hidden="false" customHeight="true" outlineLevel="0" collapsed="false">
      <c r="C33" s="66" t="s">
        <v>343</v>
      </c>
      <c r="D33" s="67"/>
      <c r="E33" s="67"/>
      <c r="F33" s="68" t="n">
        <f aca="false">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67" t="s">
        <v>336</v>
      </c>
      <c r="H33" s="67"/>
      <c r="I33" s="67"/>
      <c r="J33" s="69"/>
      <c r="M33" s="60" t="s">
        <v>344</v>
      </c>
      <c r="N33" s="60"/>
      <c r="O33" s="60"/>
      <c r="P33" s="60"/>
      <c r="Q33" s="60"/>
    </row>
    <row r="34" customFormat="false" ht="21" hidden="false" customHeight="true" outlineLevel="0" collapsed="false">
      <c r="C34" s="66" t="s">
        <v>345</v>
      </c>
      <c r="D34" s="67"/>
      <c r="E34" s="67"/>
      <c r="F34" s="68" t="n">
        <f aca="false">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67" t="s">
        <v>336</v>
      </c>
      <c r="H34" s="67"/>
      <c r="I34" s="67"/>
      <c r="J34" s="69"/>
      <c r="M34" s="46" t="s">
        <v>346</v>
      </c>
    </row>
    <row r="35" customFormat="false" ht="21" hidden="false" customHeight="true" outlineLevel="0" collapsed="false">
      <c r="C35" s="66" t="s">
        <v>347</v>
      </c>
      <c r="D35" s="67"/>
      <c r="E35" s="67"/>
      <c r="F35" s="68" t="n">
        <f aca="false">ROUND(F31*F22*F23*F29,0)</f>
        <v>2750</v>
      </c>
      <c r="G35" s="67" t="s">
        <v>336</v>
      </c>
      <c r="H35" s="67"/>
      <c r="I35" s="67"/>
      <c r="J35" s="69"/>
      <c r="M35" s="46" t="s">
        <v>307</v>
      </c>
    </row>
    <row r="36" customFormat="false" ht="21" hidden="false" customHeight="true" outlineLevel="0" collapsed="false">
      <c r="C36" s="66" t="s">
        <v>348</v>
      </c>
      <c r="D36" s="67"/>
      <c r="E36" s="67"/>
      <c r="F36" s="68" t="n">
        <f aca="false">ROUND(F32*F22*F23*F29,0)</f>
        <v>8300</v>
      </c>
      <c r="G36" s="67" t="s">
        <v>336</v>
      </c>
      <c r="H36" s="67"/>
      <c r="I36" s="67"/>
      <c r="J36" s="69"/>
      <c r="N36" s="46" t="s">
        <v>349</v>
      </c>
    </row>
    <row r="37" customFormat="false" ht="21" hidden="false" customHeight="true" outlineLevel="0" collapsed="false">
      <c r="C37" s="66" t="s">
        <v>350</v>
      </c>
      <c r="D37" s="67"/>
      <c r="E37" s="67"/>
      <c r="F37" s="68" t="n">
        <f aca="false">ROUND(F33*F22*F30,0)</f>
        <v>650</v>
      </c>
      <c r="G37" s="67" t="s">
        <v>336</v>
      </c>
      <c r="H37" s="67"/>
      <c r="I37" s="67"/>
      <c r="J37" s="69"/>
      <c r="N37" s="46" t="s">
        <v>351</v>
      </c>
    </row>
    <row r="38" customFormat="false" ht="21" hidden="false" customHeight="true" outlineLevel="0" collapsed="false">
      <c r="C38" s="66" t="s">
        <v>352</v>
      </c>
      <c r="D38" s="67"/>
      <c r="E38" s="67"/>
      <c r="F38" s="68" t="n">
        <f aca="false">ROUND(F34*F22*F30,0)</f>
        <v>2050</v>
      </c>
      <c r="G38" s="67" t="s">
        <v>336</v>
      </c>
      <c r="H38" s="67"/>
      <c r="I38" s="67"/>
      <c r="J38" s="69"/>
      <c r="N38" s="46" t="s">
        <v>353</v>
      </c>
    </row>
    <row r="39" customFormat="false" ht="21" hidden="false" customHeight="true" outlineLevel="0" collapsed="false">
      <c r="C39" s="66" t="s">
        <v>354</v>
      </c>
      <c r="D39" s="67"/>
      <c r="E39" s="67"/>
      <c r="F39" s="68" t="n">
        <f aca="false">ROUND((F35+F36)/2,-2)</f>
        <v>5500</v>
      </c>
      <c r="G39" s="67" t="s">
        <v>336</v>
      </c>
      <c r="H39" s="67"/>
      <c r="I39" s="67"/>
      <c r="J39" s="69"/>
    </row>
    <row r="40" customFormat="false" ht="21" hidden="false" customHeight="true" outlineLevel="0" collapsed="false">
      <c r="C40" s="66" t="s">
        <v>355</v>
      </c>
      <c r="D40" s="67"/>
      <c r="E40" s="67"/>
      <c r="F40" s="68" t="n">
        <f aca="false">ROUND((F37+F38)/2,-2)</f>
        <v>1400</v>
      </c>
      <c r="G40" s="67" t="s">
        <v>336</v>
      </c>
      <c r="H40" s="67"/>
      <c r="I40" s="67"/>
      <c r="J40" s="69"/>
      <c r="M40" s="60" t="s">
        <v>356</v>
      </c>
      <c r="N40" s="60"/>
      <c r="O40" s="60"/>
      <c r="P40" s="60"/>
      <c r="Q40" s="60"/>
    </row>
    <row r="41" customFormat="false" ht="21" hidden="false" customHeight="true" outlineLevel="0" collapsed="false">
      <c r="M41" s="46" t="s">
        <v>357</v>
      </c>
    </row>
    <row r="42" customFormat="false" ht="21" hidden="false" customHeight="true" outlineLevel="0" collapsed="false">
      <c r="C42" s="70" t="s">
        <v>358</v>
      </c>
      <c r="D42" s="70"/>
      <c r="E42" s="70"/>
      <c r="F42" s="70"/>
      <c r="G42" s="70"/>
      <c r="H42" s="70"/>
      <c r="I42" s="70"/>
      <c r="J42" s="70"/>
      <c r="M42" s="46" t="s">
        <v>307</v>
      </c>
    </row>
    <row r="43" customFormat="false" ht="21" hidden="false" customHeight="true" outlineLevel="0" collapsed="false">
      <c r="C43" s="71" t="s">
        <v>359</v>
      </c>
      <c r="D43" s="71"/>
      <c r="E43" s="71"/>
      <c r="F43" s="72" t="s">
        <v>360</v>
      </c>
      <c r="G43" s="71" t="s">
        <v>361</v>
      </c>
      <c r="H43" s="71"/>
      <c r="I43" s="71"/>
      <c r="J43" s="71"/>
      <c r="N43" s="46" t="s">
        <v>362</v>
      </c>
    </row>
    <row r="44" customFormat="false" ht="21" hidden="false" customHeight="true" outlineLevel="0" collapsed="false">
      <c r="C44" s="73" t="s">
        <v>363</v>
      </c>
      <c r="D44" s="74"/>
      <c r="E44" s="74"/>
      <c r="F44" s="75" t="str">
        <f aca="false">IF(F6="","empty",IF(F10=0,"FAIL","OK"))</f>
        <v>OK</v>
      </c>
      <c r="G44" s="74" t="str">
        <f aca="false">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74"/>
      <c r="I44" s="74"/>
      <c r="J44" s="76"/>
      <c r="N44" s="46" t="s">
        <v>364</v>
      </c>
    </row>
    <row r="45" customFormat="false" ht="21" hidden="false" customHeight="true" outlineLevel="0" collapsed="false">
      <c r="C45" s="73" t="s">
        <v>365</v>
      </c>
      <c r="D45" s="74"/>
      <c r="E45" s="74"/>
      <c r="F45" s="75" t="str">
        <f aca="false">IF(F7="","empty",IF(IFERROR(MATCH(F7,'Access Models'!$B$6:$B$10,0),0)=0,"FAIL","OK"))</f>
        <v>OK</v>
      </c>
      <c r="G45" s="74" t="str">
        <f aca="false">IF(F7="","Pick an access model from column L.",IF(IFERROR(MATCH(F7,'Access Models'!$B$6:$B$10,0),0)=0,"Access model doesn't match Access Models — use column L list.","Access model found."))</f>
        <v>Access model found.</v>
      </c>
      <c r="H45" s="74"/>
      <c r="I45" s="74"/>
      <c r="J45" s="76"/>
      <c r="N45" s="46" t="s">
        <v>366</v>
      </c>
    </row>
    <row r="46" customFormat="false" ht="21" hidden="false" customHeight="true" outlineLevel="0" collapsed="false">
      <c r="C46" s="73" t="s">
        <v>367</v>
      </c>
      <c r="D46" s="74"/>
      <c r="E46" s="74"/>
      <c r="F46" s="75" t="str">
        <f aca="false">IF(F8="","empty",IF(AND(F15=0,F8&lt;&gt;"No support"),"FAIL","OK"))</f>
        <v>OK</v>
      </c>
      <c r="G46" s="74" t="str">
        <f aca="false">IF(F8="","Pick a support model from column N.",IF(AND(F15=0,F8&lt;&gt;"No support"),"Support model doesn't match Complexity Reference — use column N list.","Support model found."))</f>
        <v>Support model found.</v>
      </c>
      <c r="H46" s="74"/>
      <c r="I46" s="74"/>
      <c r="J46" s="76"/>
    </row>
    <row r="47" customFormat="false" ht="21" hidden="false" customHeight="true" outlineLevel="0" collapsed="false">
      <c r="C47" s="73" t="s">
        <v>368</v>
      </c>
      <c r="D47" s="74"/>
      <c r="E47" s="74"/>
      <c r="F47" s="75" t="str">
        <f aca="false">IF(F22&lt;=1,"n/a",IF(OR(F20="",F20=0),"WARN","OK"))</f>
        <v>n/a</v>
      </c>
      <c r="G47" s="74" t="str">
        <f aca="false">IF(F22&lt;=1,"Sensitive multiplier not applied.",IF(OR(F20="",F20=0),"Sensitive data multiplier applied but Approval workflows count is 0 — sensitive content should always have at least 1 approval workflow.","Sensitive + approval workflow OK."))</f>
        <v>Sensitive multiplier not applied.</v>
      </c>
      <c r="H47" s="74"/>
      <c r="I47" s="74"/>
      <c r="J47" s="76"/>
      <c r="M47" s="60" t="s">
        <v>369</v>
      </c>
      <c r="N47" s="60"/>
      <c r="O47" s="60"/>
      <c r="P47" s="60"/>
      <c r="Q47" s="60"/>
    </row>
    <row r="48" customFormat="false" ht="21" hidden="false" customHeight="true" outlineLevel="0" collapsed="false">
      <c r="C48" s="73" t="s">
        <v>370</v>
      </c>
      <c r="D48" s="74"/>
      <c r="E48" s="74"/>
      <c r="F48" s="75" t="str">
        <f aca="false">IF(OR(F23="",F23&lt;=1),"OK",IF(F23&gt;1.3,"WARN","OK"))</f>
        <v>OK</v>
      </c>
      <c r="G48" s="74" t="str">
        <f aca="false">IF(OR(F23="",F23&lt;=1),"No urgency premium.",IF(F23&gt;1.3,"Urgency multiplier above 1.3 — confirm client accepts premium delivery cost.","Urgency premium within normal range."))</f>
        <v>No urgency premium.</v>
      </c>
      <c r="H48" s="74"/>
      <c r="I48" s="74"/>
      <c r="J48" s="76"/>
      <c r="M48" s="46" t="s">
        <v>307</v>
      </c>
    </row>
    <row r="49" customFormat="false" ht="21" hidden="false" customHeight="true" outlineLevel="0" collapsed="false">
      <c r="C49" s="73" t="s">
        <v>371</v>
      </c>
      <c r="D49" s="74"/>
      <c r="E49" s="74"/>
      <c r="F49" s="75" t="str">
        <f aca="false">IF(AND(F7="Build-and-transfer",F8="No support"),"NOTE","n/a")</f>
        <v>n/a</v>
      </c>
      <c r="G49" s="74" t="str">
        <f aca="false">IF(AND(F7="Build-and-transfer",F8="No support"),"Build-and-transfer + No support: client takes full operational risk after handover. Document this clearly.","")</f>
        <v/>
      </c>
      <c r="H49" s="74"/>
      <c r="I49" s="74"/>
      <c r="J49" s="76"/>
      <c r="N49" s="46" t="s">
        <v>372</v>
      </c>
    </row>
    <row r="50" customFormat="false" ht="21" hidden="false" customHeight="true" outlineLevel="0" collapsed="false">
      <c r="C50" s="73" t="s">
        <v>373</v>
      </c>
      <c r="D50" s="74"/>
      <c r="E50" s="74"/>
      <c r="F50" s="75" t="str">
        <f aca="false">IF(AND(F6="Basic Intake",OR(F21="",F21=0)=FALSE()),"WARN","OK")</f>
        <v>OK</v>
      </c>
      <c r="G50" s="74" t="str">
        <f aca="false">IF(AND(F6="Basic Intake",OR(F21="",F21=0)=FALSE()),"Reporting layer on Basic Intake — consider upgrading to Managed Operations or higher.","Reporting layer fits selected package.")</f>
        <v>Reporting layer fits selected package.</v>
      </c>
      <c r="H50" s="74"/>
      <c r="I50" s="74"/>
      <c r="J50" s="76"/>
      <c r="N50" s="46" t="s">
        <v>374</v>
      </c>
    </row>
    <row r="51" customFormat="false" ht="21" hidden="false" customHeight="true" outlineLevel="0" collapsed="false">
      <c r="C51" s="77"/>
      <c r="D51" s="77"/>
      <c r="E51" s="77"/>
      <c r="N51" s="46" t="s">
        <v>375</v>
      </c>
    </row>
    <row r="52" customFormat="false" ht="21" hidden="false" customHeight="true" outlineLevel="0" collapsed="false">
      <c r="C52" s="78"/>
      <c r="D52" s="77"/>
      <c r="E52" s="79" t="s">
        <v>376</v>
      </c>
      <c r="F52" s="80" t="s">
        <v>377</v>
      </c>
      <c r="G52" s="78" t="s">
        <v>378</v>
      </c>
      <c r="H52" s="43"/>
      <c r="I52" s="43"/>
      <c r="J52" s="43"/>
      <c r="N52" s="45" t="s">
        <v>379</v>
      </c>
    </row>
    <row r="53" customFormat="false" ht="21" hidden="false" customHeight="true" outlineLevel="0" collapsed="false">
      <c r="C53" s="77"/>
      <c r="D53" s="77"/>
      <c r="E53" s="77"/>
      <c r="F53" s="80" t="s">
        <v>380</v>
      </c>
      <c r="G53" s="78" t="s">
        <v>381</v>
      </c>
      <c r="H53" s="43"/>
      <c r="I53" s="43"/>
      <c r="J53" s="43"/>
      <c r="N53" s="46" t="s">
        <v>382</v>
      </c>
    </row>
    <row r="54" customFormat="false" ht="21" hidden="false" customHeight="true" outlineLevel="0" collapsed="false">
      <c r="C54" s="77"/>
      <c r="D54" s="77"/>
      <c r="E54" s="77"/>
      <c r="F54" s="80" t="s">
        <v>383</v>
      </c>
      <c r="G54" s="78" t="s">
        <v>384</v>
      </c>
      <c r="H54" s="43"/>
      <c r="I54" s="43"/>
      <c r="J54" s="43"/>
      <c r="N54" s="46" t="s">
        <v>385</v>
      </c>
    </row>
    <row r="55" customFormat="false" ht="21" hidden="false" customHeight="true" outlineLevel="0" collapsed="false">
      <c r="C55" s="77"/>
      <c r="D55" s="77"/>
      <c r="E55" s="77"/>
      <c r="F55" s="80" t="s">
        <v>386</v>
      </c>
      <c r="G55" s="78" t="s">
        <v>387</v>
      </c>
      <c r="H55" s="43"/>
      <c r="I55" s="43"/>
      <c r="J55" s="43"/>
      <c r="N55" s="46" t="s">
        <v>388</v>
      </c>
    </row>
    <row r="56" customFormat="false" ht="21" hidden="false" customHeight="true" outlineLevel="0" collapsed="false">
      <c r="C56" s="77"/>
      <c r="D56" s="77"/>
      <c r="E56" s="77"/>
      <c r="N56" s="45" t="s">
        <v>389</v>
      </c>
    </row>
    <row r="57" customFormat="false" ht="21" hidden="false" customHeight="true" outlineLevel="0" collapsed="false">
      <c r="C57" s="77"/>
      <c r="D57" s="77"/>
      <c r="E57" s="77"/>
      <c r="N57" s="46" t="s">
        <v>390</v>
      </c>
    </row>
    <row r="58" customFormat="false" ht="21" hidden="false" customHeight="true" outlineLevel="0" collapsed="false">
      <c r="C58" s="81" t="s">
        <v>391</v>
      </c>
      <c r="D58" s="81"/>
      <c r="E58" s="81"/>
      <c r="F58" s="81"/>
      <c r="G58" s="81"/>
      <c r="H58" s="81"/>
      <c r="I58" s="81"/>
      <c r="J58" s="81"/>
      <c r="N58" s="46" t="s">
        <v>392</v>
      </c>
    </row>
    <row r="60" customFormat="false" ht="21" hidden="false" customHeight="true" outlineLevel="0" collapsed="false">
      <c r="C60" s="82"/>
      <c r="D60" s="82" t="s">
        <v>393</v>
      </c>
      <c r="E60" s="83" t="s">
        <v>394</v>
      </c>
      <c r="F60" s="83"/>
      <c r="G60" s="83"/>
      <c r="H60" s="83"/>
      <c r="I60" s="83"/>
      <c r="J60" s="83"/>
    </row>
    <row r="61" customFormat="false" ht="21" hidden="false" customHeight="true" outlineLevel="0" collapsed="false">
      <c r="C61" s="82"/>
      <c r="D61" s="82" t="s">
        <v>395</v>
      </c>
      <c r="E61" s="83" t="s">
        <v>396</v>
      </c>
      <c r="F61" s="83"/>
      <c r="G61" s="83"/>
      <c r="H61" s="83"/>
      <c r="I61" s="83"/>
      <c r="J61" s="83"/>
      <c r="M61" s="60" t="s">
        <v>397</v>
      </c>
      <c r="N61" s="60"/>
      <c r="O61" s="60"/>
      <c r="P61" s="60"/>
      <c r="Q61" s="60"/>
    </row>
    <row r="62" customFormat="false" ht="21" hidden="false" customHeight="true" outlineLevel="0" collapsed="false">
      <c r="C62" s="82"/>
      <c r="D62" s="82" t="s">
        <v>398</v>
      </c>
      <c r="E62" s="83" t="s">
        <v>399</v>
      </c>
      <c r="F62" s="83"/>
      <c r="G62" s="83"/>
      <c r="H62" s="83"/>
      <c r="I62" s="83"/>
      <c r="J62" s="83"/>
      <c r="M62" s="84"/>
      <c r="N62" s="84" t="s">
        <v>231</v>
      </c>
      <c r="O62" s="84"/>
      <c r="P62" s="84" t="s">
        <v>232</v>
      </c>
      <c r="Q62" s="85"/>
    </row>
    <row r="63" customFormat="false" ht="21" hidden="false" customHeight="true" outlineLevel="0" collapsed="false">
      <c r="C63" s="86"/>
      <c r="D63" s="86"/>
      <c r="E63" s="86"/>
      <c r="F63" s="86"/>
      <c r="G63" s="86"/>
      <c r="H63" s="86"/>
      <c r="I63" s="86"/>
      <c r="M63" s="87"/>
      <c r="N63" s="87" t="s">
        <v>400</v>
      </c>
      <c r="O63" s="88"/>
      <c r="P63" s="88" t="n">
        <v>0</v>
      </c>
      <c r="Q63" s="89"/>
    </row>
    <row r="64" customFormat="false" ht="21" hidden="false" customHeight="true" outlineLevel="0" collapsed="false">
      <c r="C64" s="90"/>
      <c r="D64" s="90" t="s">
        <v>258</v>
      </c>
      <c r="E64" s="91" t="s">
        <v>401</v>
      </c>
      <c r="F64" s="91" t="s">
        <v>401</v>
      </c>
      <c r="G64" s="91" t="s">
        <v>402</v>
      </c>
      <c r="H64" s="91" t="s">
        <v>402</v>
      </c>
      <c r="I64" s="91" t="s">
        <v>402</v>
      </c>
      <c r="J64" s="91"/>
      <c r="M64" s="87"/>
      <c r="N64" s="87" t="s">
        <v>403</v>
      </c>
      <c r="O64" s="88"/>
      <c r="P64" s="88" t="n">
        <v>1</v>
      </c>
      <c r="Q64" s="89"/>
    </row>
    <row r="65" customFormat="false" ht="21" hidden="false" customHeight="true" outlineLevel="0" collapsed="false">
      <c r="C65" s="90"/>
      <c r="D65" s="91"/>
      <c r="E65" s="91" t="s">
        <v>404</v>
      </c>
      <c r="F65" s="91" t="s">
        <v>405</v>
      </c>
      <c r="G65" s="91" t="s">
        <v>404</v>
      </c>
      <c r="H65" s="91" t="s">
        <v>405</v>
      </c>
      <c r="I65" s="91"/>
      <c r="J65" s="91"/>
      <c r="M65" s="87"/>
      <c r="N65" s="87" t="s">
        <v>406</v>
      </c>
      <c r="O65" s="88"/>
      <c r="P65" s="88" t="n">
        <v>1</v>
      </c>
      <c r="Q65" s="89"/>
    </row>
    <row r="66" customFormat="false" ht="21" hidden="false" customHeight="true" outlineLevel="0" collapsed="false">
      <c r="M66" s="87"/>
      <c r="N66" s="87" t="s">
        <v>407</v>
      </c>
      <c r="O66" s="88"/>
      <c r="P66" s="88" t="n">
        <v>1</v>
      </c>
      <c r="Q66" s="89"/>
    </row>
    <row r="67" customFormat="false" ht="21" hidden="false" customHeight="true" outlineLevel="0" collapsed="false">
      <c r="C67" s="92"/>
      <c r="D67" s="93" t="s">
        <v>408</v>
      </c>
      <c r="E67" s="94" t="n">
        <f aca="false">F35</f>
        <v>2750</v>
      </c>
      <c r="F67" s="94" t="n">
        <f aca="false">F36</f>
        <v>8300</v>
      </c>
      <c r="G67" s="94" t="n">
        <f aca="false">F37</f>
        <v>650</v>
      </c>
      <c r="H67" s="94" t="n">
        <f aca="false">F38</f>
        <v>2050</v>
      </c>
      <c r="I67" s="95" t="s">
        <v>409</v>
      </c>
      <c r="J67" s="96"/>
      <c r="M67" s="87"/>
      <c r="N67" s="87" t="s">
        <v>410</v>
      </c>
      <c r="O67" s="88"/>
      <c r="P67" s="88" t="n">
        <v>0</v>
      </c>
      <c r="Q67" s="89"/>
    </row>
    <row r="68" customFormat="false" ht="21" hidden="false" customHeight="true" outlineLevel="0" collapsed="false">
      <c r="C68" s="97"/>
      <c r="D68" s="98" t="s">
        <v>411</v>
      </c>
      <c r="E68" s="99" t="n">
        <f aca="false">ROUND(F35*1.3,0)</f>
        <v>3575</v>
      </c>
      <c r="F68" s="99" t="n">
        <f aca="false">ROUND(F36*1.3,0)</f>
        <v>10790</v>
      </c>
      <c r="G68" s="99" t="n">
        <f aca="false">ROUND(F37*12*0.5,0)</f>
        <v>3900</v>
      </c>
      <c r="H68" s="99" t="n">
        <f aca="false">ROUND(F38*12*0.5,0)</f>
        <v>12300</v>
      </c>
      <c r="I68" s="100" t="s">
        <v>412</v>
      </c>
      <c r="J68" s="96"/>
      <c r="M68" s="89"/>
      <c r="N68" s="101" t="s">
        <v>413</v>
      </c>
      <c r="O68" s="89"/>
      <c r="P68" s="89" t="s">
        <v>414</v>
      </c>
      <c r="Q68" s="89"/>
    </row>
    <row r="69" customFormat="false" ht="21" hidden="false" customHeight="true" outlineLevel="0" collapsed="false">
      <c r="C69" s="102"/>
      <c r="D69" s="103" t="s">
        <v>415</v>
      </c>
      <c r="E69" s="104" t="n">
        <f aca="false">ROUND(F35+2.5*12*F37,0)</f>
        <v>22250</v>
      </c>
      <c r="F69" s="104" t="n">
        <f aca="false">ROUND(F36+2.5*12*F38,0)</f>
        <v>69800</v>
      </c>
      <c r="G69" s="94" t="n">
        <v>0</v>
      </c>
      <c r="H69" s="94" t="n">
        <v>0</v>
      </c>
      <c r="I69" s="95" t="s">
        <v>416</v>
      </c>
      <c r="J69" s="96"/>
      <c r="M69" s="89"/>
      <c r="N69" s="101" t="s">
        <v>417</v>
      </c>
      <c r="O69" s="89"/>
      <c r="P69" s="89" t="s">
        <v>418</v>
      </c>
      <c r="Q69" s="89"/>
    </row>
    <row r="70" customFormat="false" ht="21" hidden="false" customHeight="true" outlineLevel="0" collapsed="false">
      <c r="C70" s="86"/>
      <c r="D70" s="86"/>
      <c r="E70" s="86"/>
      <c r="F70" s="86"/>
      <c r="G70" s="86"/>
      <c r="H70" s="86"/>
      <c r="I70" s="86"/>
      <c r="M70" s="89"/>
      <c r="N70" s="101" t="s">
        <v>419</v>
      </c>
      <c r="O70" s="89"/>
      <c r="P70" s="89" t="s">
        <v>420</v>
      </c>
      <c r="Q70" s="89"/>
    </row>
    <row r="71" customFormat="false" ht="21" hidden="false" customHeight="true" outlineLevel="0" collapsed="false">
      <c r="C71" s="105" t="s">
        <v>421</v>
      </c>
      <c r="D71" s="105"/>
      <c r="E71" s="105"/>
      <c r="F71" s="105"/>
      <c r="G71" s="105"/>
      <c r="H71" s="105"/>
      <c r="I71" s="105"/>
      <c r="J71" s="105"/>
    </row>
  </sheetData>
  <mergeCells count="2">
    <mergeCell ref="C58:J58"/>
    <mergeCell ref="C71:J71"/>
  </mergeCells>
  <dataValidations count="3">
    <dataValidation allowBlank="true" errorStyle="stop" operator="between" showDropDown="false" showErrorMessage="true" showInputMessage="true" sqref="F6" type="list">
      <formula1>$Q$5:$Q$9</formula1>
      <formula2>0</formula2>
    </dataValidation>
    <dataValidation allowBlank="true" errorStyle="stop" operator="between" showDropDown="false" showErrorMessage="true" showInputMessage="true" sqref="F7" type="list">
      <formula1>$S$5:$S$9</formula1>
      <formula2>0</formula2>
    </dataValidation>
    <dataValidation allowBlank="true" errorStyle="stop" operator="between" showDropDown="false" showErrorMessage="true" showInputMessage="true" sqref="F8" type="list">
      <formula1>$U$5:$U$10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4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c r="G4" s="106" t="s">
        <v>424</v>
      </c>
      <c r="J4" s="106" t="s">
        <v>424</v>
      </c>
    </row>
    <row r="5" customFormat="false" ht="15.75" hidden="false" customHeight="true" outlineLevel="0" collapsed="false">
      <c r="A5" s="107"/>
      <c r="B5" s="110" t="s">
        <v>425</v>
      </c>
      <c r="C5" s="110"/>
      <c r="D5" s="110"/>
      <c r="E5" s="107"/>
      <c r="G5" s="111" t="s">
        <v>426</v>
      </c>
      <c r="H5" s="112"/>
      <c r="J5" s="111" t="s">
        <v>427</v>
      </c>
      <c r="K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c r="J7" s="116" t="n">
        <v>2</v>
      </c>
      <c r="K7" s="117" t="s">
        <v>430</v>
      </c>
    </row>
    <row r="8" customFormat="false" ht="15.75" hidden="false" customHeight="true" outlineLevel="0" collapsed="false">
      <c r="A8" s="107"/>
      <c r="B8" s="115" t="s">
        <v>431</v>
      </c>
      <c r="C8" s="116" t="n">
        <v>5</v>
      </c>
      <c r="D8" s="117" t="s">
        <v>432</v>
      </c>
      <c r="E8" s="107"/>
      <c r="G8" s="116" t="n">
        <v>2</v>
      </c>
      <c r="H8" s="117" t="s">
        <v>432</v>
      </c>
      <c r="J8" s="116" t="n">
        <v>2</v>
      </c>
      <c r="K8" s="117" t="s">
        <v>432</v>
      </c>
    </row>
    <row r="9" customFormat="false" ht="15.75" hidden="false" customHeight="true" outlineLevel="0" collapsed="false">
      <c r="A9" s="107"/>
      <c r="B9" s="115" t="s">
        <v>433</v>
      </c>
      <c r="C9" s="116" t="n">
        <v>100</v>
      </c>
      <c r="D9" s="117" t="s">
        <v>434</v>
      </c>
      <c r="E9" s="107"/>
      <c r="G9" s="116" t="n">
        <v>80</v>
      </c>
      <c r="H9" s="117" t="s">
        <v>434</v>
      </c>
      <c r="J9" s="116" t="n">
        <v>80</v>
      </c>
      <c r="K9" s="117" t="s">
        <v>434</v>
      </c>
    </row>
    <row r="10" customFormat="false" ht="15.75" hidden="false" customHeight="true" outlineLevel="0" collapsed="false">
      <c r="A10" s="107"/>
      <c r="B10" s="114"/>
      <c r="C10" s="114"/>
      <c r="D10" s="114"/>
      <c r="E10" s="107"/>
      <c r="G10" s="114"/>
      <c r="H10" s="114"/>
      <c r="J10" s="114"/>
      <c r="K10" s="114"/>
    </row>
    <row r="11" customFormat="false" ht="15.75" hidden="false" customHeight="true" outlineLevel="0" collapsed="false">
      <c r="A11" s="107"/>
      <c r="B11" s="113" t="s">
        <v>435</v>
      </c>
      <c r="C11" s="114"/>
      <c r="D11" s="114"/>
      <c r="E11" s="107"/>
      <c r="G11" s="114"/>
      <c r="H11" s="114"/>
      <c r="J11" s="114"/>
      <c r="K11" s="114"/>
    </row>
    <row r="12" customFormat="false" ht="15.75" hidden="false" customHeight="true" outlineLevel="0" collapsed="false">
      <c r="A12" s="107"/>
      <c r="B12" s="115" t="s">
        <v>436</v>
      </c>
      <c r="C12" s="116" t="n">
        <v>5</v>
      </c>
      <c r="D12" s="117" t="s">
        <v>437</v>
      </c>
      <c r="E12" s="107"/>
      <c r="G12" s="116" t="n">
        <v>1</v>
      </c>
      <c r="H12" s="117" t="s">
        <v>437</v>
      </c>
      <c r="J12" s="116" t="n">
        <v>1</v>
      </c>
      <c r="K12" s="117" t="s">
        <v>437</v>
      </c>
    </row>
    <row r="13" customFormat="false" ht="15.75" hidden="false" customHeight="true" outlineLevel="0" collapsed="false">
      <c r="A13" s="107"/>
      <c r="B13" s="115" t="s">
        <v>438</v>
      </c>
      <c r="C13" s="116" t="n">
        <v>200</v>
      </c>
      <c r="D13" s="117" t="s">
        <v>439</v>
      </c>
      <c r="E13" s="107"/>
      <c r="G13" s="116" t="n">
        <v>75</v>
      </c>
      <c r="H13" s="117" t="s">
        <v>439</v>
      </c>
      <c r="J13" s="116" t="n">
        <v>125</v>
      </c>
      <c r="K13" s="117" t="s">
        <v>439</v>
      </c>
    </row>
    <row r="14" customFormat="false" ht="15.75" hidden="false" customHeight="true" outlineLevel="0" collapsed="false">
      <c r="A14" s="107"/>
      <c r="B14" s="114"/>
      <c r="C14" s="114"/>
      <c r="D14" s="114"/>
      <c r="E14" s="107"/>
      <c r="G14" s="114"/>
      <c r="H14" s="114"/>
      <c r="J14" s="114"/>
      <c r="K14" s="114"/>
    </row>
    <row r="15" customFormat="false" ht="15.75" hidden="false" customHeight="true" outlineLevel="0" collapsed="false">
      <c r="A15" s="107"/>
      <c r="B15" s="113" t="s">
        <v>440</v>
      </c>
      <c r="C15" s="114"/>
      <c r="D15" s="114"/>
      <c r="E15" s="107"/>
      <c r="G15" s="114"/>
      <c r="H15" s="114"/>
      <c r="J15" s="114"/>
      <c r="K15" s="114"/>
    </row>
    <row r="16" customFormat="false" ht="15.75" hidden="false" customHeight="true" outlineLevel="0" collapsed="false">
      <c r="A16" s="107"/>
      <c r="B16" s="115" t="s">
        <v>441</v>
      </c>
      <c r="C16" s="116" t="n">
        <v>10</v>
      </c>
      <c r="D16" s="117" t="s">
        <v>442</v>
      </c>
      <c r="E16" s="107"/>
      <c r="G16" s="116" t="n">
        <v>1</v>
      </c>
      <c r="H16" s="117" t="s">
        <v>442</v>
      </c>
      <c r="J16" s="116" t="n">
        <v>2</v>
      </c>
      <c r="K16" s="117" t="s">
        <v>442</v>
      </c>
    </row>
    <row r="17" customFormat="false" ht="15.75" hidden="false" customHeight="true" outlineLevel="0" collapsed="false">
      <c r="A17" s="107"/>
      <c r="B17" s="115" t="s">
        <v>443</v>
      </c>
      <c r="C17" s="116" t="n">
        <v>1500</v>
      </c>
      <c r="D17" s="117" t="s">
        <v>444</v>
      </c>
      <c r="E17" s="107"/>
      <c r="G17" s="116" t="n">
        <v>1000</v>
      </c>
      <c r="H17" s="117" t="s">
        <v>444</v>
      </c>
      <c r="J17" s="116" t="n">
        <v>125</v>
      </c>
      <c r="K17" s="117" t="s">
        <v>444</v>
      </c>
    </row>
    <row r="18" customFormat="false" ht="15.75" hidden="false" customHeight="true" outlineLevel="0" collapsed="false">
      <c r="A18" s="107"/>
      <c r="B18" s="114"/>
      <c r="C18" s="114"/>
      <c r="D18" s="114"/>
      <c r="E18" s="107"/>
      <c r="G18" s="114"/>
      <c r="H18" s="114"/>
      <c r="J18" s="114"/>
      <c r="K18" s="114"/>
    </row>
    <row r="19" customFormat="false" ht="15.75" hidden="false" customHeight="true" outlineLevel="0" collapsed="false">
      <c r="A19" s="107"/>
      <c r="B19" s="113" t="s">
        <v>445</v>
      </c>
      <c r="C19" s="114"/>
      <c r="D19" s="114"/>
      <c r="E19" s="107"/>
      <c r="G19" s="114"/>
      <c r="H19" s="114"/>
      <c r="J19" s="114"/>
      <c r="K19" s="114"/>
    </row>
    <row r="20" customFormat="false" ht="15.75" hidden="false" customHeight="true" outlineLevel="0" collapsed="false">
      <c r="A20" s="107"/>
      <c r="B20" s="115" t="s">
        <v>446</v>
      </c>
      <c r="C20" s="118" t="n">
        <f aca="false">'Quote Calculator'!F39</f>
        <v>5500</v>
      </c>
      <c r="D20" s="117" t="s">
        <v>447</v>
      </c>
      <c r="E20" s="107"/>
      <c r="G20" s="116" t="n">
        <v>3500</v>
      </c>
      <c r="H20" s="117" t="s">
        <v>448</v>
      </c>
      <c r="J20" s="116" t="n">
        <v>2500</v>
      </c>
      <c r="K20" s="117" t="s">
        <v>448</v>
      </c>
    </row>
    <row r="21" customFormat="false" ht="15.75" hidden="false" customHeight="true" outlineLevel="0" collapsed="false">
      <c r="A21" s="107"/>
      <c r="B21" s="115" t="s">
        <v>449</v>
      </c>
      <c r="C21" s="118" t="n">
        <f aca="false">'Quote Calculator'!F40</f>
        <v>1400</v>
      </c>
      <c r="D21" s="117" t="s">
        <v>450</v>
      </c>
      <c r="E21" s="107"/>
      <c r="G21" s="116" t="n">
        <v>1600</v>
      </c>
      <c r="H21" s="117" t="s">
        <v>451</v>
      </c>
      <c r="J21" s="116" t="n">
        <v>800</v>
      </c>
      <c r="K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c r="J23" s="111" t="s">
        <v>453</v>
      </c>
      <c r="K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c r="J25" s="118" t="n">
        <f aca="false">J7*J8*J9*4</f>
        <v>1280</v>
      </c>
      <c r="K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c r="J26" s="118" t="n">
        <f aca="false">J12*J13*4</f>
        <v>500</v>
      </c>
      <c r="K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c r="J27" s="118" t="n">
        <f aca="false">J16*J17</f>
        <v>250</v>
      </c>
      <c r="K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c r="J28" s="119" t="n">
        <f aca="false">SUM(J25:J27)</f>
        <v>2030</v>
      </c>
      <c r="K28" s="113" t="s">
        <v>459</v>
      </c>
    </row>
    <row r="29" customFormat="false" ht="15.75" hidden="false" customHeight="true" outlineLevel="0" collapsed="false">
      <c r="A29" s="107"/>
      <c r="B29" s="117" t="s">
        <v>460</v>
      </c>
      <c r="C29" s="120" t="n">
        <f aca="false">C21</f>
        <v>1400</v>
      </c>
      <c r="D29" s="117" t="s">
        <v>455</v>
      </c>
      <c r="E29" s="107"/>
      <c r="G29" s="120" t="n">
        <f aca="false">G21</f>
        <v>1600</v>
      </c>
      <c r="H29" s="117" t="s">
        <v>455</v>
      </c>
      <c r="J29" s="120" t="n">
        <f aca="false">J21</f>
        <v>800</v>
      </c>
      <c r="K29" s="117" t="s">
        <v>455</v>
      </c>
    </row>
    <row r="30" customFormat="false" ht="15.75" hidden="false" customHeight="true" outlineLevel="0" collapsed="false">
      <c r="A30" s="107"/>
      <c r="B30" s="113" t="s">
        <v>461</v>
      </c>
      <c r="C30" s="121" t="n">
        <f aca="false">C28-C29</f>
        <v>21600</v>
      </c>
      <c r="D30" s="113" t="s">
        <v>455</v>
      </c>
      <c r="E30" s="107"/>
      <c r="G30" s="121" t="n">
        <f aca="false">G28-G29</f>
        <v>2260</v>
      </c>
      <c r="H30" s="113" t="s">
        <v>455</v>
      </c>
      <c r="J30" s="121" t="n">
        <f aca="false">J28-J29</f>
        <v>1230</v>
      </c>
      <c r="K30" s="113" t="s">
        <v>455</v>
      </c>
    </row>
    <row r="31" customFormat="false" ht="15.75" hidden="false" customHeight="true" outlineLevel="0" collapsed="false">
      <c r="A31" s="107"/>
      <c r="B31" s="113" t="s">
        <v>462</v>
      </c>
      <c r="C31" s="122" t="n">
        <f aca="false">C30*12</f>
        <v>259200</v>
      </c>
      <c r="D31" s="113" t="s">
        <v>455</v>
      </c>
      <c r="E31" s="107"/>
      <c r="G31" s="122" t="n">
        <f aca="false">G30*12</f>
        <v>27120</v>
      </c>
      <c r="H31" s="113" t="s">
        <v>455</v>
      </c>
      <c r="J31" s="122" t="n">
        <f aca="false">J30*12</f>
        <v>14760</v>
      </c>
      <c r="K31" s="113" t="s">
        <v>455</v>
      </c>
    </row>
    <row r="32" customFormat="false" ht="15.75" hidden="false" customHeight="true" outlineLevel="0" collapsed="false">
      <c r="B32" s="123" t="s">
        <v>463</v>
      </c>
      <c r="C32" s="124" t="n">
        <f aca="false">C20+C21*12</f>
        <v>22300</v>
      </c>
      <c r="D32" s="125" t="s">
        <v>464</v>
      </c>
      <c r="G32" s="124" t="n">
        <f aca="false">G20+G21*12</f>
        <v>22700</v>
      </c>
      <c r="H32" s="123" t="s">
        <v>455</v>
      </c>
      <c r="J32" s="124" t="n">
        <f aca="false">J20+J21*12</f>
        <v>12100</v>
      </c>
      <c r="K32" s="123" t="s">
        <v>455</v>
      </c>
    </row>
    <row r="33" customFormat="false" ht="15.75" hidden="false" customHeight="true" outlineLevel="0" collapsed="false">
      <c r="A33" s="107"/>
      <c r="B33" s="113" t="s">
        <v>465</v>
      </c>
      <c r="C33" s="126" t="n">
        <f aca="false">IF(C30&lt;=0,"N/A",C20/C30)</f>
        <v>0.25462962962963</v>
      </c>
      <c r="D33" s="113" t="s">
        <v>466</v>
      </c>
      <c r="E33" s="107"/>
      <c r="G33" s="126" t="n">
        <f aca="false">IF(G30&lt;=0,"N/A",G20/G30)</f>
        <v>1.54867256637168</v>
      </c>
      <c r="H33" s="113" t="s">
        <v>466</v>
      </c>
      <c r="J33" s="126" t="n">
        <f aca="false">IF(J30&lt;=0,"N/A",J20/J30)</f>
        <v>2.03252032520325</v>
      </c>
      <c r="K33" s="113" t="s">
        <v>466</v>
      </c>
    </row>
    <row r="34" customFormat="false" ht="15.75" hidden="false" customHeight="true" outlineLevel="0" collapsed="false">
      <c r="A34" s="107"/>
      <c r="B34" s="123" t="s">
        <v>467</v>
      </c>
      <c r="C34" s="127" t="n">
        <f aca="false">IF(C32=0,"N/A",(C31-C20)/C32)</f>
        <v>11.3766816143498</v>
      </c>
      <c r="D34" s="125" t="s">
        <v>468</v>
      </c>
      <c r="E34" s="107"/>
      <c r="G34" s="127" t="n">
        <f aca="false">IF(G32=0,"N/A",(G31-G20)/G32)</f>
        <v>1.04052863436123</v>
      </c>
      <c r="H34" s="123" t="s">
        <v>469</v>
      </c>
      <c r="J34" s="127" t="n">
        <f aca="false">IF(J32=0,"N/A",(J31-J20)/J32)</f>
        <v>1.01322314049587</v>
      </c>
      <c r="K34" s="123" t="s">
        <v>469</v>
      </c>
    </row>
    <row r="35" customFormat="false" ht="15.75" hidden="false" customHeight="true" outlineLevel="0" collapsed="false">
      <c r="A35" s="107"/>
      <c r="B35" s="123" t="s">
        <v>470</v>
      </c>
      <c r="C35" s="128" t="n">
        <f aca="false">IF(C21=0,"N/A",C30*12/(C21*12))</f>
        <v>15.4285714285714</v>
      </c>
      <c r="E35" s="107"/>
      <c r="G35" s="129" t="n">
        <f aca="false">IF(G21=0,"N/A",G30*12/(G21*12))</f>
        <v>1.4125</v>
      </c>
      <c r="H35" s="123" t="s">
        <v>469</v>
      </c>
      <c r="J35" s="129" t="n">
        <f aca="false">IF(J21=0,"N/A",J30*12/(J21*12))</f>
        <v>1.5375</v>
      </c>
      <c r="K35" s="123" t="s">
        <v>469</v>
      </c>
    </row>
    <row r="36" customFormat="false" ht="15.75" hidden="false" customHeight="true" outlineLevel="0" collapsed="false">
      <c r="A36" s="107"/>
      <c r="B36" s="123"/>
      <c r="C36" s="123"/>
      <c r="E36" s="107"/>
      <c r="G36" s="123"/>
      <c r="H36" s="123"/>
      <c r="J36" s="123"/>
      <c r="K36" s="123"/>
    </row>
    <row r="37" customFormat="false" ht="15.75" hidden="false" customHeight="true" outlineLevel="0" collapsed="false">
      <c r="B37" s="110" t="s">
        <v>471</v>
      </c>
      <c r="C37" s="110"/>
      <c r="D37" s="110"/>
      <c r="E37" s="107"/>
    </row>
    <row r="38" customFormat="false" ht="15.75" hidden="false" customHeight="true" outlineLevel="0" collapsed="false">
      <c r="B38" s="123" t="s">
        <v>472</v>
      </c>
      <c r="C38" s="130" t="n">
        <f aca="false">IF(C20+C28=0,"N/A",(C28*12-C20)/12)</f>
        <v>22541.6666666667</v>
      </c>
      <c r="D38" s="125" t="s">
        <v>473</v>
      </c>
      <c r="E38" s="107"/>
      <c r="G38" s="130" t="n">
        <f aca="false">IF(G20+G28=0,"N/A",(G28*12-G20)/12)</f>
        <v>3568.33333333333</v>
      </c>
      <c r="H38" s="125" t="s">
        <v>474</v>
      </c>
      <c r="J38" s="130" t="n">
        <f aca="false">IF(J20+J28=0,"N/A",(J28*12-J20)/12)</f>
        <v>1821.66666666667</v>
      </c>
      <c r="K38" s="125" t="s">
        <v>474</v>
      </c>
    </row>
    <row r="39" customFormat="false" ht="15.75" hidden="false" customHeight="true" outlineLevel="0" collapsed="false">
      <c r="B39" s="125" t="s">
        <v>475</v>
      </c>
      <c r="C39" s="130" t="n">
        <f aca="false">IF(C38="N/A","N/A",C38-C21)</f>
        <v>21141.6666666667</v>
      </c>
      <c r="D39" s="125" t="s">
        <v>476</v>
      </c>
      <c r="E39" s="107"/>
      <c r="G39" s="130" t="n">
        <f aca="false">IF(G38="N/A","N/A",G38-G21)</f>
        <v>1968.33333333333</v>
      </c>
      <c r="H39" s="125" t="s">
        <v>474</v>
      </c>
      <c r="J39" s="130" t="n">
        <f aca="false">IF(J38="N/A","N/A",J38-J21)</f>
        <v>1021.66666666667</v>
      </c>
      <c r="K39" s="125" t="s">
        <v>474</v>
      </c>
    </row>
    <row r="40" customFormat="false" ht="15.75" hidden="false" customHeight="true" outlineLevel="0" collapsed="false">
      <c r="B40" s="123"/>
      <c r="C40" s="125"/>
      <c r="D40" s="125"/>
      <c r="E40" s="107"/>
      <c r="G40" s="125"/>
      <c r="H40" s="125"/>
      <c r="J40" s="125"/>
      <c r="K40" s="125"/>
    </row>
    <row r="41" customFormat="false" ht="15.75" hidden="false" customHeight="true" outlineLevel="0" collapsed="false">
      <c r="B41" s="131" t="s">
        <v>477</v>
      </c>
      <c r="C41" s="131"/>
      <c r="D41" s="131"/>
      <c r="E41" s="107"/>
    </row>
    <row r="42" customFormat="false" ht="15.75" hidden="false" customHeight="true" outlineLevel="0" collapsed="false">
      <c r="B42" s="123" t="s">
        <v>478</v>
      </c>
      <c r="C42" s="132" t="n">
        <v>0</v>
      </c>
      <c r="D42" s="125" t="s">
        <v>479</v>
      </c>
      <c r="E42" s="107"/>
      <c r="G42" s="132" t="n">
        <v>0</v>
      </c>
      <c r="H42" s="125" t="s">
        <v>474</v>
      </c>
      <c r="J42" s="132" t="n">
        <v>0</v>
      </c>
      <c r="K42" s="125" t="s">
        <v>474</v>
      </c>
    </row>
    <row r="43" customFormat="false" ht="15.75" hidden="false" customHeight="true" outlineLevel="0" collapsed="false">
      <c r="B43" s="123" t="s">
        <v>480</v>
      </c>
      <c r="C43" s="133" t="str">
        <f aca="false">IF(C42=0,"(enter staffing cost above)",C42-C21)</f>
        <v>(enter staffing cost above)</v>
      </c>
      <c r="D43" s="125" t="s">
        <v>481</v>
      </c>
      <c r="E43" s="107"/>
      <c r="G43" s="133" t="str">
        <f aca="false">IF(G42=0,"(enter staffing cost above)",G42-G21)</f>
        <v>(enter staffing cost above)</v>
      </c>
      <c r="H43" s="125" t="s">
        <v>474</v>
      </c>
      <c r="J43" s="133" t="str">
        <f aca="false">IF(J42=0,"(enter staffing cost above)",J42-J21)</f>
        <v>(enter staffing cost above)</v>
      </c>
      <c r="K43" s="125" t="s">
        <v>474</v>
      </c>
    </row>
    <row r="44" customFormat="false" ht="15.75" hidden="false" customHeight="true" outlineLevel="0" collapsed="false">
      <c r="E44" s="107"/>
    </row>
    <row r="45" customFormat="false" ht="88.5" hidden="false" customHeight="true" outlineLevel="0" collapsed="false">
      <c r="B45" s="134" t="s">
        <v>482</v>
      </c>
      <c r="C45" s="134"/>
      <c r="D45" s="134"/>
      <c r="E45" s="107"/>
      <c r="J45" s="125"/>
    </row>
    <row r="46" customFormat="false" ht="15.75" hidden="false" customHeight="true" outlineLevel="0" collapsed="false">
      <c r="E46" s="107"/>
    </row>
    <row r="47" customFormat="false" ht="88.5" hidden="false" customHeight="true" outlineLevel="0" collapsed="false">
      <c r="A47" s="107"/>
      <c r="B47" s="135" t="s">
        <v>483</v>
      </c>
      <c r="C47" s="135"/>
      <c r="D47" s="135"/>
      <c r="E47" s="107"/>
    </row>
  </sheetData>
  <mergeCells count="5">
    <mergeCell ref="B5:D5"/>
    <mergeCell ref="B23:D23"/>
    <mergeCell ref="B37:D37"/>
    <mergeCell ref="B45:D45"/>
    <mergeCell ref="B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B32" s="123" t="s">
        <v>463</v>
      </c>
      <c r="C32" s="124" t="n">
        <f aca="false">C20+C21*12</f>
        <v>48200</v>
      </c>
      <c r="D32" s="125" t="s">
        <v>464</v>
      </c>
      <c r="G32" s="124" t="n">
        <f aca="false">G20+G21*12</f>
        <v>22700</v>
      </c>
      <c r="H32" s="123" t="s">
        <v>455</v>
      </c>
    </row>
    <row r="33" customFormat="false" ht="15.75" hidden="false" customHeight="true" outlineLevel="0" collapsed="false">
      <c r="A33" s="107"/>
      <c r="B33" s="113" t="s">
        <v>465</v>
      </c>
      <c r="C33" s="126" t="n">
        <f aca="false">IF(C30&lt;=0,"N/A",C20/C30)</f>
        <v>0.968523002421308</v>
      </c>
      <c r="D33" s="113" t="s">
        <v>466</v>
      </c>
      <c r="E33" s="107"/>
      <c r="G33" s="126" t="n">
        <f aca="false">IF(G30&lt;=0,"N/A",G20/G30)</f>
        <v>1.54867256637168</v>
      </c>
      <c r="H33" s="113" t="s">
        <v>466</v>
      </c>
    </row>
    <row r="34" customFormat="false" ht="15.75" hidden="false" customHeight="true" outlineLevel="0" collapsed="false">
      <c r="A34" s="107"/>
      <c r="B34" s="123" t="s">
        <v>467</v>
      </c>
      <c r="C34" s="127" t="n">
        <f aca="false">IF(C32=0,"N/A",(C31-C20)/C32)</f>
        <v>4.72614107883817</v>
      </c>
      <c r="D34" s="125" t="s">
        <v>468</v>
      </c>
      <c r="E34" s="107"/>
      <c r="G34" s="127" t="n">
        <f aca="false">IF(G32=0,"N/A",(G31-G20)/G32)</f>
        <v>1.04052863436123</v>
      </c>
      <c r="H34" s="123" t="s">
        <v>469</v>
      </c>
    </row>
    <row r="35" customFormat="false" ht="15.75" hidden="false" customHeight="true" outlineLevel="0" collapsed="false">
      <c r="A35" s="107"/>
      <c r="B35" s="123" t="s">
        <v>470</v>
      </c>
      <c r="C35" s="128" t="n">
        <f aca="false">IF(C21=0,"N/A",C30*12/(C21*12))</f>
        <v>8.78723404255319</v>
      </c>
      <c r="E35" s="107"/>
      <c r="G35" s="129" t="n">
        <f aca="false">IF(G21=0,"N/A",G30*12/(G21*12))</f>
        <v>1.4125</v>
      </c>
      <c r="H35" s="123" t="s">
        <v>469</v>
      </c>
    </row>
    <row r="36" customFormat="false" ht="88.5" hidden="false" customHeight="true" outlineLevel="0" collapsed="false">
      <c r="A36" s="107"/>
      <c r="B36" s="136" t="s">
        <v>483</v>
      </c>
      <c r="C36" s="136"/>
      <c r="D36" s="136"/>
      <c r="E36" s="107"/>
    </row>
  </sheetData>
  <mergeCells count="3">
    <mergeCell ref="B5:D5"/>
    <mergeCell ref="B23:D23"/>
    <mergeCell ref="B36: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A32" s="107"/>
      <c r="B32" s="113" t="s">
        <v>465</v>
      </c>
      <c r="C32" s="126" t="n">
        <f aca="false">IF(C30&lt;=0,"N/A",C20/C30)</f>
        <v>0.968523002421308</v>
      </c>
      <c r="D32" s="113" t="s">
        <v>466</v>
      </c>
      <c r="E32" s="107"/>
      <c r="G32" s="126" t="n">
        <f aca="false">IF(G30&lt;=0,"N/A",G20/G30)</f>
        <v>1.54867256637168</v>
      </c>
      <c r="H32" s="113" t="s">
        <v>466</v>
      </c>
    </row>
    <row r="33" customFormat="false" ht="15.75" hidden="false" customHeight="true" outlineLevel="0" collapsed="false">
      <c r="A33" s="107"/>
      <c r="B33" s="113" t="s">
        <v>467</v>
      </c>
      <c r="C33" s="137" t="n">
        <f aca="false">IF(C20=0,"N/A",(C30*12-C20)/C20)</f>
        <v>11.39</v>
      </c>
      <c r="D33" s="113" t="s">
        <v>486</v>
      </c>
      <c r="E33" s="107"/>
      <c r="G33" s="137" t="n">
        <f aca="false">IF(G20=0,"N/A",(G30*12-G20)/G20)</f>
        <v>6.74857142857143</v>
      </c>
      <c r="H33" s="113" t="s">
        <v>486</v>
      </c>
    </row>
    <row r="34" customFormat="false" ht="15.75" hidden="false" customHeight="true" outlineLevel="0" collapsed="false">
      <c r="A34" s="107"/>
      <c r="B34" s="114"/>
      <c r="C34" s="114"/>
      <c r="D34" s="114"/>
      <c r="E34" s="107"/>
    </row>
    <row r="35" customFormat="false" ht="88.5" hidden="false" customHeight="true" outlineLevel="0" collapsed="false">
      <c r="A35" s="107"/>
      <c r="B35" s="138" t="s">
        <v>487</v>
      </c>
      <c r="C35" s="138"/>
      <c r="D35" s="138"/>
      <c r="E35" s="107"/>
    </row>
  </sheetData>
  <mergeCells count="3">
    <mergeCell ref="B5:D5"/>
    <mergeCell ref="B23:D23"/>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L1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12" min="2" style="1" width="13.83"/>
  </cols>
  <sheetData>
    <row r="2" customFormat="false" ht="33.75" hidden="false" customHeight="true" outlineLevel="0" collapsed="false">
      <c r="B2" s="2" t="s">
        <v>488</v>
      </c>
      <c r="C2" s="2"/>
      <c r="D2" s="2"/>
      <c r="E2" s="2"/>
      <c r="F2" s="2"/>
      <c r="G2" s="2"/>
      <c r="H2" s="2"/>
      <c r="I2" s="2"/>
      <c r="J2" s="2"/>
      <c r="K2" s="2"/>
      <c r="L2" s="2"/>
    </row>
    <row r="3" customFormat="false" ht="21" hidden="false" customHeight="true" outlineLevel="0" collapsed="false">
      <c r="B3" s="139" t="s">
        <v>489</v>
      </c>
      <c r="C3" s="140"/>
      <c r="D3" s="140"/>
      <c r="E3" s="140"/>
      <c r="F3" s="140"/>
      <c r="G3" s="140"/>
      <c r="H3" s="140"/>
      <c r="I3" s="140"/>
      <c r="J3" s="140"/>
      <c r="K3" s="140"/>
      <c r="L3" s="140"/>
    </row>
    <row r="5" customFormat="false" ht="30" hidden="false" customHeight="true" outlineLevel="0" collapsed="false">
      <c r="B5" s="141" t="s">
        <v>251</v>
      </c>
      <c r="C5" s="141" t="s">
        <v>490</v>
      </c>
      <c r="D5" s="141" t="s">
        <v>491</v>
      </c>
      <c r="E5" s="141" t="s">
        <v>492</v>
      </c>
      <c r="F5" s="141" t="s">
        <v>493</v>
      </c>
      <c r="G5" s="141" t="s">
        <v>494</v>
      </c>
      <c r="H5" s="141" t="s">
        <v>495</v>
      </c>
      <c r="I5" s="141" t="s">
        <v>258</v>
      </c>
      <c r="J5" s="141" t="s">
        <v>496</v>
      </c>
      <c r="K5" s="141" t="s">
        <v>497</v>
      </c>
      <c r="L5" s="142" t="s">
        <v>498</v>
      </c>
    </row>
    <row r="6" customFormat="false" ht="33.75" hidden="false" customHeight="true" outlineLevel="0" collapsed="false">
      <c r="B6" s="143" t="s">
        <v>248</v>
      </c>
      <c r="C6" s="143" t="n">
        <v>750</v>
      </c>
      <c r="D6" s="143" t="n">
        <v>1800</v>
      </c>
      <c r="E6" s="143" t="n">
        <v>150</v>
      </c>
      <c r="F6" s="143" t="n">
        <v>450</v>
      </c>
      <c r="G6" s="144" t="s">
        <v>499</v>
      </c>
      <c r="H6" s="144" t="s">
        <v>500</v>
      </c>
      <c r="I6" s="144" t="s">
        <v>501</v>
      </c>
      <c r="J6" s="144" t="s">
        <v>502</v>
      </c>
      <c r="K6" s="144" t="s">
        <v>503</v>
      </c>
      <c r="L6" s="144" t="s">
        <v>504</v>
      </c>
    </row>
    <row r="7" customFormat="false" ht="33.75" hidden="false" customHeight="true" outlineLevel="0" collapsed="false">
      <c r="B7" s="143" t="s">
        <v>505</v>
      </c>
      <c r="C7" s="143" t="n">
        <v>1500</v>
      </c>
      <c r="D7" s="143" t="n">
        <v>3500</v>
      </c>
      <c r="E7" s="143" t="n">
        <v>300</v>
      </c>
      <c r="F7" s="143" t="n">
        <v>750</v>
      </c>
      <c r="G7" s="144" t="s">
        <v>506</v>
      </c>
      <c r="H7" s="144" t="s">
        <v>507</v>
      </c>
      <c r="I7" s="144" t="s">
        <v>508</v>
      </c>
      <c r="J7" s="144" t="s">
        <v>509</v>
      </c>
      <c r="K7" s="144" t="s">
        <v>510</v>
      </c>
      <c r="L7" s="144" t="s">
        <v>511</v>
      </c>
    </row>
    <row r="8" customFormat="false" ht="33.75" hidden="false" customHeight="true" outlineLevel="0" collapsed="false">
      <c r="B8" s="143" t="s">
        <v>512</v>
      </c>
      <c r="C8" s="143" t="n">
        <v>3500</v>
      </c>
      <c r="D8" s="143" t="n">
        <v>7500</v>
      </c>
      <c r="E8" s="143" t="n">
        <v>750</v>
      </c>
      <c r="F8" s="143" t="n">
        <v>1500</v>
      </c>
      <c r="G8" s="144" t="s">
        <v>513</v>
      </c>
      <c r="H8" s="144" t="s">
        <v>514</v>
      </c>
      <c r="I8" s="144" t="s">
        <v>515</v>
      </c>
      <c r="J8" s="144" t="s">
        <v>516</v>
      </c>
      <c r="K8" s="144" t="s">
        <v>517</v>
      </c>
      <c r="L8" s="144" t="s">
        <v>518</v>
      </c>
    </row>
    <row r="9" customFormat="false" ht="33.75" hidden="false" customHeight="true" outlineLevel="0" collapsed="false">
      <c r="B9" s="143" t="s">
        <v>519</v>
      </c>
      <c r="C9" s="143" t="n">
        <v>7500</v>
      </c>
      <c r="D9" s="143" t="n">
        <v>15000</v>
      </c>
      <c r="E9" s="143" t="n">
        <v>1500</v>
      </c>
      <c r="F9" s="143" t="n">
        <v>3500</v>
      </c>
      <c r="G9" s="144" t="s">
        <v>520</v>
      </c>
      <c r="H9" s="144" t="s">
        <v>521</v>
      </c>
      <c r="I9" s="144" t="s">
        <v>522</v>
      </c>
      <c r="J9" s="144" t="s">
        <v>523</v>
      </c>
      <c r="K9" s="144" t="s">
        <v>524</v>
      </c>
      <c r="L9" s="144" t="s">
        <v>525</v>
      </c>
    </row>
    <row r="10" customFormat="false" ht="33.75" hidden="false" customHeight="true" outlineLevel="0" collapsed="false">
      <c r="B10" s="143" t="s">
        <v>266</v>
      </c>
      <c r="C10" s="143" t="n">
        <v>12000</v>
      </c>
      <c r="D10" s="143" t="n">
        <v>30000</v>
      </c>
      <c r="E10" s="143" t="n">
        <v>2500</v>
      </c>
      <c r="F10" s="143" t="n">
        <v>6000</v>
      </c>
      <c r="G10" s="144" t="s">
        <v>526</v>
      </c>
      <c r="H10" s="144" t="s">
        <v>527</v>
      </c>
      <c r="I10" s="144" t="s">
        <v>528</v>
      </c>
      <c r="J10" s="144" t="s">
        <v>529</v>
      </c>
      <c r="K10" s="144" t="s">
        <v>530</v>
      </c>
      <c r="L10" s="144" t="s">
        <v>531</v>
      </c>
    </row>
    <row r="11" customFormat="false" ht="33.75" hidden="false" customHeight="true" outlineLevel="0" collapsed="false">
      <c r="B11" s="145" t="s">
        <v>532</v>
      </c>
      <c r="C11" s="143" t="n">
        <v>4500</v>
      </c>
      <c r="D11" s="143" t="n">
        <v>15000</v>
      </c>
      <c r="E11" s="143" t="n">
        <v>0</v>
      </c>
      <c r="F11" s="143" t="n">
        <v>1000</v>
      </c>
      <c r="G11" s="144" t="s">
        <v>533</v>
      </c>
      <c r="H11" s="144" t="s">
        <v>534</v>
      </c>
      <c r="I11" s="144" t="s">
        <v>535</v>
      </c>
      <c r="J11" s="144" t="s">
        <v>536</v>
      </c>
      <c r="K11" s="144" t="s">
        <v>537</v>
      </c>
      <c r="L11" s="144" t="s">
        <v>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N3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1.83"/>
    <col collapsed="false" customWidth="true" hidden="false" outlineLevel="0" max="5" min="5" style="1" width="56"/>
    <col collapsed="false" customWidth="true" hidden="false" outlineLevel="0" max="6" min="6" style="1" width="21.83"/>
    <col collapsed="false" customWidth="true" hidden="false" outlineLevel="0" max="10" min="8" style="1" width="21.83"/>
    <col collapsed="false" customWidth="true" hidden="false" outlineLevel="0" max="12" min="12" style="1" width="11.83"/>
    <col collapsed="false" customWidth="true" hidden="false" outlineLevel="0" max="13" min="13" style="1" width="21.83"/>
    <col collapsed="false" customWidth="true" hidden="false" outlineLevel="0" max="14" min="14" style="1" width="22"/>
  </cols>
  <sheetData>
    <row r="2" customFormat="false" ht="33.75" hidden="false" customHeight="true" outlineLevel="0" collapsed="false">
      <c r="B2" s="2" t="s">
        <v>539</v>
      </c>
      <c r="C2" s="2"/>
      <c r="D2" s="2"/>
      <c r="E2" s="2"/>
      <c r="F2" s="2"/>
      <c r="G2" s="2"/>
      <c r="H2" s="2"/>
      <c r="I2" s="2"/>
      <c r="J2" s="2"/>
      <c r="K2" s="2"/>
      <c r="L2" s="2"/>
      <c r="M2" s="2"/>
      <c r="N2" s="2"/>
    </row>
    <row r="3" customFormat="false" ht="15" hidden="false" customHeight="true" outlineLevel="0" collapsed="false">
      <c r="B3" s="146" t="s">
        <v>540</v>
      </c>
    </row>
    <row r="4" customFormat="false" ht="15" hidden="false" customHeight="true" outlineLevel="0" collapsed="false"/>
    <row r="5" customFormat="false" ht="27.75" hidden="false" customHeight="true" outlineLevel="0" collapsed="false">
      <c r="B5" s="141" t="s">
        <v>541</v>
      </c>
      <c r="C5" s="147" t="s">
        <v>542</v>
      </c>
      <c r="D5" s="141" t="s">
        <v>543</v>
      </c>
      <c r="E5" s="141" t="s">
        <v>544</v>
      </c>
      <c r="F5" s="141" t="s">
        <v>545</v>
      </c>
      <c r="G5" s="141" t="s">
        <v>546</v>
      </c>
      <c r="H5" s="141" t="s">
        <v>547</v>
      </c>
      <c r="I5" s="141" t="s">
        <v>548</v>
      </c>
      <c r="J5" s="141" t="s">
        <v>496</v>
      </c>
      <c r="K5" s="141" t="s">
        <v>549</v>
      </c>
      <c r="L5" s="141" t="s">
        <v>550</v>
      </c>
      <c r="M5" s="141" t="s">
        <v>551</v>
      </c>
      <c r="N5" s="141" t="s">
        <v>552</v>
      </c>
    </row>
    <row r="6" customFormat="false" ht="33.75" hidden="false" customHeight="true" outlineLevel="0" collapsed="false">
      <c r="B6" s="148" t="s">
        <v>256</v>
      </c>
      <c r="C6" s="149" t="s">
        <v>553</v>
      </c>
      <c r="D6" s="149" t="s">
        <v>554</v>
      </c>
      <c r="E6" s="149" t="s">
        <v>555</v>
      </c>
      <c r="F6" s="149" t="s">
        <v>556</v>
      </c>
      <c r="G6" s="1" t="s">
        <v>557</v>
      </c>
      <c r="H6" s="149" t="s">
        <v>558</v>
      </c>
      <c r="I6" s="149" t="s">
        <v>559</v>
      </c>
      <c r="J6" s="1" t="s">
        <v>560</v>
      </c>
      <c r="K6" s="150" t="n">
        <v>1</v>
      </c>
      <c r="L6" s="150" t="s">
        <v>561</v>
      </c>
      <c r="M6" s="149" t="s">
        <v>562</v>
      </c>
      <c r="N6" s="30" t="s">
        <v>408</v>
      </c>
    </row>
    <row r="7" customFormat="false" ht="33.75" hidden="false" customHeight="true" outlineLevel="0" collapsed="false">
      <c r="B7" s="148" t="s">
        <v>563</v>
      </c>
      <c r="C7" s="149" t="s">
        <v>564</v>
      </c>
      <c r="D7" s="149" t="s">
        <v>565</v>
      </c>
      <c r="E7" s="149" t="s">
        <v>566</v>
      </c>
      <c r="F7" s="149" t="s">
        <v>556</v>
      </c>
      <c r="G7" s="1" t="s">
        <v>557</v>
      </c>
      <c r="H7" s="149" t="s">
        <v>567</v>
      </c>
      <c r="I7" s="149" t="s">
        <v>568</v>
      </c>
      <c r="J7" s="1" t="s">
        <v>569</v>
      </c>
      <c r="K7" s="150" t="n">
        <v>1.1</v>
      </c>
      <c r="L7" s="150" t="s">
        <v>570</v>
      </c>
      <c r="M7" s="149" t="s">
        <v>571</v>
      </c>
      <c r="N7" s="30" t="s">
        <v>411</v>
      </c>
    </row>
    <row r="8" customFormat="false" ht="33.75" hidden="false" customHeight="true" outlineLevel="0" collapsed="false">
      <c r="B8" s="148" t="s">
        <v>572</v>
      </c>
      <c r="C8" s="149" t="s">
        <v>573</v>
      </c>
      <c r="D8" s="149" t="s">
        <v>574</v>
      </c>
      <c r="E8" s="149" t="s">
        <v>575</v>
      </c>
      <c r="F8" s="149" t="s">
        <v>576</v>
      </c>
      <c r="G8" s="1" t="s">
        <v>577</v>
      </c>
      <c r="H8" s="149" t="s">
        <v>578</v>
      </c>
      <c r="I8" s="149" t="s">
        <v>579</v>
      </c>
      <c r="J8" s="1" t="s">
        <v>580</v>
      </c>
      <c r="K8" s="150" t="n">
        <v>1.2</v>
      </c>
      <c r="L8" s="150" t="s">
        <v>581</v>
      </c>
      <c r="M8" s="149" t="s">
        <v>582</v>
      </c>
      <c r="N8" s="30" t="s">
        <v>411</v>
      </c>
    </row>
    <row r="9" customFormat="false" ht="33.75" hidden="false" customHeight="true" outlineLevel="0" collapsed="false">
      <c r="B9" s="148" t="s">
        <v>583</v>
      </c>
      <c r="C9" s="149" t="s">
        <v>584</v>
      </c>
      <c r="D9" s="149" t="s">
        <v>585</v>
      </c>
      <c r="E9" s="149" t="s">
        <v>586</v>
      </c>
      <c r="F9" s="149" t="s">
        <v>587</v>
      </c>
      <c r="G9" s="1" t="s">
        <v>577</v>
      </c>
      <c r="H9" s="149" t="s">
        <v>588</v>
      </c>
      <c r="I9" s="149" t="s">
        <v>589</v>
      </c>
      <c r="J9" s="1" t="s">
        <v>590</v>
      </c>
      <c r="K9" s="150" t="n">
        <v>1.5</v>
      </c>
      <c r="L9" s="150" t="s">
        <v>591</v>
      </c>
      <c r="M9" s="149" t="s">
        <v>592</v>
      </c>
      <c r="N9" s="30" t="s">
        <v>411</v>
      </c>
    </row>
    <row r="10" customFormat="false" ht="33.75" hidden="false" customHeight="true" outlineLevel="0" collapsed="false">
      <c r="B10" s="148" t="s">
        <v>593</v>
      </c>
      <c r="C10" s="149" t="s">
        <v>594</v>
      </c>
      <c r="D10" s="149" t="s">
        <v>595</v>
      </c>
      <c r="E10" s="149" t="s">
        <v>596</v>
      </c>
      <c r="F10" s="149" t="s">
        <v>597</v>
      </c>
      <c r="G10" s="1" t="s">
        <v>598</v>
      </c>
      <c r="H10" s="151" t="s">
        <v>599</v>
      </c>
      <c r="I10" s="149" t="s">
        <v>600</v>
      </c>
      <c r="J10" s="152" t="s">
        <v>601</v>
      </c>
      <c r="K10" s="150" t="n">
        <v>2</v>
      </c>
      <c r="L10" s="150" t="s">
        <v>602</v>
      </c>
      <c r="M10" s="149" t="s">
        <v>603</v>
      </c>
      <c r="N10" s="153" t="s">
        <v>604</v>
      </c>
    </row>
    <row r="12" customFormat="false" ht="15.75" hidden="false" customHeight="true" outlineLevel="0" collapsed="false">
      <c r="B12" s="154"/>
      <c r="C12" s="154" t="s">
        <v>605</v>
      </c>
      <c r="D12" s="154" t="s">
        <v>606</v>
      </c>
      <c r="E12" s="154" t="s">
        <v>607</v>
      </c>
    </row>
    <row r="13" customFormat="false" ht="15" hidden="false" customHeight="true" outlineLevel="0" collapsed="false">
      <c r="C13" s="155" t="s">
        <v>608</v>
      </c>
      <c r="E13" s="156" t="s">
        <v>609</v>
      </c>
    </row>
    <row r="14" customFormat="false" ht="15" hidden="false" customHeight="true" outlineLevel="0" collapsed="false">
      <c r="C14" s="155" t="s">
        <v>610</v>
      </c>
      <c r="E14" s="156" t="s">
        <v>611</v>
      </c>
    </row>
    <row r="15" customFormat="false" ht="15" hidden="false" customHeight="true" outlineLevel="0" collapsed="false">
      <c r="C15" s="155" t="s">
        <v>612</v>
      </c>
      <c r="E15" s="156" t="s">
        <v>613</v>
      </c>
    </row>
    <row r="16" customFormat="false" ht="15" hidden="false" customHeight="true" outlineLevel="0" collapsed="false">
      <c r="C16" s="155" t="s">
        <v>614</v>
      </c>
      <c r="E16" s="156" t="s">
        <v>615</v>
      </c>
    </row>
    <row r="17" customFormat="false" ht="15" hidden="false" customHeight="true" outlineLevel="0" collapsed="false">
      <c r="C17" s="155" t="s">
        <v>616</v>
      </c>
      <c r="E17" s="156" t="s">
        <v>617</v>
      </c>
    </row>
    <row r="18" customFormat="false" ht="21.75" hidden="false" customHeight="true" outlineLevel="0" collapsed="false">
      <c r="C18" s="155" t="s">
        <v>618</v>
      </c>
      <c r="E18" s="156" t="s">
        <v>619</v>
      </c>
    </row>
    <row r="19" customFormat="false" ht="15" hidden="false" customHeight="true" outlineLevel="0" collapsed="false">
      <c r="C19" s="155" t="s">
        <v>620</v>
      </c>
      <c r="E19" s="156" t="s">
        <v>621</v>
      </c>
    </row>
    <row r="20" customFormat="false" ht="15" hidden="false" customHeight="true" outlineLevel="0" collapsed="false">
      <c r="C20" s="155" t="s">
        <v>622</v>
      </c>
      <c r="E20" s="156" t="s">
        <v>623</v>
      </c>
    </row>
    <row r="21" customFormat="false" ht="15" hidden="false" customHeight="true" outlineLevel="0" collapsed="false">
      <c r="C21" s="155" t="s">
        <v>624</v>
      </c>
      <c r="E21" s="156" t="s">
        <v>625</v>
      </c>
    </row>
    <row r="22" customFormat="false" ht="15" hidden="false" customHeight="true" outlineLevel="0" collapsed="false">
      <c r="C22" s="155" t="s">
        <v>626</v>
      </c>
      <c r="E22" s="156" t="s">
        <v>627</v>
      </c>
    </row>
    <row r="23" customFormat="false" ht="15" hidden="false" customHeight="true" outlineLevel="0" collapsed="false">
      <c r="C23" s="155" t="s">
        <v>628</v>
      </c>
      <c r="E23" s="156" t="s">
        <v>629</v>
      </c>
    </row>
    <row r="24" customFormat="false" ht="15" hidden="false" customHeight="true" outlineLevel="0" collapsed="false">
      <c r="D24" s="155" t="s">
        <v>630</v>
      </c>
      <c r="E24" s="156" t="s">
        <v>631</v>
      </c>
    </row>
    <row r="25" customFormat="false" ht="15" hidden="false" customHeight="true" outlineLevel="0" collapsed="false">
      <c r="C25" s="155" t="s">
        <v>632</v>
      </c>
      <c r="E25" s="156" t="s">
        <v>633</v>
      </c>
    </row>
    <row r="26" customFormat="false" ht="15" hidden="false" customHeight="true" outlineLevel="0" collapsed="false">
      <c r="C26" s="155" t="s">
        <v>634</v>
      </c>
      <c r="E26" s="156" t="s">
        <v>635</v>
      </c>
    </row>
    <row r="27" customFormat="false" ht="15" hidden="false" customHeight="true" outlineLevel="0" collapsed="false">
      <c r="D27" s="155" t="s">
        <v>636</v>
      </c>
      <c r="E27" s="156" t="s">
        <v>637</v>
      </c>
    </row>
    <row r="28" customFormat="false" ht="15" hidden="false" customHeight="true" outlineLevel="0" collapsed="false">
      <c r="D28" s="155" t="s">
        <v>638</v>
      </c>
      <c r="E28" s="156" t="s">
        <v>639</v>
      </c>
    </row>
    <row r="29" customFormat="false" ht="15" hidden="false" customHeight="true" outlineLevel="0" collapsed="false">
      <c r="D29" s="155" t="s">
        <v>640</v>
      </c>
      <c r="E29" s="156" t="s">
        <v>641</v>
      </c>
    </row>
    <row r="30" customFormat="false" ht="21.75" hidden="false" customHeight="true" outlineLevel="0" collapsed="false">
      <c r="D30" s="155" t="s">
        <v>642</v>
      </c>
      <c r="E30" s="156" t="s">
        <v>643</v>
      </c>
    </row>
    <row r="31" customFormat="false" ht="15" hidden="false" customHeight="true" outlineLevel="0" collapsed="false">
      <c r="D31" s="155" t="s">
        <v>644</v>
      </c>
      <c r="E31" s="156" t="s">
        <v>645</v>
      </c>
    </row>
    <row r="32" customFormat="false" ht="21.75" hidden="false" customHeight="true" outlineLevel="0" collapsed="false">
      <c r="D32" s="155" t="s">
        <v>646</v>
      </c>
      <c r="E32" s="156" t="s">
        <v>647</v>
      </c>
    </row>
    <row r="33" customFormat="false" ht="15" hidden="false" customHeight="true" outlineLevel="0" collapsed="false">
      <c r="D33" s="155" t="s">
        <v>648</v>
      </c>
      <c r="E33" s="156" t="s">
        <v>649</v>
      </c>
    </row>
    <row r="34" customFormat="false" ht="15" hidden="false" customHeight="true" outlineLevel="0" collapsed="false">
      <c r="D34" s="155" t="s">
        <v>650</v>
      </c>
      <c r="E34" s="156"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S20"/>
  <sheetViews>
    <sheetView showFormulas="false" showGridLines="true" showRowColHeaders="true" showZeros="true" rightToLeft="false" tabSelected="false" showOutlineSymbols="true" defaultGridColor="true" view="normal" topLeftCell="J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13.83"/>
    <col collapsed="false" customWidth="true" hidden="false" outlineLevel="0" max="10" min="4" style="1" width="21.83"/>
    <col collapsed="false" customWidth="true" hidden="false" outlineLevel="0" max="19" min="15" style="1" width="21.83"/>
  </cols>
  <sheetData>
    <row r="2" customFormat="false" ht="33.75" hidden="false" customHeight="true" outlineLevel="0" collapsed="false">
      <c r="B2" s="2" t="s">
        <v>652</v>
      </c>
      <c r="C2" s="2"/>
      <c r="D2" s="2"/>
      <c r="E2" s="2"/>
      <c r="F2" s="2"/>
      <c r="G2" s="2"/>
      <c r="H2" s="2"/>
      <c r="I2" s="2"/>
      <c r="J2" s="2"/>
      <c r="L2" s="157" t="s">
        <v>653</v>
      </c>
      <c r="M2" s="157"/>
      <c r="N2" s="157"/>
      <c r="O2" s="157"/>
      <c r="P2" s="157"/>
      <c r="Q2" s="157"/>
      <c r="R2" s="157"/>
      <c r="S2" s="157"/>
    </row>
    <row r="4" customFormat="false" ht="33.75" hidden="false" customHeight="true" outlineLevel="0" collapsed="false">
      <c r="B4" s="141" t="s">
        <v>654</v>
      </c>
      <c r="C4" s="141" t="s">
        <v>490</v>
      </c>
      <c r="D4" s="141" t="s">
        <v>491</v>
      </c>
      <c r="E4" s="141" t="s">
        <v>492</v>
      </c>
      <c r="F4" s="141" t="s">
        <v>493</v>
      </c>
      <c r="G4" s="141" t="s">
        <v>655</v>
      </c>
      <c r="H4" s="141" t="s">
        <v>656</v>
      </c>
      <c r="I4" s="141" t="s">
        <v>282</v>
      </c>
      <c r="J4" s="141" t="s">
        <v>657</v>
      </c>
      <c r="L4" s="141" t="s">
        <v>658</v>
      </c>
      <c r="M4" s="141" t="s">
        <v>659</v>
      </c>
      <c r="N4" s="141" t="s">
        <v>660</v>
      </c>
      <c r="O4" s="141" t="s">
        <v>661</v>
      </c>
      <c r="P4" s="141" t="s">
        <v>662</v>
      </c>
      <c r="Q4" s="141" t="s">
        <v>663</v>
      </c>
      <c r="R4" s="141" t="s">
        <v>664</v>
      </c>
      <c r="S4" s="141" t="s">
        <v>665</v>
      </c>
    </row>
    <row r="5" customFormat="false" ht="21" hidden="false" customHeight="true" outlineLevel="0" collapsed="false">
      <c r="B5" s="1" t="s">
        <v>299</v>
      </c>
      <c r="C5" s="1" t="n">
        <v>500</v>
      </c>
      <c r="D5" s="1" t="n">
        <v>1500</v>
      </c>
      <c r="E5" s="1" t="n">
        <v>100</v>
      </c>
      <c r="F5" s="1" t="n">
        <v>300</v>
      </c>
      <c r="G5" s="1" t="s">
        <v>666</v>
      </c>
      <c r="H5" s="1" t="s">
        <v>667</v>
      </c>
      <c r="I5" s="1" t="s">
        <v>668</v>
      </c>
      <c r="J5" s="1" t="s">
        <v>669</v>
      </c>
      <c r="L5" s="158" t="s">
        <v>244</v>
      </c>
      <c r="M5" s="159" t="n">
        <v>0</v>
      </c>
      <c r="N5" s="159" t="n">
        <v>1</v>
      </c>
      <c r="O5" s="1" t="s">
        <v>670</v>
      </c>
      <c r="P5" s="1" t="s">
        <v>671</v>
      </c>
      <c r="Q5" s="1" t="s">
        <v>672</v>
      </c>
      <c r="R5" s="1" t="s">
        <v>673</v>
      </c>
      <c r="S5" s="1" t="s">
        <v>674</v>
      </c>
    </row>
    <row r="6" customFormat="false" ht="21" hidden="false" customHeight="true" outlineLevel="0" collapsed="false">
      <c r="B6" s="1" t="s">
        <v>330</v>
      </c>
      <c r="C6" s="1" t="n">
        <v>500</v>
      </c>
      <c r="D6" s="1" t="n">
        <v>2000</v>
      </c>
      <c r="E6" s="1" t="n">
        <v>150</v>
      </c>
      <c r="F6" s="1" t="n">
        <v>500</v>
      </c>
      <c r="G6" s="1" t="s">
        <v>675</v>
      </c>
      <c r="H6" s="1" t="s">
        <v>676</v>
      </c>
      <c r="I6" s="1" t="s">
        <v>677</v>
      </c>
      <c r="J6" s="1" t="s">
        <v>678</v>
      </c>
      <c r="L6" s="158" t="s">
        <v>252</v>
      </c>
      <c r="M6" s="159" t="n">
        <v>0.5</v>
      </c>
      <c r="N6" s="159" t="n">
        <v>1</v>
      </c>
      <c r="O6" s="1" t="s">
        <v>679</v>
      </c>
      <c r="P6" s="1" t="s">
        <v>680</v>
      </c>
      <c r="Q6" s="1" t="s">
        <v>681</v>
      </c>
      <c r="R6" s="1" t="s">
        <v>682</v>
      </c>
      <c r="S6" s="1" t="s">
        <v>674</v>
      </c>
    </row>
    <row r="7" customFormat="false" ht="21" hidden="false" customHeight="true" outlineLevel="0" collapsed="false">
      <c r="B7" s="1" t="s">
        <v>683</v>
      </c>
      <c r="C7" s="1" t="n">
        <v>750</v>
      </c>
      <c r="D7" s="1" t="n">
        <v>2500</v>
      </c>
      <c r="E7" s="1" t="n">
        <v>200</v>
      </c>
      <c r="F7" s="1" t="n">
        <v>600</v>
      </c>
      <c r="G7" s="1" t="s">
        <v>684</v>
      </c>
      <c r="H7" s="1" t="s">
        <v>685</v>
      </c>
      <c r="I7" s="1" t="s">
        <v>686</v>
      </c>
      <c r="J7" s="1" t="s">
        <v>687</v>
      </c>
      <c r="L7" s="158" t="s">
        <v>259</v>
      </c>
      <c r="M7" s="159" t="n">
        <v>1</v>
      </c>
      <c r="N7" s="159" t="n">
        <v>1</v>
      </c>
      <c r="O7" s="1" t="s">
        <v>688</v>
      </c>
      <c r="P7" s="1" t="s">
        <v>689</v>
      </c>
      <c r="Q7" s="1" t="s">
        <v>690</v>
      </c>
      <c r="R7" s="1" t="s">
        <v>691</v>
      </c>
      <c r="S7" s="1" t="s">
        <v>692</v>
      </c>
    </row>
    <row r="8" customFormat="false" ht="21" hidden="false" customHeight="true" outlineLevel="0" collapsed="false">
      <c r="B8" s="1" t="s">
        <v>693</v>
      </c>
      <c r="C8" s="1" t="n">
        <v>750</v>
      </c>
      <c r="D8" s="1" t="n">
        <v>2000</v>
      </c>
      <c r="E8" s="1" t="n">
        <v>150</v>
      </c>
      <c r="F8" s="1" t="n">
        <v>500</v>
      </c>
      <c r="G8" s="1" t="s">
        <v>694</v>
      </c>
      <c r="H8" s="1" t="s">
        <v>695</v>
      </c>
      <c r="I8" s="1" t="s">
        <v>696</v>
      </c>
      <c r="J8" s="1" t="s">
        <v>697</v>
      </c>
      <c r="L8" s="158" t="s">
        <v>698</v>
      </c>
      <c r="M8" s="159" t="n">
        <v>1.5</v>
      </c>
      <c r="N8" s="159" t="n">
        <v>1</v>
      </c>
      <c r="O8" s="1" t="s">
        <v>699</v>
      </c>
      <c r="P8" s="1" t="s">
        <v>700</v>
      </c>
      <c r="Q8" s="1" t="s">
        <v>701</v>
      </c>
      <c r="R8" s="1" t="s">
        <v>702</v>
      </c>
      <c r="S8" s="1" t="s">
        <v>703</v>
      </c>
    </row>
    <row r="9" customFormat="false" ht="21" hidden="false" customHeight="true" outlineLevel="0" collapsed="false">
      <c r="B9" s="1" t="s">
        <v>704</v>
      </c>
      <c r="C9" s="1" t="n">
        <v>500</v>
      </c>
      <c r="D9" s="1" t="n">
        <v>2000</v>
      </c>
      <c r="E9" s="1" t="n">
        <v>250</v>
      </c>
      <c r="F9" s="1" t="n">
        <v>900</v>
      </c>
      <c r="G9" s="1" t="s">
        <v>705</v>
      </c>
      <c r="H9" s="1" t="s">
        <v>706</v>
      </c>
      <c r="I9" s="1" t="s">
        <v>256</v>
      </c>
      <c r="J9" s="1" t="s">
        <v>707</v>
      </c>
      <c r="L9" s="158" t="s">
        <v>267</v>
      </c>
      <c r="M9" s="159" t="n">
        <v>2</v>
      </c>
      <c r="N9" s="159" t="n">
        <v>1</v>
      </c>
      <c r="O9" s="1" t="s">
        <v>708</v>
      </c>
      <c r="P9" s="1" t="s">
        <v>671</v>
      </c>
      <c r="Q9" s="1" t="s">
        <v>709</v>
      </c>
      <c r="R9" s="1" t="s">
        <v>710</v>
      </c>
      <c r="S9" s="1" t="s">
        <v>711</v>
      </c>
    </row>
    <row r="10" customFormat="false" ht="21" hidden="false" customHeight="true" outlineLevel="0" collapsed="false">
      <c r="B10" s="1" t="s">
        <v>712</v>
      </c>
      <c r="C10" s="1" t="n">
        <v>0</v>
      </c>
      <c r="D10" s="1" t="n">
        <v>0</v>
      </c>
      <c r="E10" s="1" t="n">
        <v>0</v>
      </c>
      <c r="F10" s="1" t="n">
        <v>0</v>
      </c>
      <c r="G10" s="1" t="s">
        <v>713</v>
      </c>
      <c r="H10" s="1" t="s">
        <v>714</v>
      </c>
      <c r="I10" s="1" t="s">
        <v>715</v>
      </c>
      <c r="J10" s="1" t="s">
        <v>716</v>
      </c>
      <c r="L10" s="158" t="s">
        <v>272</v>
      </c>
      <c r="M10" s="159" t="n">
        <v>3</v>
      </c>
      <c r="N10" s="159" t="n">
        <v>1</v>
      </c>
      <c r="O10" s="1" t="s">
        <v>717</v>
      </c>
      <c r="P10" s="1" t="s">
        <v>718</v>
      </c>
      <c r="Q10" s="1" t="s">
        <v>719</v>
      </c>
      <c r="R10" s="1" t="s">
        <v>720</v>
      </c>
      <c r="S10" s="1" t="s">
        <v>721</v>
      </c>
    </row>
    <row r="11" customFormat="false" ht="21" hidden="false" customHeight="true" outlineLevel="0" collapsed="false">
      <c r="B11" s="1" t="s">
        <v>722</v>
      </c>
      <c r="C11" s="1" t="n">
        <v>0</v>
      </c>
      <c r="D11" s="1" t="n">
        <v>0</v>
      </c>
      <c r="E11" s="1" t="n">
        <v>0</v>
      </c>
      <c r="F11" s="1" t="n">
        <v>0</v>
      </c>
      <c r="G11" s="1" t="s">
        <v>723</v>
      </c>
      <c r="H11" s="1" t="s">
        <v>724</v>
      </c>
      <c r="I11" s="1" t="s">
        <v>725</v>
      </c>
      <c r="J11" s="1" t="s">
        <v>726</v>
      </c>
    </row>
    <row r="12" customFormat="false" ht="21" hidden="false" customHeight="true" outlineLevel="0" collapsed="false">
      <c r="B12" s="1" t="s">
        <v>671</v>
      </c>
      <c r="C12" s="1" t="n">
        <v>0</v>
      </c>
      <c r="D12" s="1" t="n">
        <v>0</v>
      </c>
      <c r="E12" s="1" t="n">
        <v>0</v>
      </c>
      <c r="F12" s="1" t="n">
        <v>0</v>
      </c>
      <c r="G12" s="1" t="s">
        <v>727</v>
      </c>
      <c r="H12" s="1" t="s">
        <v>728</v>
      </c>
      <c r="I12" s="1" t="s">
        <v>593</v>
      </c>
      <c r="J12" s="1" t="s">
        <v>729</v>
      </c>
    </row>
    <row r="14" customFormat="false" ht="33.75" hidden="false" customHeight="true" outlineLevel="0" collapsed="false">
      <c r="B14" s="141" t="s">
        <v>730</v>
      </c>
      <c r="C14" s="141" t="s">
        <v>731</v>
      </c>
      <c r="D14" s="141" t="s">
        <v>732</v>
      </c>
      <c r="E14" s="141" t="s">
        <v>547</v>
      </c>
      <c r="F14" s="141" t="s">
        <v>542</v>
      </c>
      <c r="G14" s="141" t="s">
        <v>733</v>
      </c>
      <c r="H14" s="141" t="s">
        <v>657</v>
      </c>
      <c r="I14" s="141" t="s">
        <v>734</v>
      </c>
      <c r="J14" s="141" t="s">
        <v>735</v>
      </c>
    </row>
    <row r="15" customFormat="false" ht="21" hidden="false" customHeight="true" outlineLevel="0" collapsed="false">
      <c r="B15" s="1" t="s">
        <v>244</v>
      </c>
      <c r="C15" s="160" t="n">
        <v>0</v>
      </c>
      <c r="D15" s="1" t="s">
        <v>736</v>
      </c>
      <c r="E15" s="1" t="s">
        <v>737</v>
      </c>
      <c r="F15" s="1" t="s">
        <v>738</v>
      </c>
      <c r="G15" s="1" t="s">
        <v>739</v>
      </c>
      <c r="H15" s="1" t="s">
        <v>740</v>
      </c>
      <c r="I15" s="1" t="s">
        <v>673</v>
      </c>
      <c r="J15" s="1" t="s">
        <v>741</v>
      </c>
    </row>
    <row r="16" customFormat="false" ht="21" hidden="false" customHeight="true" outlineLevel="0" collapsed="false">
      <c r="B16" s="1" t="s">
        <v>252</v>
      </c>
      <c r="C16" s="160" t="n">
        <v>0.5</v>
      </c>
      <c r="D16" s="1" t="s">
        <v>742</v>
      </c>
      <c r="E16" s="1" t="s">
        <v>743</v>
      </c>
      <c r="F16" s="1" t="s">
        <v>744</v>
      </c>
      <c r="G16" s="1" t="s">
        <v>745</v>
      </c>
      <c r="H16" s="1" t="s">
        <v>746</v>
      </c>
      <c r="I16" s="1" t="s">
        <v>747</v>
      </c>
      <c r="J16" s="1" t="s">
        <v>748</v>
      </c>
    </row>
    <row r="17" customFormat="false" ht="21" hidden="false" customHeight="true" outlineLevel="0" collapsed="false">
      <c r="B17" s="1" t="s">
        <v>259</v>
      </c>
      <c r="C17" s="160" t="n">
        <v>1</v>
      </c>
      <c r="D17" s="1" t="s">
        <v>749</v>
      </c>
      <c r="E17" s="1" t="s">
        <v>750</v>
      </c>
      <c r="F17" s="1" t="s">
        <v>751</v>
      </c>
      <c r="G17" s="1" t="s">
        <v>752</v>
      </c>
      <c r="H17" s="1" t="s">
        <v>753</v>
      </c>
      <c r="I17" s="1" t="s">
        <v>691</v>
      </c>
      <c r="J17" s="1" t="s">
        <v>558</v>
      </c>
    </row>
    <row r="18" customFormat="false" ht="21" hidden="false" customHeight="true" outlineLevel="0" collapsed="false">
      <c r="B18" s="1" t="s">
        <v>698</v>
      </c>
      <c r="C18" s="160" t="n">
        <v>1.5</v>
      </c>
      <c r="D18" s="1" t="s">
        <v>754</v>
      </c>
      <c r="E18" s="1" t="s">
        <v>755</v>
      </c>
      <c r="F18" s="1" t="s">
        <v>756</v>
      </c>
      <c r="G18" s="1" t="s">
        <v>757</v>
      </c>
      <c r="H18" s="1" t="s">
        <v>758</v>
      </c>
      <c r="I18" s="1" t="s">
        <v>759</v>
      </c>
      <c r="J18" s="1" t="s">
        <v>760</v>
      </c>
    </row>
    <row r="19" customFormat="false" ht="21" hidden="false" customHeight="true" outlineLevel="0" collapsed="false">
      <c r="B19" s="1" t="s">
        <v>267</v>
      </c>
      <c r="C19" s="160" t="n">
        <v>2</v>
      </c>
      <c r="D19" s="1" t="s">
        <v>761</v>
      </c>
      <c r="E19" s="1" t="s">
        <v>762</v>
      </c>
      <c r="F19" s="1" t="s">
        <v>763</v>
      </c>
      <c r="G19" s="1" t="s">
        <v>764</v>
      </c>
      <c r="H19" s="1" t="s">
        <v>765</v>
      </c>
      <c r="I19" s="1" t="s">
        <v>766</v>
      </c>
      <c r="J19" s="1" t="s">
        <v>767</v>
      </c>
    </row>
    <row r="20" customFormat="false" ht="21" hidden="false" customHeight="true" outlineLevel="0" collapsed="false">
      <c r="B20" s="1" t="s">
        <v>272</v>
      </c>
      <c r="C20" s="160" t="n">
        <v>3</v>
      </c>
      <c r="D20" s="1" t="s">
        <v>768</v>
      </c>
      <c r="E20" s="1" t="s">
        <v>769</v>
      </c>
      <c r="F20" s="1" t="s">
        <v>770</v>
      </c>
      <c r="G20" s="1" t="s">
        <v>771</v>
      </c>
      <c r="H20" s="1" t="s">
        <v>772</v>
      </c>
      <c r="I20" s="1" t="s">
        <v>720</v>
      </c>
      <c r="J20" s="1" t="s">
        <v>773</v>
      </c>
    </row>
  </sheetData>
  <mergeCells count="1">
    <mergeCell ref="L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11" min="8" style="1" width="21.83"/>
    <col collapsed="false" customWidth="true" hidden="false" outlineLevel="0" max="14" min="12" style="1" width="7"/>
    <col collapsed="false" customWidth="true" hidden="false" outlineLevel="0" max="15" min="15" style="1" width="8"/>
    <col collapsed="false" customWidth="true" hidden="false" outlineLevel="0" max="16" min="16" style="1" width="9"/>
    <col collapsed="false" customWidth="true" hidden="false" outlineLevel="0" max="17" min="17" style="1" width="10"/>
  </cols>
  <sheetData>
    <row r="2" customFormat="false" ht="33.75" hidden="false" customHeight="true" outlineLevel="0" collapsed="false">
      <c r="B2" s="2" t="s">
        <v>774</v>
      </c>
      <c r="C2" s="2"/>
      <c r="D2" s="2"/>
      <c r="E2" s="2"/>
      <c r="F2" s="2"/>
      <c r="G2" s="2"/>
      <c r="H2" s="2"/>
      <c r="I2" s="2"/>
      <c r="J2" s="2"/>
      <c r="K2" s="2"/>
    </row>
    <row r="3" customFormat="false" ht="54.75" hidden="false" customHeight="true" outlineLevel="0" collapsed="false">
      <c r="B3" s="161" t="s">
        <v>775</v>
      </c>
      <c r="C3" s="161"/>
      <c r="D3" s="161"/>
      <c r="E3" s="161"/>
      <c r="F3" s="161"/>
      <c r="G3" s="161"/>
      <c r="H3" s="161"/>
      <c r="I3" s="161"/>
      <c r="J3" s="161"/>
    </row>
    <row r="4" customFormat="false" ht="27.75" hidden="false" customHeight="true" outlineLevel="0" collapsed="false">
      <c r="B4" s="161"/>
      <c r="C4" s="161"/>
      <c r="D4" s="161"/>
      <c r="E4" s="161"/>
      <c r="F4" s="161"/>
      <c r="G4" s="161"/>
      <c r="H4" s="161"/>
      <c r="I4" s="161"/>
      <c r="J4" s="161"/>
    </row>
    <row r="5" customFormat="false" ht="30" hidden="false" customHeight="true" outlineLevel="0" collapsed="false"/>
    <row r="6" customFormat="false" ht="30" hidden="false" customHeight="true" outlineLevel="0" collapsed="false">
      <c r="B6" s="141" t="s">
        <v>657</v>
      </c>
      <c r="C6" s="141" t="s">
        <v>251</v>
      </c>
      <c r="D6" s="141" t="s">
        <v>490</v>
      </c>
      <c r="E6" s="141" t="s">
        <v>491</v>
      </c>
      <c r="F6" s="141" t="s">
        <v>492</v>
      </c>
      <c r="G6" s="141" t="s">
        <v>493</v>
      </c>
      <c r="H6" s="141" t="s">
        <v>776</v>
      </c>
      <c r="I6" s="141" t="s">
        <v>258</v>
      </c>
      <c r="J6" s="141" t="s">
        <v>282</v>
      </c>
      <c r="K6" s="162" t="s">
        <v>360</v>
      </c>
      <c r="L6" s="163" t="s">
        <v>777</v>
      </c>
      <c r="M6" s="163" t="s">
        <v>778</v>
      </c>
      <c r="N6" s="163" t="s">
        <v>779</v>
      </c>
      <c r="O6" s="163" t="s">
        <v>780</v>
      </c>
      <c r="P6" s="163" t="s">
        <v>781</v>
      </c>
      <c r="Q6" s="163" t="s">
        <v>782</v>
      </c>
    </row>
    <row r="7" customFormat="false" ht="30" hidden="false" customHeight="true" outlineLevel="0" collapsed="false">
      <c r="B7" s="149" t="s">
        <v>783</v>
      </c>
      <c r="C7" s="1" t="s">
        <v>505</v>
      </c>
      <c r="D7" s="164" t="n">
        <f aca="false">ROUND((IFERROR(VLOOKUP($C7,'Package Reference'!$B$6:$F$10,2,FALSE()),0)+L7*IFERROR(VLOOKUP("Extra data sources / triggers",'Complexity Reference'!$B$5:$F$9,2,FALSE()),0)+M7*IFERROR(VLOOKUP("AI generation steps",'Complexity Reference'!$B$5:$F$9,2,FALSE()),0)+N7*IFERROR(VLOOKUP("CRM integration",'Complexity Reference'!$B$5:$F$9,2,FALSE()),0)+O7*IFERROR(VLOOKUP("Approval workflow",'Complexity Reference'!$B$5:$F$9,2,FALSE()),0)+P7*IFERROR(VLOOKUP("Reporting layer",'Complexity Reference'!$B$5:$F$9,2,FALSE()),0))*Q7,0)</f>
        <v>3500</v>
      </c>
      <c r="E7" s="164" t="n">
        <f aca="false">ROUND((IFERROR(VLOOKUP($C7,'Package Reference'!$B$6:$F$10,3,FALSE()),0)+L7*IFERROR(VLOOKUP("Extra data sources / triggers",'Complexity Reference'!$B$5:$F$9,3,FALSE()),0)+M7*IFERROR(VLOOKUP("AI generation steps",'Complexity Reference'!$B$5:$F$9,3,FALSE()),0)+N7*IFERROR(VLOOKUP("CRM integration",'Complexity Reference'!$B$5:$F$9,3,FALSE()),0)+O7*IFERROR(VLOOKUP("Approval workflow",'Complexity Reference'!$B$5:$F$9,3,FALSE()),0)+P7*IFERROR(VLOOKUP("Reporting layer",'Complexity Reference'!$B$5:$F$9,3,FALSE()),0))*Q7,0)</f>
        <v>10000</v>
      </c>
      <c r="F7" s="164" t="n">
        <f aca="false">ROUND((IFERROR(VLOOKUP($C7,'Package Reference'!$B$6:$F$10,4,FALSE()),0)+L7*IFERROR(VLOOKUP("Extra data sources / triggers",'Complexity Reference'!$B$5:$F$9,4,FALSE()),0)+M7*IFERROR(VLOOKUP("AI generation steps",'Complexity Reference'!$B$5:$F$9,4,FALSE()),0)+N7*IFERROR(VLOOKUP("CRM integration",'Complexity Reference'!$B$5:$F$9,4,FALSE()),0)+O7*IFERROR(VLOOKUP("Approval workflow",'Complexity Reference'!$B$5:$F$9,4,FALSE()),0)+P7*IFERROR(VLOOKUP("Reporting layer",'Complexity Reference'!$B$5:$F$9,4,FALSE()),0))*Q7,0)</f>
        <v>800</v>
      </c>
      <c r="G7" s="164" t="n">
        <f aca="false">ROUND((IFERROR(VLOOKUP($C7,'Package Reference'!$B$6:$F$10,5,FALSE()),0)+L7*IFERROR(VLOOKUP("Extra data sources / triggers",'Complexity Reference'!$B$5:$F$9,5,FALSE()),0)+M7*IFERROR(VLOOKUP("AI generation steps",'Complexity Reference'!$B$5:$F$9,5,FALSE()),0)+N7*IFERROR(VLOOKUP("CRM integration",'Complexity Reference'!$B$5:$F$9,5,FALSE()),0)+O7*IFERROR(VLOOKUP("Approval workflow",'Complexity Reference'!$B$5:$F$9,5,FALSE()),0)+P7*IFERROR(VLOOKUP("Reporting layer",'Complexity Reference'!$B$5:$F$9,5,FALSE()),0))*Q7,0)</f>
        <v>2350</v>
      </c>
      <c r="H7" s="149" t="s">
        <v>784</v>
      </c>
      <c r="I7" s="1" t="s">
        <v>785</v>
      </c>
      <c r="J7" s="165" t="s">
        <v>786</v>
      </c>
      <c r="K7" s="166" t="s">
        <v>787</v>
      </c>
      <c r="L7" s="158" t="n">
        <v>0</v>
      </c>
      <c r="M7" s="158" t="n">
        <v>1</v>
      </c>
      <c r="N7" s="158" t="n">
        <v>1</v>
      </c>
      <c r="O7" s="158" t="n">
        <v>1</v>
      </c>
      <c r="P7" s="158" t="n">
        <v>0</v>
      </c>
      <c r="Q7" s="158" t="n">
        <v>1</v>
      </c>
    </row>
    <row r="8" customFormat="false" ht="30" hidden="false" customHeight="true" outlineLevel="0" collapsed="false">
      <c r="B8" s="149" t="s">
        <v>788</v>
      </c>
      <c r="C8" s="1" t="s">
        <v>248</v>
      </c>
      <c r="D8" s="164" t="n">
        <f aca="false">ROUND((IFERROR(VLOOKUP($C8,'Package Reference'!$B$6:$F$10,2,FALSE()),0)+L8*IFERROR(VLOOKUP("Extra data sources / triggers",'Complexity Reference'!$B$5:$F$9,2,FALSE()),0)+M8*IFERROR(VLOOKUP("AI generation steps",'Complexity Reference'!$B$5:$F$9,2,FALSE()),0)+N8*IFERROR(VLOOKUP("CRM integration",'Complexity Reference'!$B$5:$F$9,2,FALSE()),0)+O8*IFERROR(VLOOKUP("Approval workflow",'Complexity Reference'!$B$5:$F$9,2,FALSE()),0)+P8*IFERROR(VLOOKUP("Reporting layer",'Complexity Reference'!$B$5:$F$9,2,FALSE()),0))*Q8,0)</f>
        <v>1500</v>
      </c>
      <c r="E8" s="164" t="n">
        <f aca="false">ROUND((IFERROR(VLOOKUP($C8,'Package Reference'!$B$6:$F$10,3,FALSE()),0)+L8*IFERROR(VLOOKUP("Extra data sources / triggers",'Complexity Reference'!$B$5:$F$9,3,FALSE()),0)+M8*IFERROR(VLOOKUP("AI generation steps",'Complexity Reference'!$B$5:$F$9,3,FALSE()),0)+N8*IFERROR(VLOOKUP("CRM integration",'Complexity Reference'!$B$5:$F$9,3,FALSE()),0)+O8*IFERROR(VLOOKUP("Approval workflow",'Complexity Reference'!$B$5:$F$9,3,FALSE()),0)+P8*IFERROR(VLOOKUP("Reporting layer",'Complexity Reference'!$B$5:$F$9,3,FALSE()),0))*Q8,0)</f>
        <v>3800</v>
      </c>
      <c r="F8" s="164" t="n">
        <f aca="false">ROUND((IFERROR(VLOOKUP($C8,'Package Reference'!$B$6:$F$10,4,FALSE()),0)+L8*IFERROR(VLOOKUP("Extra data sources / triggers",'Complexity Reference'!$B$5:$F$9,4,FALSE()),0)+M8*IFERROR(VLOOKUP("AI generation steps",'Complexity Reference'!$B$5:$F$9,4,FALSE()),0)+N8*IFERROR(VLOOKUP("CRM integration",'Complexity Reference'!$B$5:$F$9,4,FALSE()),0)+O8*IFERROR(VLOOKUP("Approval workflow",'Complexity Reference'!$B$5:$F$9,4,FALSE()),0)+P8*IFERROR(VLOOKUP("Reporting layer",'Complexity Reference'!$B$5:$F$9,4,FALSE()),0))*Q8,0)</f>
        <v>300</v>
      </c>
      <c r="G8" s="164" t="n">
        <f aca="false">ROUND((IFERROR(VLOOKUP($C8,'Package Reference'!$B$6:$F$10,5,FALSE()),0)+L8*IFERROR(VLOOKUP("Extra data sources / triggers",'Complexity Reference'!$B$5:$F$9,5,FALSE()),0)+M8*IFERROR(VLOOKUP("AI generation steps",'Complexity Reference'!$B$5:$F$9,5,FALSE()),0)+N8*IFERROR(VLOOKUP("CRM integration",'Complexity Reference'!$B$5:$F$9,5,FALSE()),0)+O8*IFERROR(VLOOKUP("Approval workflow",'Complexity Reference'!$B$5:$F$9,5,FALSE()),0)+P8*IFERROR(VLOOKUP("Reporting layer",'Complexity Reference'!$B$5:$F$9,5,FALSE()),0))*Q8,0)</f>
        <v>950</v>
      </c>
      <c r="H8" s="149" t="s">
        <v>789</v>
      </c>
      <c r="I8" s="1" t="s">
        <v>785</v>
      </c>
      <c r="J8" s="165" t="s">
        <v>790</v>
      </c>
      <c r="K8" s="166" t="s">
        <v>787</v>
      </c>
      <c r="L8" s="158" t="n">
        <v>0</v>
      </c>
      <c r="M8" s="158" t="n">
        <v>0</v>
      </c>
      <c r="N8" s="158" t="n">
        <v>0</v>
      </c>
      <c r="O8" s="158" t="n">
        <v>1</v>
      </c>
      <c r="P8" s="158" t="n">
        <v>0</v>
      </c>
      <c r="Q8" s="158" t="n">
        <v>1</v>
      </c>
    </row>
    <row r="9" customFormat="false" ht="30" hidden="false" customHeight="true" outlineLevel="0" collapsed="false">
      <c r="B9" s="149" t="s">
        <v>791</v>
      </c>
      <c r="C9" s="1" t="s">
        <v>512</v>
      </c>
      <c r="D9" s="164" t="n">
        <f aca="false">ROUND((IFERROR(VLOOKUP($C9,'Package Reference'!$B$6:$F$10,2,FALSE()),0)+L9*IFERROR(VLOOKUP("Extra data sources / triggers",'Complexity Reference'!$B$5:$F$9,2,FALSE()),0)+M9*IFERROR(VLOOKUP("AI generation steps",'Complexity Reference'!$B$5:$F$9,2,FALSE()),0)+N9*IFERROR(VLOOKUP("CRM integration",'Complexity Reference'!$B$5:$F$9,2,FALSE()),0)+O9*IFERROR(VLOOKUP("Approval workflow",'Complexity Reference'!$B$5:$F$9,2,FALSE()),0)+P9*IFERROR(VLOOKUP("Reporting layer",'Complexity Reference'!$B$5:$F$9,2,FALSE()),0))*Q9,0)</f>
        <v>6175</v>
      </c>
      <c r="E9" s="164" t="n">
        <f aca="false">ROUND((IFERROR(VLOOKUP($C9,'Package Reference'!$B$6:$F$10,3,FALSE()),0)+L9*IFERROR(VLOOKUP("Extra data sources / triggers",'Complexity Reference'!$B$5:$F$9,3,FALSE()),0)+M9*IFERROR(VLOOKUP("AI generation steps",'Complexity Reference'!$B$5:$F$9,3,FALSE()),0)+N9*IFERROR(VLOOKUP("CRM integration",'Complexity Reference'!$B$5:$F$9,3,FALSE()),0)+O9*IFERROR(VLOOKUP("Approval workflow",'Complexity Reference'!$B$5:$F$9,3,FALSE()),0)+P9*IFERROR(VLOOKUP("Reporting layer",'Complexity Reference'!$B$5:$F$9,3,FALSE()),0))*Q9,0)</f>
        <v>14950</v>
      </c>
      <c r="F9" s="164" t="n">
        <f aca="false">ROUND((IFERROR(VLOOKUP($C9,'Package Reference'!$B$6:$F$10,4,FALSE()),0)+L9*IFERROR(VLOOKUP("Extra data sources / triggers",'Complexity Reference'!$B$5:$F$9,4,FALSE()),0)+M9*IFERROR(VLOOKUP("AI generation steps",'Complexity Reference'!$B$5:$F$9,4,FALSE()),0)+N9*IFERROR(VLOOKUP("CRM integration",'Complexity Reference'!$B$5:$F$9,4,FALSE()),0)+O9*IFERROR(VLOOKUP("Approval workflow",'Complexity Reference'!$B$5:$F$9,4,FALSE()),0)+P9*IFERROR(VLOOKUP("Reporting layer",'Complexity Reference'!$B$5:$F$9,4,FALSE()),0))*Q9,0)</f>
        <v>1365</v>
      </c>
      <c r="G9" s="164" t="n">
        <f aca="false">ROUND((IFERROR(VLOOKUP($C9,'Package Reference'!$B$6:$F$10,5,FALSE()),0)+L9*IFERROR(VLOOKUP("Extra data sources / triggers",'Complexity Reference'!$B$5:$F$9,5,FALSE()),0)+M9*IFERROR(VLOOKUP("AI generation steps",'Complexity Reference'!$B$5:$F$9,5,FALSE()),0)+N9*IFERROR(VLOOKUP("CRM integration",'Complexity Reference'!$B$5:$F$9,5,FALSE()),0)+O9*IFERROR(VLOOKUP("Approval workflow",'Complexity Reference'!$B$5:$F$9,5,FALSE()),0)+P9*IFERROR(VLOOKUP("Reporting layer",'Complexity Reference'!$B$5:$F$9,5,FALSE()),0))*Q9,0)</f>
        <v>3250</v>
      </c>
      <c r="H9" s="149" t="s">
        <v>792</v>
      </c>
      <c r="I9" s="1" t="s">
        <v>793</v>
      </c>
      <c r="J9" s="165" t="s">
        <v>794</v>
      </c>
      <c r="K9" s="166" t="s">
        <v>787</v>
      </c>
      <c r="L9" s="158" t="n">
        <v>0</v>
      </c>
      <c r="M9" s="158" t="n">
        <v>1</v>
      </c>
      <c r="N9" s="158" t="n">
        <v>0</v>
      </c>
      <c r="O9" s="158" t="n">
        <v>1</v>
      </c>
      <c r="P9" s="158" t="n">
        <v>0</v>
      </c>
      <c r="Q9" s="158" t="n">
        <v>1.3</v>
      </c>
    </row>
    <row r="10" customFormat="false" ht="30" hidden="false" customHeight="true" outlineLevel="0" collapsed="false">
      <c r="B10" s="149" t="s">
        <v>795</v>
      </c>
      <c r="C10" s="1" t="s">
        <v>519</v>
      </c>
      <c r="D10" s="164" t="n">
        <f aca="false">ROUND((IFERROR(VLOOKUP($C10,'Package Reference'!$B$6:$F$10,2,FALSE()),0)+L10*IFERROR(VLOOKUP("Extra data sources / triggers",'Complexity Reference'!$B$5:$F$9,2,FALSE()),0)+M10*IFERROR(VLOOKUP("AI generation steps",'Complexity Reference'!$B$5:$F$9,2,FALSE()),0)+N10*IFERROR(VLOOKUP("CRM integration",'Complexity Reference'!$B$5:$F$9,2,FALSE()),0)+O10*IFERROR(VLOOKUP("Approval workflow",'Complexity Reference'!$B$5:$F$9,2,FALSE()),0)+P10*IFERROR(VLOOKUP("Reporting layer",'Complexity Reference'!$B$5:$F$9,2,FALSE()),0))*Q10,0)</f>
        <v>8750</v>
      </c>
      <c r="E10" s="164" t="n">
        <f aca="false">ROUND((IFERROR(VLOOKUP($C10,'Package Reference'!$B$6:$F$10,3,FALSE()),0)+L10*IFERROR(VLOOKUP("Extra data sources / triggers",'Complexity Reference'!$B$5:$F$9,3,FALSE()),0)+M10*IFERROR(VLOOKUP("AI generation steps",'Complexity Reference'!$B$5:$F$9,3,FALSE()),0)+N10*IFERROR(VLOOKUP("CRM integration",'Complexity Reference'!$B$5:$F$9,3,FALSE()),0)+O10*IFERROR(VLOOKUP("Approval workflow",'Complexity Reference'!$B$5:$F$9,3,FALSE()),0)+P10*IFERROR(VLOOKUP("Reporting layer",'Complexity Reference'!$B$5:$F$9,3,FALSE()),0))*Q10,0)</f>
        <v>19500</v>
      </c>
      <c r="F10" s="164" t="n">
        <f aca="false">ROUND((IFERROR(VLOOKUP($C10,'Package Reference'!$B$6:$F$10,4,FALSE()),0)+L10*IFERROR(VLOOKUP("Extra data sources / triggers",'Complexity Reference'!$B$5:$F$9,4,FALSE()),0)+M10*IFERROR(VLOOKUP("AI generation steps",'Complexity Reference'!$B$5:$F$9,4,FALSE()),0)+N10*IFERROR(VLOOKUP("CRM integration",'Complexity Reference'!$B$5:$F$9,4,FALSE()),0)+O10*IFERROR(VLOOKUP("Approval workflow",'Complexity Reference'!$B$5:$F$9,4,FALSE()),0)+P10*IFERROR(VLOOKUP("Reporting layer",'Complexity Reference'!$B$5:$F$9,4,FALSE()),0))*Q10,0)</f>
        <v>1950</v>
      </c>
      <c r="G10" s="164" t="n">
        <f aca="false">ROUND((IFERROR(VLOOKUP($C10,'Package Reference'!$B$6:$F$10,5,FALSE()),0)+L10*IFERROR(VLOOKUP("Extra data sources / triggers",'Complexity Reference'!$B$5:$F$9,5,FALSE()),0)+M10*IFERROR(VLOOKUP("AI generation steps",'Complexity Reference'!$B$5:$F$9,5,FALSE()),0)+N10*IFERROR(VLOOKUP("CRM integration",'Complexity Reference'!$B$5:$F$9,5,FALSE()),0)+O10*IFERROR(VLOOKUP("Approval workflow",'Complexity Reference'!$B$5:$F$9,5,FALSE()),0)+P10*IFERROR(VLOOKUP("Reporting layer",'Complexity Reference'!$B$5:$F$9,5,FALSE()),0))*Q10,0)</f>
        <v>5000</v>
      </c>
      <c r="H10" s="149" t="s">
        <v>796</v>
      </c>
      <c r="I10" s="1" t="s">
        <v>793</v>
      </c>
      <c r="J10" s="165" t="s">
        <v>797</v>
      </c>
      <c r="K10" s="166" t="s">
        <v>787</v>
      </c>
      <c r="L10" s="158" t="n">
        <v>0</v>
      </c>
      <c r="M10" s="158" t="n">
        <v>0</v>
      </c>
      <c r="N10" s="158" t="n">
        <v>1</v>
      </c>
      <c r="O10" s="158" t="n">
        <v>0</v>
      </c>
      <c r="P10" s="158" t="n">
        <v>1</v>
      </c>
      <c r="Q10" s="158" t="n">
        <v>1</v>
      </c>
    </row>
    <row r="11" customFormat="false" ht="30" hidden="false" customHeight="true" outlineLevel="0" collapsed="false">
      <c r="B11" s="149" t="s">
        <v>798</v>
      </c>
      <c r="C11" s="1" t="s">
        <v>266</v>
      </c>
      <c r="D11" s="164" t="n">
        <f aca="false">ROUND((IFERROR(VLOOKUP($C11,'Package Reference'!$B$6:$F$10,2,FALSE()),0)+L11*IFERROR(VLOOKUP("Extra data sources / triggers",'Complexity Reference'!$B$5:$F$9,2,FALSE()),0)+M11*IFERROR(VLOOKUP("AI generation steps",'Complexity Reference'!$B$5:$F$9,2,FALSE()),0)+N11*IFERROR(VLOOKUP("CRM integration",'Complexity Reference'!$B$5:$F$9,2,FALSE()),0)+O11*IFERROR(VLOOKUP("Approval workflow",'Complexity Reference'!$B$5:$F$9,2,FALSE()),0)+P11*IFERROR(VLOOKUP("Reporting layer",'Complexity Reference'!$B$5:$F$9,2,FALSE()),0))*Q11,0)</f>
        <v>14000</v>
      </c>
      <c r="E11" s="164" t="n">
        <f aca="false">ROUND((IFERROR(VLOOKUP($C11,'Package Reference'!$B$6:$F$10,3,FALSE()),0)+L11*IFERROR(VLOOKUP("Extra data sources / triggers",'Complexity Reference'!$B$5:$F$9,3,FALSE()),0)+M11*IFERROR(VLOOKUP("AI generation steps",'Complexity Reference'!$B$5:$F$9,3,FALSE()),0)+N11*IFERROR(VLOOKUP("CRM integration",'Complexity Reference'!$B$5:$F$9,3,FALSE()),0)+O11*IFERROR(VLOOKUP("Approval workflow",'Complexity Reference'!$B$5:$F$9,3,FALSE()),0)+P11*IFERROR(VLOOKUP("Reporting layer",'Complexity Reference'!$B$5:$F$9,3,FALSE()),0))*Q11,0)</f>
        <v>36500</v>
      </c>
      <c r="F11" s="164" t="n">
        <f aca="false">ROUND((IFERROR(VLOOKUP($C11,'Package Reference'!$B$6:$F$10,4,FALSE()),0)+L11*IFERROR(VLOOKUP("Extra data sources / triggers",'Complexity Reference'!$B$5:$F$9,4,FALSE()),0)+M11*IFERROR(VLOOKUP("AI generation steps",'Complexity Reference'!$B$5:$F$9,4,FALSE()),0)+N11*IFERROR(VLOOKUP("CRM integration",'Complexity Reference'!$B$5:$F$9,4,FALSE()),0)+O11*IFERROR(VLOOKUP("Approval workflow",'Complexity Reference'!$B$5:$F$9,4,FALSE()),0)+P11*IFERROR(VLOOKUP("Reporting layer",'Complexity Reference'!$B$5:$F$9,4,FALSE()),0))*Q11,0)</f>
        <v>3000</v>
      </c>
      <c r="G11" s="164" t="n">
        <f aca="false">ROUND((IFERROR(VLOOKUP($C11,'Package Reference'!$B$6:$F$10,5,FALSE()),0)+L11*IFERROR(VLOOKUP("Extra data sources / triggers",'Complexity Reference'!$B$5:$F$9,5,FALSE()),0)+M11*IFERROR(VLOOKUP("AI generation steps",'Complexity Reference'!$B$5:$F$9,5,FALSE()),0)+N11*IFERROR(VLOOKUP("CRM integration",'Complexity Reference'!$B$5:$F$9,5,FALSE()),0)+O11*IFERROR(VLOOKUP("Approval workflow",'Complexity Reference'!$B$5:$F$9,5,FALSE()),0)+P11*IFERROR(VLOOKUP("Reporting layer",'Complexity Reference'!$B$5:$F$9,5,FALSE()),0))*Q11,0)</f>
        <v>7600</v>
      </c>
      <c r="H11" s="149" t="s">
        <v>799</v>
      </c>
      <c r="I11" s="1" t="s">
        <v>800</v>
      </c>
      <c r="J11" s="165" t="s">
        <v>801</v>
      </c>
      <c r="K11" s="166" t="s">
        <v>787</v>
      </c>
      <c r="L11" s="158" t="n">
        <v>0</v>
      </c>
      <c r="M11" s="158" t="n">
        <v>1</v>
      </c>
      <c r="N11" s="158" t="n">
        <v>1</v>
      </c>
      <c r="O11" s="158" t="n">
        <v>1</v>
      </c>
      <c r="P11" s="158" t="n">
        <v>0</v>
      </c>
      <c r="Q11" s="158" t="n">
        <v>1</v>
      </c>
    </row>
    <row r="12" customFormat="false" ht="30" hidden="false" customHeight="true" outlineLevel="0" collapsed="false">
      <c r="B12" s="149" t="s">
        <v>802</v>
      </c>
      <c r="C12" s="1" t="s">
        <v>532</v>
      </c>
      <c r="D12" s="1" t="n">
        <v>4500</v>
      </c>
      <c r="E12" s="1" t="n">
        <v>15000</v>
      </c>
      <c r="F12" s="1" t="n">
        <v>0</v>
      </c>
      <c r="G12" s="1" t="n">
        <v>1000</v>
      </c>
      <c r="H12" s="149" t="s">
        <v>803</v>
      </c>
      <c r="I12" s="1" t="s">
        <v>804</v>
      </c>
      <c r="J12" s="165" t="s">
        <v>805</v>
      </c>
      <c r="K12" s="167" t="s">
        <v>806</v>
      </c>
    </row>
    <row r="13" customFormat="false" ht="68.25" hidden="false" customHeight="true" outlineLevel="0" collapsed="false">
      <c r="B13" s="149" t="s">
        <v>807</v>
      </c>
      <c r="C13" s="1" t="s">
        <v>505</v>
      </c>
      <c r="D13" s="164" t="n">
        <f aca="false">ROUND((IFERROR(VLOOKUP($C13,'Package Reference'!$B$6:$F$10,2,FALSE()),0)+L13*IFERROR(VLOOKUP("Extra data sources / triggers",'Complexity Reference'!$B$5:$F$9,2,FALSE()),0)+M13*IFERROR(VLOOKUP("AI generation steps",'Complexity Reference'!$B$5:$F$9,2,FALSE()),0)+N13*IFERROR(VLOOKUP("CRM integration",'Complexity Reference'!$B$5:$F$9,2,FALSE()),0)+O13*IFERROR(VLOOKUP("Approval workflow",'Complexity Reference'!$B$5:$F$9,2,FALSE()),0)+P13*IFERROR(VLOOKUP("Reporting layer",'Complexity Reference'!$B$5:$F$9,2,FALSE()),0))*Q13,0)</f>
        <v>2250</v>
      </c>
      <c r="E13" s="164" t="n">
        <f aca="false">ROUND((IFERROR(VLOOKUP($C13,'Package Reference'!$B$6:$F$10,3,FALSE()),0)+L13*IFERROR(VLOOKUP("Extra data sources / triggers",'Complexity Reference'!$B$5:$F$9,3,FALSE()),0)+M13*IFERROR(VLOOKUP("AI generation steps",'Complexity Reference'!$B$5:$F$9,3,FALSE()),0)+N13*IFERROR(VLOOKUP("CRM integration",'Complexity Reference'!$B$5:$F$9,3,FALSE()),0)+O13*IFERROR(VLOOKUP("Approval workflow",'Complexity Reference'!$B$5:$F$9,3,FALSE()),0)+P13*IFERROR(VLOOKUP("Reporting layer",'Complexity Reference'!$B$5:$F$9,3,FALSE()),0))*Q13,0)</f>
        <v>6000</v>
      </c>
      <c r="F13" s="164" t="n">
        <f aca="false">ROUND((IFERROR(VLOOKUP($C13,'Package Reference'!$B$6:$F$10,4,FALSE()),0)+L13*IFERROR(VLOOKUP("Extra data sources / triggers",'Complexity Reference'!$B$5:$F$9,4,FALSE()),0)+M13*IFERROR(VLOOKUP("AI generation steps",'Complexity Reference'!$B$5:$F$9,4,FALSE()),0)+N13*IFERROR(VLOOKUP("CRM integration",'Complexity Reference'!$B$5:$F$9,4,FALSE()),0)+O13*IFERROR(VLOOKUP("Approval workflow",'Complexity Reference'!$B$5:$F$9,4,FALSE()),0)+P13*IFERROR(VLOOKUP("Reporting layer",'Complexity Reference'!$B$5:$F$9,4,FALSE()),0))*Q13,0)</f>
        <v>500</v>
      </c>
      <c r="G13" s="164" t="n">
        <f aca="false">ROUND((IFERROR(VLOOKUP($C13,'Package Reference'!$B$6:$F$10,5,FALSE()),0)+L13*IFERROR(VLOOKUP("Extra data sources / triggers",'Complexity Reference'!$B$5:$F$9,5,FALSE()),0)+M13*IFERROR(VLOOKUP("AI generation steps",'Complexity Reference'!$B$5:$F$9,5,FALSE()),0)+N13*IFERROR(VLOOKUP("CRM integration",'Complexity Reference'!$B$5:$F$9,5,FALSE()),0)+O13*IFERROR(VLOOKUP("Approval workflow",'Complexity Reference'!$B$5:$F$9,5,FALSE()),0)+P13*IFERROR(VLOOKUP("Reporting layer",'Complexity Reference'!$B$5:$F$9,5,FALSE()),0))*Q13,0)</f>
        <v>1350</v>
      </c>
      <c r="H13" s="149" t="s">
        <v>808</v>
      </c>
      <c r="I13" s="1" t="s">
        <v>785</v>
      </c>
      <c r="J13" s="165" t="s">
        <v>809</v>
      </c>
      <c r="K13" s="166" t="s">
        <v>787</v>
      </c>
      <c r="L13" s="158" t="n">
        <v>0</v>
      </c>
      <c r="M13" s="158" t="n">
        <v>0</v>
      </c>
      <c r="N13" s="158" t="n">
        <v>1</v>
      </c>
      <c r="O13" s="158" t="n">
        <v>0</v>
      </c>
      <c r="P13" s="158" t="n">
        <v>0</v>
      </c>
      <c r="Q13" s="158" t="n">
        <v>1</v>
      </c>
    </row>
    <row r="14" customFormat="false" ht="68.25" hidden="false" customHeight="true" outlineLevel="0" collapsed="false">
      <c r="B14" s="149" t="s">
        <v>810</v>
      </c>
      <c r="C14" s="1" t="s">
        <v>505</v>
      </c>
      <c r="D14" s="164" t="n">
        <f aca="false">ROUND((IFERROR(VLOOKUP($C14,'Package Reference'!$B$6:$F$10,2,FALSE()),0)+L14*IFERROR(VLOOKUP("Extra data sources / triggers",'Complexity Reference'!$B$5:$F$9,2,FALSE()),0)+M14*IFERROR(VLOOKUP("AI generation steps",'Complexity Reference'!$B$5:$F$9,2,FALSE()),0)+N14*IFERROR(VLOOKUP("CRM integration",'Complexity Reference'!$B$5:$F$9,2,FALSE()),0)+O14*IFERROR(VLOOKUP("Approval workflow",'Complexity Reference'!$B$5:$F$9,2,FALSE()),0)+P14*IFERROR(VLOOKUP("Reporting layer",'Complexity Reference'!$B$5:$F$9,2,FALSE()),0))*Q14,0)</f>
        <v>2750</v>
      </c>
      <c r="E14" s="164" t="n">
        <f aca="false">ROUND((IFERROR(VLOOKUP($C14,'Package Reference'!$B$6:$F$10,3,FALSE()),0)+L14*IFERROR(VLOOKUP("Extra data sources / triggers",'Complexity Reference'!$B$5:$F$9,3,FALSE()),0)+M14*IFERROR(VLOOKUP("AI generation steps",'Complexity Reference'!$B$5:$F$9,3,FALSE()),0)+N14*IFERROR(VLOOKUP("CRM integration",'Complexity Reference'!$B$5:$F$9,3,FALSE()),0)+O14*IFERROR(VLOOKUP("Approval workflow",'Complexity Reference'!$B$5:$F$9,3,FALSE()),0)+P14*IFERROR(VLOOKUP("Reporting layer",'Complexity Reference'!$B$5:$F$9,3,FALSE()),0))*Q14,0)</f>
        <v>7500</v>
      </c>
      <c r="F14" s="164" t="n">
        <f aca="false">ROUND((IFERROR(VLOOKUP($C14,'Package Reference'!$B$6:$F$10,4,FALSE()),0)+L14*IFERROR(VLOOKUP("Extra data sources / triggers",'Complexity Reference'!$B$5:$F$9,4,FALSE()),0)+M14*IFERROR(VLOOKUP("AI generation steps",'Complexity Reference'!$B$5:$F$9,4,FALSE()),0)+N14*IFERROR(VLOOKUP("CRM integration",'Complexity Reference'!$B$5:$F$9,4,FALSE()),0)+O14*IFERROR(VLOOKUP("Approval workflow",'Complexity Reference'!$B$5:$F$9,4,FALSE()),0)+P14*IFERROR(VLOOKUP("Reporting layer",'Complexity Reference'!$B$5:$F$9,4,FALSE()),0))*Q14,0)</f>
        <v>600</v>
      </c>
      <c r="G14" s="164" t="n">
        <f aca="false">ROUND((IFERROR(VLOOKUP($C14,'Package Reference'!$B$6:$F$10,5,FALSE()),0)+L14*IFERROR(VLOOKUP("Extra data sources / triggers",'Complexity Reference'!$B$5:$F$9,5,FALSE()),0)+M14*IFERROR(VLOOKUP("AI generation steps",'Complexity Reference'!$B$5:$F$9,5,FALSE()),0)+N14*IFERROR(VLOOKUP("CRM integration",'Complexity Reference'!$B$5:$F$9,5,FALSE()),0)+O14*IFERROR(VLOOKUP("Approval workflow",'Complexity Reference'!$B$5:$F$9,5,FALSE()),0)+P14*IFERROR(VLOOKUP("Reporting layer",'Complexity Reference'!$B$5:$F$9,5,FALSE()),0))*Q14,0)</f>
        <v>1650</v>
      </c>
      <c r="H14" s="149" t="s">
        <v>811</v>
      </c>
      <c r="I14" s="1" t="s">
        <v>785</v>
      </c>
      <c r="J14" s="165" t="s">
        <v>812</v>
      </c>
      <c r="K14" s="166" t="s">
        <v>787</v>
      </c>
      <c r="L14" s="158" t="n">
        <v>1</v>
      </c>
      <c r="M14" s="158" t="n">
        <v>0</v>
      </c>
      <c r="N14" s="158" t="n">
        <v>1</v>
      </c>
      <c r="O14" s="158" t="n">
        <v>0</v>
      </c>
      <c r="P14" s="158" t="n">
        <v>0</v>
      </c>
      <c r="Q14" s="158" t="n">
        <v>1</v>
      </c>
    </row>
  </sheetData>
  <mergeCells count="1">
    <mergeCell ref="B3: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4"/>
    <col collapsed="false" customWidth="true" hidden="false" outlineLevel="0" max="4" min="3" style="1" width="11"/>
    <col collapsed="false" customWidth="true" hidden="false" outlineLevel="0" max="6" min="5" style="1" width="13"/>
    <col collapsed="false" customWidth="true" hidden="false" outlineLevel="0" max="7" min="7" style="1" width="9"/>
    <col collapsed="false" customWidth="true" hidden="false" outlineLevel="0" max="8" min="8" style="1" width="28"/>
    <col collapsed="false" customWidth="true" hidden="false" outlineLevel="0" max="9" min="9" style="1" width="26"/>
  </cols>
  <sheetData>
    <row r="2" customFormat="false" ht="33.75" hidden="false" customHeight="true" outlineLevel="0" collapsed="false">
      <c r="B2" s="2" t="s">
        <v>813</v>
      </c>
      <c r="C2" s="2"/>
      <c r="D2" s="2"/>
      <c r="E2" s="2"/>
      <c r="F2" s="2"/>
      <c r="G2" s="2"/>
      <c r="H2" s="2"/>
      <c r="I2" s="2"/>
    </row>
    <row r="3" customFormat="false" ht="60" hidden="false" customHeight="true" outlineLevel="0" collapsed="false">
      <c r="B3" s="168" t="s">
        <v>814</v>
      </c>
      <c r="C3" s="168"/>
      <c r="D3" s="168"/>
      <c r="E3" s="168"/>
      <c r="F3" s="168"/>
      <c r="G3" s="168"/>
      <c r="H3" s="168"/>
      <c r="I3" s="168"/>
      <c r="J3" s="15"/>
      <c r="K3" s="15"/>
    </row>
    <row r="5" customFormat="false" ht="30" hidden="false" customHeight="true" outlineLevel="0" collapsed="false">
      <c r="B5" s="169" t="s">
        <v>788</v>
      </c>
      <c r="C5" s="170" t="s">
        <v>815</v>
      </c>
      <c r="D5" s="170"/>
      <c r="E5" s="170"/>
      <c r="F5" s="170"/>
      <c r="G5" s="170"/>
      <c r="H5" s="170"/>
      <c r="I5" s="170"/>
    </row>
    <row r="6" customFormat="false" ht="15" hidden="false" customHeight="true" outlineLevel="0" collapsed="false">
      <c r="B6" s="171" t="s">
        <v>816</v>
      </c>
      <c r="C6" s="171" t="s">
        <v>817</v>
      </c>
      <c r="D6" s="171" t="s">
        <v>818</v>
      </c>
      <c r="E6" s="171" t="s">
        <v>819</v>
      </c>
      <c r="F6" s="171" t="s">
        <v>820</v>
      </c>
      <c r="G6" s="171" t="s">
        <v>821</v>
      </c>
      <c r="H6" s="172" t="s">
        <v>822</v>
      </c>
      <c r="I6" s="172" t="s">
        <v>823</v>
      </c>
    </row>
    <row r="7" customFormat="false" ht="25.5" hidden="false" customHeight="true" outlineLevel="0" collapsed="false">
      <c r="B7" s="10" t="s">
        <v>408</v>
      </c>
      <c r="C7" s="173" t="n">
        <f aca="false">'Example Quotes'!D8</f>
        <v>1500</v>
      </c>
      <c r="D7" s="173" t="n">
        <f aca="false">'Example Quotes'!E8</f>
        <v>3800</v>
      </c>
      <c r="E7" s="173" t="n">
        <f aca="false">'Example Quotes'!F8</f>
        <v>300</v>
      </c>
      <c r="F7" s="173" t="n">
        <f aca="false">'Example Quotes'!G8</f>
        <v>950</v>
      </c>
      <c r="G7" s="174" t="s">
        <v>409</v>
      </c>
      <c r="H7" s="175" t="s">
        <v>824</v>
      </c>
      <c r="I7" s="176" t="s">
        <v>825</v>
      </c>
    </row>
    <row r="8" customFormat="false" ht="25.5" hidden="false" customHeight="true" outlineLevel="0" collapsed="false">
      <c r="B8" s="9" t="s">
        <v>826</v>
      </c>
      <c r="C8" s="177" t="n">
        <f aca="false">ROUND(C7*1.3,0)</f>
        <v>1950</v>
      </c>
      <c r="D8" s="177" t="n">
        <f aca="false">ROUND(D7*1.3,0)</f>
        <v>4940</v>
      </c>
      <c r="E8" s="177" t="n">
        <f aca="false">ROUND(E7*12*0.5,0)</f>
        <v>1800</v>
      </c>
      <c r="F8" s="177" t="n">
        <f aca="false">ROUND(F7*12*0.5,0)</f>
        <v>5700</v>
      </c>
      <c r="G8" s="178" t="s">
        <v>827</v>
      </c>
      <c r="H8" s="175" t="s">
        <v>828</v>
      </c>
      <c r="I8" s="176" t="s">
        <v>829</v>
      </c>
    </row>
    <row r="9" customFormat="false" ht="25.5" hidden="false" customHeight="true" outlineLevel="0" collapsed="false">
      <c r="B9" s="179" t="s">
        <v>830</v>
      </c>
      <c r="C9" s="180" t="n">
        <f aca="false">ROUND(C7+2.5*12*E7,0)</f>
        <v>10500</v>
      </c>
      <c r="D9" s="180" t="n">
        <f aca="false">ROUND(D7+2.5*12*F7,0)</f>
        <v>32300</v>
      </c>
      <c r="E9" s="173" t="n">
        <v>0</v>
      </c>
      <c r="F9" s="173" t="n">
        <v>0</v>
      </c>
      <c r="G9" s="174" t="s">
        <v>409</v>
      </c>
      <c r="H9" s="175" t="s">
        <v>831</v>
      </c>
      <c r="I9" s="181" t="s">
        <v>829</v>
      </c>
    </row>
    <row r="11" customFormat="false" ht="30" hidden="false" customHeight="true" outlineLevel="0" collapsed="false">
      <c r="B11" s="169" t="s">
        <v>832</v>
      </c>
      <c r="C11" s="170" t="s">
        <v>833</v>
      </c>
      <c r="D11" s="170"/>
      <c r="E11" s="170"/>
      <c r="F11" s="170"/>
      <c r="G11" s="170"/>
      <c r="H11" s="170"/>
      <c r="I11" s="170"/>
    </row>
    <row r="12" customFormat="false" ht="15" hidden="false" customHeight="true" outlineLevel="0" collapsed="false">
      <c r="B12" s="171" t="s">
        <v>816</v>
      </c>
      <c r="C12" s="171" t="s">
        <v>817</v>
      </c>
      <c r="D12" s="171" t="s">
        <v>818</v>
      </c>
      <c r="E12" s="171" t="s">
        <v>819</v>
      </c>
      <c r="F12" s="171" t="s">
        <v>820</v>
      </c>
      <c r="G12" s="171" t="s">
        <v>821</v>
      </c>
      <c r="H12" s="172" t="s">
        <v>822</v>
      </c>
      <c r="I12" s="172" t="s">
        <v>823</v>
      </c>
    </row>
    <row r="13" customFormat="false" ht="25.5" hidden="false" customHeight="true" outlineLevel="0" collapsed="false">
      <c r="B13" s="10" t="s">
        <v>408</v>
      </c>
      <c r="C13" s="173" t="n">
        <f aca="false">'Example Quotes'!D7</f>
        <v>3500</v>
      </c>
      <c r="D13" s="173" t="n">
        <f aca="false">'Example Quotes'!E7</f>
        <v>10000</v>
      </c>
      <c r="E13" s="173" t="n">
        <f aca="false">'Example Quotes'!F7</f>
        <v>800</v>
      </c>
      <c r="F13" s="173" t="n">
        <f aca="false">'Example Quotes'!G7</f>
        <v>2350</v>
      </c>
      <c r="G13" s="174" t="s">
        <v>409</v>
      </c>
      <c r="H13" s="175" t="s">
        <v>824</v>
      </c>
      <c r="I13" s="176" t="s">
        <v>834</v>
      </c>
    </row>
    <row r="14" customFormat="false" ht="25.5" hidden="false" customHeight="true" outlineLevel="0" collapsed="false">
      <c r="B14" s="9" t="s">
        <v>826</v>
      </c>
      <c r="C14" s="177" t="n">
        <f aca="false">ROUND(C13*1.3,0)</f>
        <v>4550</v>
      </c>
      <c r="D14" s="177" t="n">
        <f aca="false">ROUND(D13*1.3,0)</f>
        <v>13000</v>
      </c>
      <c r="E14" s="177" t="n">
        <f aca="false">ROUND(E13*12*0.5,0)</f>
        <v>4800</v>
      </c>
      <c r="F14" s="177" t="n">
        <f aca="false">ROUND(F13*12*0.5,0)</f>
        <v>14100</v>
      </c>
      <c r="G14" s="178" t="s">
        <v>827</v>
      </c>
      <c r="H14" s="175" t="s">
        <v>828</v>
      </c>
      <c r="I14" s="176" t="s">
        <v>829</v>
      </c>
    </row>
    <row r="15" customFormat="false" ht="25.5" hidden="false" customHeight="true" outlineLevel="0" collapsed="false">
      <c r="B15" s="179" t="s">
        <v>830</v>
      </c>
      <c r="C15" s="180" t="n">
        <f aca="false">ROUND(C13+2.5*12*E13,0)</f>
        <v>27500</v>
      </c>
      <c r="D15" s="180" t="n">
        <f aca="false">ROUND(D13+2.5*12*F13,0)</f>
        <v>80500</v>
      </c>
      <c r="E15" s="173" t="n">
        <v>0</v>
      </c>
      <c r="F15" s="173" t="n">
        <v>0</v>
      </c>
      <c r="G15" s="174" t="s">
        <v>409</v>
      </c>
      <c r="H15" s="175" t="s">
        <v>831</v>
      </c>
      <c r="I15" s="181" t="s">
        <v>829</v>
      </c>
    </row>
    <row r="17" customFormat="false" ht="30" hidden="false" customHeight="true" outlineLevel="0" collapsed="false">
      <c r="B17" s="169" t="s">
        <v>791</v>
      </c>
      <c r="C17" s="170" t="s">
        <v>835</v>
      </c>
      <c r="D17" s="170"/>
      <c r="E17" s="170"/>
      <c r="F17" s="170"/>
      <c r="G17" s="170"/>
      <c r="H17" s="170"/>
      <c r="I17" s="170"/>
    </row>
    <row r="18" customFormat="false" ht="15" hidden="false" customHeight="true" outlineLevel="0" collapsed="false">
      <c r="B18" s="171" t="s">
        <v>816</v>
      </c>
      <c r="C18" s="171" t="s">
        <v>817</v>
      </c>
      <c r="D18" s="171" t="s">
        <v>818</v>
      </c>
      <c r="E18" s="171" t="s">
        <v>819</v>
      </c>
      <c r="F18" s="171" t="s">
        <v>820</v>
      </c>
      <c r="G18" s="171" t="s">
        <v>821</v>
      </c>
      <c r="H18" s="172" t="s">
        <v>822</v>
      </c>
      <c r="I18" s="172" t="s">
        <v>823</v>
      </c>
    </row>
    <row r="19" customFormat="false" ht="25.5" hidden="false" customHeight="true" outlineLevel="0" collapsed="false">
      <c r="B19" s="10" t="s">
        <v>408</v>
      </c>
      <c r="C19" s="173" t="n">
        <f aca="false">'Example Quotes'!D9</f>
        <v>6175</v>
      </c>
      <c r="D19" s="173" t="n">
        <f aca="false">'Example Quotes'!E9</f>
        <v>14950</v>
      </c>
      <c r="E19" s="173" t="n">
        <f aca="false">'Example Quotes'!F9</f>
        <v>1365</v>
      </c>
      <c r="F19" s="173" t="n">
        <f aca="false">'Example Quotes'!G9</f>
        <v>3250</v>
      </c>
      <c r="G19" s="174" t="s">
        <v>409</v>
      </c>
      <c r="H19" s="175" t="s">
        <v>824</v>
      </c>
      <c r="I19" s="176" t="s">
        <v>836</v>
      </c>
    </row>
    <row r="20" customFormat="false" ht="25.5" hidden="false" customHeight="true" outlineLevel="0" collapsed="false">
      <c r="B20" s="9" t="s">
        <v>826</v>
      </c>
      <c r="C20" s="177" t="n">
        <f aca="false">ROUND(C19*1.3,0)</f>
        <v>8028</v>
      </c>
      <c r="D20" s="177" t="n">
        <f aca="false">ROUND(D19*1.3,0)</f>
        <v>19435</v>
      </c>
      <c r="E20" s="177" t="n">
        <f aca="false">ROUND(E19*12*0.5,0)</f>
        <v>8190</v>
      </c>
      <c r="F20" s="177" t="n">
        <f aca="false">ROUND(F19*12*0.5,0)</f>
        <v>19500</v>
      </c>
      <c r="G20" s="178" t="s">
        <v>827</v>
      </c>
      <c r="H20" s="175" t="s">
        <v>828</v>
      </c>
      <c r="I20" s="176" t="s">
        <v>829</v>
      </c>
    </row>
    <row r="21" customFormat="false" ht="25.5" hidden="false" customHeight="true" outlineLevel="0" collapsed="false">
      <c r="B21" s="179" t="s">
        <v>830</v>
      </c>
      <c r="C21" s="180" t="n">
        <f aca="false">ROUND(C19+2.5*12*E19,0)</f>
        <v>47125</v>
      </c>
      <c r="D21" s="180" t="n">
        <f aca="false">ROUND(D19+2.5*12*F19,0)</f>
        <v>112450</v>
      </c>
      <c r="E21" s="173" t="n">
        <v>0</v>
      </c>
      <c r="F21" s="173" t="n">
        <v>0</v>
      </c>
      <c r="G21" s="174" t="s">
        <v>409</v>
      </c>
      <c r="H21" s="175" t="s">
        <v>831</v>
      </c>
      <c r="I21" s="181" t="s">
        <v>829</v>
      </c>
    </row>
    <row r="23" customFormat="false" ht="30" hidden="false" customHeight="true" outlineLevel="0" collapsed="false">
      <c r="B23" s="169" t="s">
        <v>795</v>
      </c>
      <c r="C23" s="170" t="s">
        <v>837</v>
      </c>
      <c r="D23" s="170"/>
      <c r="E23" s="170"/>
      <c r="F23" s="170"/>
      <c r="G23" s="170"/>
      <c r="H23" s="170"/>
      <c r="I23" s="170"/>
    </row>
    <row r="24" customFormat="false" ht="15" hidden="false" customHeight="true" outlineLevel="0" collapsed="false">
      <c r="B24" s="171" t="s">
        <v>816</v>
      </c>
      <c r="C24" s="171" t="s">
        <v>817</v>
      </c>
      <c r="D24" s="171" t="s">
        <v>818</v>
      </c>
      <c r="E24" s="171" t="s">
        <v>819</v>
      </c>
      <c r="F24" s="171" t="s">
        <v>820</v>
      </c>
      <c r="G24" s="171" t="s">
        <v>821</v>
      </c>
      <c r="H24" s="172" t="s">
        <v>822</v>
      </c>
      <c r="I24" s="172" t="s">
        <v>823</v>
      </c>
    </row>
    <row r="25" customFormat="false" ht="25.5" hidden="false" customHeight="true" outlineLevel="0" collapsed="false">
      <c r="B25" s="10" t="s">
        <v>408</v>
      </c>
      <c r="C25" s="173" t="n">
        <f aca="false">'Example Quotes'!D10</f>
        <v>8750</v>
      </c>
      <c r="D25" s="173" t="n">
        <f aca="false">'Example Quotes'!E10</f>
        <v>19500</v>
      </c>
      <c r="E25" s="173" t="n">
        <f aca="false">'Example Quotes'!F10</f>
        <v>1950</v>
      </c>
      <c r="F25" s="173" t="n">
        <f aca="false">'Example Quotes'!G10</f>
        <v>5000</v>
      </c>
      <c r="G25" s="174" t="s">
        <v>409</v>
      </c>
      <c r="H25" s="175" t="s">
        <v>824</v>
      </c>
      <c r="I25" s="176" t="s">
        <v>838</v>
      </c>
    </row>
    <row r="26" customFormat="false" ht="25.5" hidden="false" customHeight="true" outlineLevel="0" collapsed="false">
      <c r="B26" s="9" t="s">
        <v>826</v>
      </c>
      <c r="C26" s="177" t="n">
        <f aca="false">ROUND(C25*1.3,0)</f>
        <v>11375</v>
      </c>
      <c r="D26" s="177" t="n">
        <f aca="false">ROUND(D25*1.3,0)</f>
        <v>25350</v>
      </c>
      <c r="E26" s="177" t="n">
        <f aca="false">ROUND(E25*12*0.5,0)</f>
        <v>11700</v>
      </c>
      <c r="F26" s="177" t="n">
        <f aca="false">ROUND(F25*12*0.5,0)</f>
        <v>30000</v>
      </c>
      <c r="G26" s="178" t="s">
        <v>827</v>
      </c>
      <c r="H26" s="175" t="s">
        <v>828</v>
      </c>
      <c r="I26" s="176" t="s">
        <v>829</v>
      </c>
    </row>
    <row r="27" customFormat="false" ht="25.5" hidden="false" customHeight="true" outlineLevel="0" collapsed="false">
      <c r="B27" s="179" t="s">
        <v>830</v>
      </c>
      <c r="C27" s="180" t="n">
        <f aca="false">ROUND(C25+2.5*12*E25,0)</f>
        <v>67250</v>
      </c>
      <c r="D27" s="180" t="n">
        <f aca="false">ROUND(D25+2.5*12*F25,0)</f>
        <v>169500</v>
      </c>
      <c r="E27" s="173" t="n">
        <v>0</v>
      </c>
      <c r="F27" s="173" t="n">
        <v>0</v>
      </c>
      <c r="G27" s="174" t="s">
        <v>409</v>
      </c>
      <c r="H27" s="175" t="s">
        <v>831</v>
      </c>
      <c r="I27" s="181" t="s">
        <v>829</v>
      </c>
    </row>
    <row r="29" customFormat="false" ht="15" hidden="false" customHeight="true" outlineLevel="0" collapsed="false">
      <c r="B29" s="169" t="s">
        <v>798</v>
      </c>
      <c r="C29" s="170" t="s">
        <v>839</v>
      </c>
      <c r="D29" s="170"/>
      <c r="E29" s="170"/>
      <c r="F29" s="170"/>
      <c r="G29" s="170"/>
      <c r="H29" s="170"/>
      <c r="I29" s="170"/>
    </row>
    <row r="30" customFormat="false" ht="15" hidden="false" customHeight="true" outlineLevel="0" collapsed="false">
      <c r="B30" s="171" t="s">
        <v>816</v>
      </c>
      <c r="C30" s="171" t="s">
        <v>817</v>
      </c>
      <c r="D30" s="171" t="s">
        <v>818</v>
      </c>
      <c r="E30" s="171" t="s">
        <v>819</v>
      </c>
      <c r="F30" s="171" t="s">
        <v>820</v>
      </c>
      <c r="G30" s="171" t="s">
        <v>821</v>
      </c>
      <c r="H30" s="172" t="s">
        <v>822</v>
      </c>
      <c r="I30" s="172" t="s">
        <v>823</v>
      </c>
    </row>
    <row r="31" customFormat="false" ht="25.5" hidden="false" customHeight="true" outlineLevel="0" collapsed="false">
      <c r="B31" s="10" t="s">
        <v>408</v>
      </c>
      <c r="C31" s="173" t="n">
        <f aca="false">'Example Quotes'!D11</f>
        <v>14000</v>
      </c>
      <c r="D31" s="173" t="n">
        <f aca="false">'Example Quotes'!E11</f>
        <v>36500</v>
      </c>
      <c r="E31" s="173" t="n">
        <f aca="false">'Example Quotes'!F11</f>
        <v>3000</v>
      </c>
      <c r="F31" s="173" t="n">
        <f aca="false">'Example Quotes'!G11</f>
        <v>7600</v>
      </c>
      <c r="G31" s="174" t="s">
        <v>409</v>
      </c>
      <c r="H31" s="175" t="s">
        <v>824</v>
      </c>
      <c r="I31" s="176" t="s">
        <v>840</v>
      </c>
    </row>
    <row r="32" customFormat="false" ht="25.5" hidden="false" customHeight="true" outlineLevel="0" collapsed="false">
      <c r="B32" s="9" t="s">
        <v>826</v>
      </c>
      <c r="C32" s="177" t="n">
        <f aca="false">ROUND(C31*1.3,0)</f>
        <v>18200</v>
      </c>
      <c r="D32" s="177" t="n">
        <f aca="false">ROUND(D31*1.3,0)</f>
        <v>47450</v>
      </c>
      <c r="E32" s="177" t="n">
        <f aca="false">ROUND(E31*12*0.5,0)</f>
        <v>18000</v>
      </c>
      <c r="F32" s="177" t="n">
        <f aca="false">ROUND(F31*12*0.5,0)</f>
        <v>45600</v>
      </c>
      <c r="G32" s="178" t="s">
        <v>827</v>
      </c>
      <c r="H32" s="175" t="s">
        <v>828</v>
      </c>
      <c r="I32" s="176" t="s">
        <v>829</v>
      </c>
    </row>
    <row r="33" customFormat="false" ht="25.5" hidden="false" customHeight="true" outlineLevel="0" collapsed="false">
      <c r="B33" s="179" t="s">
        <v>830</v>
      </c>
      <c r="C33" s="180" t="n">
        <f aca="false">ROUND(C31+2.5*12*E31,0)</f>
        <v>104000</v>
      </c>
      <c r="D33" s="180" t="n">
        <f aca="false">ROUND(D31+2.5*12*F31,0)</f>
        <v>264500</v>
      </c>
      <c r="E33" s="173" t="n">
        <v>0</v>
      </c>
      <c r="F33" s="173" t="n">
        <v>0</v>
      </c>
      <c r="G33" s="174" t="s">
        <v>409</v>
      </c>
      <c r="H33" s="175" t="s">
        <v>831</v>
      </c>
      <c r="I33" s="181" t="s">
        <v>829</v>
      </c>
    </row>
    <row r="35" customFormat="false" ht="15" hidden="false" customHeight="true" outlineLevel="0" collapsed="false">
      <c r="B35" s="182" t="s">
        <v>841</v>
      </c>
      <c r="C35" s="182"/>
      <c r="D35" s="182"/>
      <c r="E35" s="182"/>
      <c r="F35" s="182"/>
      <c r="G35" s="182"/>
      <c r="H35" s="182"/>
      <c r="I35" s="182"/>
    </row>
    <row r="36" customFormat="false" ht="18.75" hidden="false" customHeight="true" outlineLevel="0" collapsed="false">
      <c r="B36" s="183" t="s">
        <v>842</v>
      </c>
      <c r="C36" s="183"/>
      <c r="D36" s="183"/>
      <c r="E36" s="183"/>
      <c r="F36" s="183"/>
      <c r="G36" s="183"/>
      <c r="H36" s="183"/>
      <c r="I36" s="183"/>
    </row>
  </sheetData>
  <mergeCells count="8">
    <mergeCell ref="B3:I3"/>
    <mergeCell ref="C5:I5"/>
    <mergeCell ref="C11:I11"/>
    <mergeCell ref="C17:I17"/>
    <mergeCell ref="C23:I23"/>
    <mergeCell ref="C29:I29"/>
    <mergeCell ref="B35:I35"/>
    <mergeCell ref="B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7" min="3" style="1" width="13.83"/>
    <col collapsed="false" customWidth="true" hidden="false" outlineLevel="0" max="8" min="8" style="1" width="21.83"/>
    <col collapsed="false" customWidth="true" hidden="false" outlineLevel="0" max="9" min="9" style="1" width="13.83"/>
  </cols>
  <sheetData>
    <row r="1" customFormat="false" ht="15" hidden="false" customHeight="true" outlineLevel="0" collapsed="false"/>
    <row r="2" customFormat="false" ht="33.75" hidden="false" customHeight="true" outlineLevel="0" collapsed="false">
      <c r="B2" s="2" t="s">
        <v>34</v>
      </c>
      <c r="C2" s="2"/>
      <c r="D2" s="2"/>
      <c r="E2" s="2"/>
      <c r="F2" s="2"/>
      <c r="G2" s="2"/>
      <c r="H2" s="2"/>
      <c r="I2" s="2"/>
    </row>
    <row r="3" customFormat="false" ht="33.75" hidden="false" customHeight="true" outlineLevel="0" collapsed="false">
      <c r="B3" s="168" t="s">
        <v>843</v>
      </c>
      <c r="C3" s="168"/>
      <c r="D3" s="168"/>
      <c r="E3" s="168"/>
      <c r="F3" s="168"/>
      <c r="G3" s="168"/>
      <c r="H3" s="168"/>
      <c r="I3" s="168"/>
    </row>
    <row r="5" customFormat="false" ht="15" hidden="false" customHeight="true" outlineLevel="0" collapsed="false">
      <c r="B5" s="184" t="s">
        <v>844</v>
      </c>
      <c r="C5" s="184"/>
      <c r="D5" s="184"/>
      <c r="E5" s="184"/>
      <c r="F5" s="184"/>
      <c r="G5" s="184"/>
      <c r="H5" s="184"/>
      <c r="I5" s="184"/>
    </row>
    <row r="6" customFormat="false" ht="27.75" hidden="false" customHeight="true" outlineLevel="0" collapsed="false">
      <c r="B6" s="185" t="s">
        <v>845</v>
      </c>
      <c r="C6" s="186" t="n">
        <v>0.5</v>
      </c>
      <c r="D6" s="187" t="s">
        <v>846</v>
      </c>
      <c r="E6" s="187"/>
      <c r="F6" s="187"/>
      <c r="G6" s="187"/>
      <c r="H6" s="187"/>
      <c r="I6" s="187"/>
    </row>
    <row r="7" customFormat="false" ht="15" hidden="false" customHeight="true" outlineLevel="0" collapsed="false">
      <c r="B7" s="185" t="s">
        <v>847</v>
      </c>
      <c r="C7" s="188" t="n">
        <v>1.3</v>
      </c>
      <c r="D7" s="187" t="s">
        <v>848</v>
      </c>
      <c r="E7" s="187"/>
      <c r="F7" s="187"/>
      <c r="G7" s="187"/>
      <c r="H7" s="187"/>
      <c r="I7" s="187"/>
    </row>
    <row r="8" customFormat="false" ht="27.75" hidden="false" customHeight="true" outlineLevel="0" collapsed="false">
      <c r="B8" s="185" t="s">
        <v>849</v>
      </c>
      <c r="C8" s="189" t="n">
        <v>2.5</v>
      </c>
      <c r="D8" s="187" t="s">
        <v>850</v>
      </c>
      <c r="E8" s="187"/>
      <c r="F8" s="187"/>
      <c r="G8" s="187"/>
      <c r="H8" s="187"/>
      <c r="I8" s="187"/>
    </row>
    <row r="10" customFormat="false" ht="30" hidden="false" customHeight="true" outlineLevel="0" collapsed="false">
      <c r="B10" s="141" t="s">
        <v>251</v>
      </c>
      <c r="C10" s="141" t="s">
        <v>851</v>
      </c>
      <c r="D10" s="141" t="s">
        <v>852</v>
      </c>
      <c r="E10" s="141" t="s">
        <v>853</v>
      </c>
      <c r="F10" s="141" t="s">
        <v>854</v>
      </c>
      <c r="G10" s="141" t="s">
        <v>855</v>
      </c>
      <c r="H10" s="190" t="s">
        <v>856</v>
      </c>
      <c r="I10" s="190" t="s">
        <v>857</v>
      </c>
    </row>
    <row r="11" customFormat="false" ht="15" hidden="false" customHeight="true" outlineLevel="0" collapsed="false">
      <c r="B11" s="191" t="str">
        <f aca="false">'Package Reference'!B6</f>
        <v>Basic Intake</v>
      </c>
      <c r="C11" s="192" t="n">
        <f aca="false">ROUND(('Package Reference'!C6+'Package Reference'!D6)/2,0)</f>
        <v>1275</v>
      </c>
      <c r="D11" s="192" t="n">
        <f aca="false">ROUND(('Package Reference'!E6+'Package Reference'!F6)/2,0)</f>
        <v>300</v>
      </c>
      <c r="E11" s="192" t="n">
        <f aca="false">ROUND(C11*$C$7,0)</f>
        <v>1658</v>
      </c>
      <c r="F11" s="192" t="n">
        <f aca="false">ROUND(D11*12*$C$6,0)</f>
        <v>1800</v>
      </c>
      <c r="G11" s="192" t="n">
        <f aca="false">ROUND(F11/12,0)</f>
        <v>150</v>
      </c>
      <c r="H11" s="192" t="n">
        <f aca="false">ROUND(C11+$C$8*12*D11,0)</f>
        <v>10275</v>
      </c>
      <c r="I11" s="192" t="n">
        <v>0</v>
      </c>
    </row>
    <row r="12" customFormat="false" ht="15" hidden="false" customHeight="true" outlineLevel="0" collapsed="false">
      <c r="B12" s="193" t="str">
        <f aca="false">'Package Reference'!B7</f>
        <v>Basic+ AI Triage</v>
      </c>
      <c r="C12" s="194" t="n">
        <f aca="false">ROUND(('Package Reference'!C7+'Package Reference'!D7)/2,0)</f>
        <v>2500</v>
      </c>
      <c r="D12" s="194" t="n">
        <f aca="false">ROUND(('Package Reference'!E7+'Package Reference'!F7)/2,0)</f>
        <v>525</v>
      </c>
      <c r="E12" s="194" t="n">
        <f aca="false">ROUND(C12*$C$7,0)</f>
        <v>3250</v>
      </c>
      <c r="F12" s="194" t="n">
        <f aca="false">ROUND(D12*12*$C$6,0)</f>
        <v>3150</v>
      </c>
      <c r="G12" s="194" t="n">
        <f aca="false">ROUND(F12/12,0)</f>
        <v>263</v>
      </c>
      <c r="H12" s="194" t="n">
        <f aca="false">ROUND(C12+$C$8*12*D12,0)</f>
        <v>18250</v>
      </c>
      <c r="I12" s="194" t="n">
        <v>0</v>
      </c>
    </row>
    <row r="13" customFormat="false" ht="15" hidden="false" customHeight="true" outlineLevel="0" collapsed="false">
      <c r="B13" s="191" t="str">
        <f aca="false">'Package Reference'!B8</f>
        <v>Pro Multi-Channel</v>
      </c>
      <c r="C13" s="192" t="n">
        <f aca="false">ROUND(('Package Reference'!C8+'Package Reference'!D8)/2,0)</f>
        <v>5500</v>
      </c>
      <c r="D13" s="192" t="n">
        <f aca="false">ROUND(('Package Reference'!E8+'Package Reference'!F8)/2,0)</f>
        <v>1125</v>
      </c>
      <c r="E13" s="192" t="n">
        <f aca="false">ROUND(C13*$C$7,0)</f>
        <v>7150</v>
      </c>
      <c r="F13" s="192" t="n">
        <f aca="false">ROUND(D13*12*$C$6,0)</f>
        <v>6750</v>
      </c>
      <c r="G13" s="192" t="n">
        <f aca="false">ROUND(F13/12,0)</f>
        <v>563</v>
      </c>
      <c r="H13" s="192" t="n">
        <f aca="false">ROUND(C13+$C$8*12*D13,0)</f>
        <v>39250</v>
      </c>
      <c r="I13" s="192" t="n">
        <v>0</v>
      </c>
    </row>
    <row r="14" customFormat="false" ht="15" hidden="false" customHeight="true" outlineLevel="0" collapsed="false">
      <c r="B14" s="193" t="str">
        <f aca="false">'Package Reference'!B9</f>
        <v>Managed Operations</v>
      </c>
      <c r="C14" s="194" t="n">
        <f aca="false">ROUND(('Package Reference'!C9+'Package Reference'!D9)/2,0)</f>
        <v>11250</v>
      </c>
      <c r="D14" s="194" t="n">
        <f aca="false">ROUND(('Package Reference'!E9+'Package Reference'!F9)/2,0)</f>
        <v>2500</v>
      </c>
      <c r="E14" s="194" t="n">
        <f aca="false">ROUND(C14*$C$7,0)</f>
        <v>14625</v>
      </c>
      <c r="F14" s="194" t="n">
        <f aca="false">ROUND(D14*12*$C$6,0)</f>
        <v>15000</v>
      </c>
      <c r="G14" s="194" t="n">
        <f aca="false">ROUND(F14/12,0)</f>
        <v>1250</v>
      </c>
      <c r="H14" s="194" t="n">
        <f aca="false">ROUND(C14+$C$8*12*D14,0)</f>
        <v>86250</v>
      </c>
      <c r="I14" s="194" t="n">
        <v>0</v>
      </c>
    </row>
    <row r="15" customFormat="false" ht="15" hidden="false" customHeight="true" outlineLevel="0" collapsed="false">
      <c r="B15" s="191" t="str">
        <f aca="false">'Package Reference'!B10</f>
        <v>Agentic Automation</v>
      </c>
      <c r="C15" s="192" t="n">
        <f aca="false">ROUND(('Package Reference'!C10+'Package Reference'!D10)/2,0)</f>
        <v>21000</v>
      </c>
      <c r="D15" s="192" t="n">
        <f aca="false">ROUND(('Package Reference'!E10+'Package Reference'!F10)/2,0)</f>
        <v>4250</v>
      </c>
      <c r="E15" s="192" t="n">
        <f aca="false">ROUND(C15*$C$7,0)</f>
        <v>27300</v>
      </c>
      <c r="F15" s="192" t="n">
        <f aca="false">ROUND(D15*12*$C$6,0)</f>
        <v>25500</v>
      </c>
      <c r="G15" s="192" t="n">
        <f aca="false">ROUND(F15/12,0)</f>
        <v>2125</v>
      </c>
      <c r="H15" s="192" t="n">
        <f aca="false">ROUND(C15+$C$8*12*D15,0)</f>
        <v>148500</v>
      </c>
      <c r="I15" s="192" t="n">
        <v>0</v>
      </c>
    </row>
    <row r="17" customFormat="false" ht="15" hidden="false" customHeight="true" outlineLevel="0" collapsed="false">
      <c r="B17" s="184" t="s">
        <v>858</v>
      </c>
      <c r="C17" s="184"/>
      <c r="D17" s="184"/>
      <c r="E17" s="184"/>
      <c r="F17" s="184"/>
      <c r="G17" s="184"/>
      <c r="H17" s="184"/>
      <c r="I17" s="184"/>
    </row>
    <row r="18" customFormat="false" ht="13.5" hidden="false" customHeight="true" outlineLevel="0" collapsed="false">
      <c r="B18" s="187" t="s">
        <v>859</v>
      </c>
      <c r="C18" s="187"/>
      <c r="D18" s="187"/>
      <c r="E18" s="187"/>
      <c r="F18" s="187"/>
      <c r="G18" s="187"/>
      <c r="H18" s="187"/>
      <c r="I18" s="187"/>
    </row>
    <row r="19" customFormat="false" ht="24" hidden="false" customHeight="true" outlineLevel="0" collapsed="false">
      <c r="B19" s="187" t="s">
        <v>860</v>
      </c>
      <c r="C19" s="187"/>
      <c r="D19" s="187"/>
      <c r="E19" s="187"/>
      <c r="F19" s="187"/>
      <c r="G19" s="187"/>
      <c r="H19" s="187"/>
      <c r="I19" s="187"/>
    </row>
    <row r="20" customFormat="false" ht="24" hidden="false" customHeight="true" outlineLevel="0" collapsed="false">
      <c r="B20" s="187" t="s">
        <v>861</v>
      </c>
      <c r="C20" s="187"/>
      <c r="D20" s="187"/>
      <c r="E20" s="187"/>
      <c r="F20" s="187"/>
      <c r="G20" s="187"/>
      <c r="H20" s="187"/>
      <c r="I20" s="187"/>
    </row>
    <row r="21" customFormat="false" ht="13.5" hidden="false" customHeight="true" outlineLevel="0" collapsed="false">
      <c r="B21" s="187" t="s">
        <v>862</v>
      </c>
      <c r="C21" s="187"/>
      <c r="D21" s="187"/>
      <c r="E21" s="187"/>
      <c r="F21" s="187"/>
      <c r="G21" s="187"/>
      <c r="H21" s="187"/>
      <c r="I21" s="187"/>
    </row>
    <row r="22" customFormat="false" ht="13.5" hidden="false" customHeight="true" outlineLevel="0" collapsed="false">
      <c r="B22" s="187" t="s">
        <v>863</v>
      </c>
      <c r="C22" s="187"/>
      <c r="D22" s="187"/>
      <c r="E22" s="187"/>
      <c r="F22" s="187"/>
      <c r="G22" s="187"/>
      <c r="H22" s="187"/>
      <c r="I22" s="187"/>
    </row>
    <row r="24" customFormat="false" ht="15" hidden="false" customHeight="true" outlineLevel="0" collapsed="false">
      <c r="B24" s="195" t="s">
        <v>864</v>
      </c>
      <c r="C24" s="195"/>
      <c r="D24" s="195"/>
      <c r="E24" s="195"/>
      <c r="F24" s="195"/>
      <c r="G24" s="195"/>
      <c r="H24" s="195"/>
      <c r="I24" s="195"/>
    </row>
  </sheetData>
  <mergeCells count="10">
    <mergeCell ref="B3:I3"/>
    <mergeCell ref="D6:I6"/>
    <mergeCell ref="D7:I7"/>
    <mergeCell ref="D8:I8"/>
    <mergeCell ref="B18:I18"/>
    <mergeCell ref="B19:I19"/>
    <mergeCell ref="B20:I20"/>
    <mergeCell ref="B21:I21"/>
    <mergeCell ref="B22:I22"/>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56"/>
    <col collapsed="false" customWidth="true" hidden="false" outlineLevel="0" max="6" min="5" style="1" width="16"/>
  </cols>
  <sheetData>
    <row r="2" customFormat="false" ht="15" hidden="false" customHeight="true" outlineLevel="0" collapsed="false">
      <c r="B2" s="196" t="s">
        <v>865</v>
      </c>
      <c r="C2" s="196"/>
      <c r="D2" s="196"/>
      <c r="E2" s="196"/>
      <c r="F2" s="196"/>
    </row>
    <row r="3" customFormat="false" ht="39.75" hidden="false" customHeight="true" outlineLevel="0" collapsed="false">
      <c r="B3" s="197" t="s">
        <v>866</v>
      </c>
      <c r="C3" s="197"/>
      <c r="D3" s="197"/>
      <c r="E3" s="197"/>
      <c r="F3" s="197"/>
    </row>
    <row r="5" customFormat="false" ht="15" hidden="false" customHeight="true" outlineLevel="0" collapsed="false">
      <c r="B5" s="198" t="s">
        <v>867</v>
      </c>
      <c r="C5" s="198"/>
      <c r="D5" s="198"/>
      <c r="E5" s="198"/>
      <c r="F5" s="198"/>
    </row>
    <row r="6" customFormat="false" ht="15" hidden="false" customHeight="true" outlineLevel="0" collapsed="false">
      <c r="B6" s="199" t="s">
        <v>251</v>
      </c>
      <c r="C6" s="199" t="s">
        <v>868</v>
      </c>
      <c r="D6" s="199" t="s">
        <v>869</v>
      </c>
    </row>
    <row r="7" customFormat="false" ht="15" hidden="false" customHeight="true" outlineLevel="0" collapsed="false">
      <c r="B7" s="1" t="str">
        <f aca="false">'Access &amp; Licence Pricing'!B11</f>
        <v>Basic Intake</v>
      </c>
      <c r="C7" s="200" t="n">
        <f aca="false">'Access &amp; Licence Pricing'!D11</f>
        <v>300</v>
      </c>
      <c r="D7" s="201" t="n">
        <v>0.3</v>
      </c>
    </row>
    <row r="8" customFormat="false" ht="15" hidden="false" customHeight="true" outlineLevel="0" collapsed="false">
      <c r="B8" s="1" t="str">
        <f aca="false">'Access &amp; Licence Pricing'!B12</f>
        <v>Basic+ AI Triage</v>
      </c>
      <c r="C8" s="200" t="n">
        <f aca="false">'Access &amp; Licence Pricing'!D12</f>
        <v>525</v>
      </c>
      <c r="D8" s="201" t="n">
        <v>0.35</v>
      </c>
    </row>
    <row r="9" customFormat="false" ht="15" hidden="false" customHeight="true" outlineLevel="0" collapsed="false">
      <c r="B9" s="1" t="str">
        <f aca="false">'Access &amp; Licence Pricing'!B13</f>
        <v>Pro Multi-Channel</v>
      </c>
      <c r="C9" s="200" t="n">
        <f aca="false">'Access &amp; Licence Pricing'!D13</f>
        <v>1125</v>
      </c>
      <c r="D9" s="201" t="n">
        <v>0.25</v>
      </c>
    </row>
    <row r="10" customFormat="false" ht="15" hidden="false" customHeight="true" outlineLevel="0" collapsed="false">
      <c r="B10" s="1" t="str">
        <f aca="false">'Access &amp; Licence Pricing'!B14</f>
        <v>Managed Operations</v>
      </c>
      <c r="C10" s="200" t="n">
        <f aca="false">'Access &amp; Licence Pricing'!D14</f>
        <v>2500</v>
      </c>
      <c r="D10" s="201" t="n">
        <v>0.08</v>
      </c>
    </row>
    <row r="11" customFormat="false" ht="15" hidden="false" customHeight="true" outlineLevel="0" collapsed="false">
      <c r="B11" s="1" t="str">
        <f aca="false">'Access &amp; Licence Pricing'!B15</f>
        <v>Agentic Automation</v>
      </c>
      <c r="C11" s="200" t="n">
        <f aca="false">'Access &amp; Licence Pricing'!D15</f>
        <v>4250</v>
      </c>
      <c r="D11" s="201" t="n">
        <v>0.02</v>
      </c>
    </row>
    <row r="12" customFormat="false" ht="15" hidden="false" customHeight="true" outlineLevel="0" collapsed="false">
      <c r="B12" s="164" t="s">
        <v>870</v>
      </c>
      <c r="C12" s="202" t="n">
        <f aca="false">SUM(D7:D11)</f>
        <v>1</v>
      </c>
      <c r="D12" s="164" t="str">
        <f aca="false">IF(ABS(SUM(D7:D11)-1)&lt;0.001,"OK","FIX WEIGHTS — must total 100%")</f>
        <v>OK</v>
      </c>
    </row>
    <row r="13" customFormat="false" ht="15" hidden="false" customHeight="true" outlineLevel="0" collapsed="false">
      <c r="B13" s="164" t="s">
        <v>871</v>
      </c>
      <c r="C13" s="200" t="n">
        <f aca="false">SUMPRODUCT(C7:C11,D7:D11)</f>
        <v>840</v>
      </c>
      <c r="D13" s="164" t="str">
        <f aca="false">CONCATENATE("Implied ARR/client: CHF ",TEXT(C13*12,"#,##0"),"/yr — deck (Slide 7) claims CHF 8,000-15,000/yr blended")</f>
        <v>Implied ARR/client: CHF 10,080/yr — deck (Slide 7) claims CHF 8,000-15,000/yr blended</v>
      </c>
    </row>
    <row r="15" customFormat="false" ht="15" hidden="false" customHeight="true" outlineLevel="0" collapsed="false">
      <c r="B15" s="198" t="s">
        <v>872</v>
      </c>
      <c r="C15" s="198"/>
      <c r="D15" s="198"/>
      <c r="E15" s="198"/>
      <c r="F15" s="198"/>
    </row>
    <row r="16" customFormat="false" ht="15" hidden="false" customHeight="true" outlineLevel="0" collapsed="false">
      <c r="B16" s="1" t="s">
        <v>873</v>
      </c>
      <c r="C16" s="158" t="n">
        <v>6000</v>
      </c>
    </row>
    <row r="17" customFormat="false" ht="15" hidden="false" customHeight="true" outlineLevel="0" collapsed="false">
      <c r="B17" s="1" t="s">
        <v>874</v>
      </c>
      <c r="C17" s="158" t="n">
        <v>500</v>
      </c>
    </row>
    <row r="18" customFormat="false" ht="41.25" hidden="false" customHeight="true" outlineLevel="0" collapsed="false">
      <c r="B18" s="1" t="s">
        <v>875</v>
      </c>
      <c r="C18" s="201" t="n">
        <v>0.85</v>
      </c>
      <c r="D18" s="203" t="s">
        <v>876</v>
      </c>
    </row>
    <row r="19" customFormat="false" ht="15" hidden="false" customHeight="true" outlineLevel="0" collapsed="false">
      <c r="B19" s="164" t="s">
        <v>877</v>
      </c>
      <c r="C19" s="200" t="n">
        <f aca="false">C16+C17</f>
        <v>6500</v>
      </c>
    </row>
    <row r="20" customFormat="false" ht="15" hidden="false" customHeight="true" outlineLevel="0" collapsed="false">
      <c r="B20" s="164" t="s">
        <v>878</v>
      </c>
      <c r="C20" s="200" t="n">
        <f aca="false">C13*C18</f>
        <v>714</v>
      </c>
    </row>
    <row r="22" customFormat="false" ht="15" hidden="false" customHeight="true" outlineLevel="0" collapsed="false">
      <c r="B22" s="198" t="s">
        <v>879</v>
      </c>
      <c r="C22" s="198"/>
      <c r="D22" s="198"/>
      <c r="E22" s="198"/>
      <c r="F22" s="198"/>
    </row>
    <row r="23" customFormat="false" ht="15" hidden="false" customHeight="true" outlineLevel="0" collapsed="false">
      <c r="B23" s="164" t="s">
        <v>880</v>
      </c>
      <c r="C23" s="164" t="n">
        <f aca="false">IF(C20&lt;=0,"n/a",ROUNDUP(C19/C20,0))</f>
        <v>10</v>
      </c>
    </row>
    <row r="24" customFormat="false" ht="15" hidden="false" customHeight="true" outlineLevel="0" collapsed="false">
      <c r="B24" s="164" t="s">
        <v>881</v>
      </c>
      <c r="C24" s="200" t="n">
        <f aca="false">IF(ISNUMBER(C23),C23*C13,"n/a")</f>
        <v>8400</v>
      </c>
    </row>
    <row r="25" customFormat="false" ht="15" hidden="false" customHeight="true" outlineLevel="0" collapsed="false">
      <c r="B25" s="164" t="s">
        <v>882</v>
      </c>
      <c r="C25" s="164" t="str">
        <f aca="false">IF(ISNUMBER(C23),IF(AND(C23&gt;=6,C23&lt;=8),"OK — matches deck","CHECK — model says "&amp;C23&amp;" clients, deck says 6-8"),"n/a")</f>
        <v>CHECK — model says 10 clients, deck says 6-8</v>
      </c>
    </row>
    <row r="27" customFormat="false" ht="15" hidden="false" customHeight="true" outlineLevel="0" collapsed="false">
      <c r="B27" s="198" t="s">
        <v>883</v>
      </c>
      <c r="C27" s="198"/>
      <c r="D27" s="198"/>
      <c r="E27" s="198"/>
      <c r="F27" s="198"/>
    </row>
    <row r="28" customFormat="false" ht="15" hidden="false" customHeight="true" outlineLevel="0" collapsed="false">
      <c r="B28" s="1" t="s">
        <v>884</v>
      </c>
      <c r="C28" s="158" t="n">
        <v>0</v>
      </c>
    </row>
    <row r="29" customFormat="false" ht="15" hidden="false" customHeight="true" outlineLevel="0" collapsed="false">
      <c r="B29" s="164" t="s">
        <v>885</v>
      </c>
      <c r="C29" s="164" t="str">
        <f aca="false">IF(C28&lt;=0,"enter starting cash",IF(C19&lt;=0,"n/a — zero fixed costs",ROUND(C28/C19,1)))</f>
        <v>enter starting cash</v>
      </c>
    </row>
    <row r="31" customFormat="false" ht="15" hidden="false" customHeight="true" outlineLevel="0" collapsed="false">
      <c r="B31" s="198" t="s">
        <v>886</v>
      </c>
      <c r="C31" s="198"/>
      <c r="D31" s="198"/>
      <c r="E31" s="198"/>
      <c r="F31" s="198"/>
    </row>
    <row r="32" customFormat="false" ht="15" hidden="false" customHeight="true" outlineLevel="0" collapsed="false">
      <c r="B32" s="199" t="s">
        <v>887</v>
      </c>
      <c r="C32" s="199" t="s">
        <v>888</v>
      </c>
    </row>
    <row r="33" customFormat="false" ht="15" hidden="false" customHeight="true" outlineLevel="0" collapsed="false">
      <c r="B33" s="1" t="s">
        <v>889</v>
      </c>
      <c r="C33" s="164" t="n">
        <f aca="false">IF(C20&lt;=0,"n/a",ROUNDUP((4000+C17)/C20,0))</f>
        <v>7</v>
      </c>
    </row>
    <row r="34" customFormat="false" ht="15" hidden="false" customHeight="true" outlineLevel="0" collapsed="false">
      <c r="B34" s="1" t="s">
        <v>890</v>
      </c>
      <c r="C34" s="164" t="n">
        <f aca="false">IF(C20&lt;=0,"n/a",ROUNDUP((C16+C17)/C20,0))</f>
        <v>10</v>
      </c>
    </row>
    <row r="35" customFormat="false" ht="15" hidden="false" customHeight="true" outlineLevel="0" collapsed="false">
      <c r="B35" s="1" t="s">
        <v>891</v>
      </c>
      <c r="C35" s="164" t="n">
        <f aca="false">IF(C20&lt;=0,"n/a",ROUNDUP((8000+C17)/C20,0))</f>
        <v>12</v>
      </c>
    </row>
    <row r="37" customFormat="false" ht="15" hidden="false" customHeight="true" outlineLevel="0" collapsed="false">
      <c r="B37" s="204" t="s">
        <v>892</v>
      </c>
      <c r="C37" s="204"/>
      <c r="D37" s="204"/>
      <c r="E37" s="204"/>
      <c r="F37" s="204"/>
    </row>
    <row r="38" customFormat="false" ht="15" hidden="false" customHeight="true" outlineLevel="0" collapsed="false">
      <c r="B38" s="204"/>
      <c r="C38" s="204"/>
      <c r="D38" s="204"/>
      <c r="E38" s="204"/>
      <c r="F38" s="204"/>
    </row>
  </sheetData>
  <mergeCells count="8">
    <mergeCell ref="B2:F2"/>
    <mergeCell ref="B3:F3"/>
    <mergeCell ref="B5:F5"/>
    <mergeCell ref="B15:F15"/>
    <mergeCell ref="B22:F22"/>
    <mergeCell ref="B27:F27"/>
    <mergeCell ref="B31:F31"/>
    <mergeCell ref="B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6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205" width="2.83"/>
    <col collapsed="false" customWidth="true" hidden="false" outlineLevel="0" max="2" min="2" style="205" width="21.83"/>
    <col collapsed="false" customWidth="false" hidden="false" outlineLevel="0" max="5" min="3" style="205" width="8.83"/>
    <col collapsed="false" customWidth="true" hidden="false" outlineLevel="0" max="6" min="6" style="205" width="21.83"/>
    <col collapsed="false" customWidth="false" hidden="false" outlineLevel="0" max="16384" min="7" style="205" width="8.83"/>
  </cols>
  <sheetData>
    <row r="2" customFormat="false" ht="33.75" hidden="false" customHeight="true" outlineLevel="0" collapsed="false">
      <c r="B2" s="206" t="s">
        <v>893</v>
      </c>
      <c r="C2" s="206"/>
      <c r="D2" s="206"/>
      <c r="E2" s="206"/>
      <c r="F2" s="206"/>
      <c r="G2" s="206"/>
      <c r="H2" s="206"/>
      <c r="I2" s="206"/>
      <c r="J2" s="206"/>
    </row>
    <row r="3" customFormat="false" ht="54" hidden="false" customHeight="true" outlineLevel="0" collapsed="false">
      <c r="B3" s="207" t="s">
        <v>894</v>
      </c>
      <c r="C3" s="207"/>
      <c r="D3" s="207"/>
      <c r="E3" s="207"/>
      <c r="F3" s="207"/>
      <c r="G3" s="207"/>
      <c r="H3" s="207"/>
      <c r="I3" s="207"/>
    </row>
    <row r="5" customFormat="false" ht="15" hidden="false" customHeight="true" outlineLevel="0" collapsed="false">
      <c r="B5" s="208" t="s">
        <v>895</v>
      </c>
      <c r="C5" s="208"/>
      <c r="D5" s="208"/>
      <c r="E5" s="208"/>
      <c r="F5" s="208"/>
      <c r="G5" s="208"/>
      <c r="H5" s="208"/>
      <c r="I5" s="208"/>
      <c r="J5" s="208"/>
    </row>
    <row r="6" customFormat="false" ht="15" hidden="false" customHeight="true" outlineLevel="0" collapsed="false">
      <c r="B6" s="209" t="s">
        <v>896</v>
      </c>
      <c r="C6" s="210" t="s">
        <v>897</v>
      </c>
      <c r="D6" s="210"/>
      <c r="E6" s="210"/>
      <c r="F6" s="210"/>
      <c r="G6" s="210"/>
      <c r="H6" s="210"/>
      <c r="I6" s="210"/>
    </row>
    <row r="7" customFormat="false" ht="31.5" hidden="false" customHeight="true" outlineLevel="0" collapsed="false">
      <c r="B7" s="211" t="s">
        <v>251</v>
      </c>
      <c r="C7" s="211" t="s">
        <v>898</v>
      </c>
      <c r="D7" s="211" t="s">
        <v>898</v>
      </c>
      <c r="E7" s="211" t="s">
        <v>898</v>
      </c>
      <c r="F7" s="211" t="s">
        <v>899</v>
      </c>
      <c r="G7" s="211" t="s">
        <v>29</v>
      </c>
      <c r="H7" s="211" t="s">
        <v>402</v>
      </c>
      <c r="I7" s="211" t="s">
        <v>900</v>
      </c>
      <c r="J7" s="211"/>
    </row>
    <row r="8" customFormat="false" ht="15.75" hidden="false" customHeight="true" outlineLevel="0" collapsed="false">
      <c r="B8" s="211"/>
      <c r="C8" s="211" t="s">
        <v>901</v>
      </c>
      <c r="D8" s="211" t="s">
        <v>902</v>
      </c>
      <c r="E8" s="211" t="s">
        <v>903</v>
      </c>
      <c r="F8" s="211"/>
      <c r="G8" s="211" t="s">
        <v>904</v>
      </c>
      <c r="H8" s="211" t="s">
        <v>905</v>
      </c>
      <c r="I8" s="211"/>
      <c r="J8" s="211"/>
    </row>
    <row r="9" customFormat="false" ht="30" hidden="false" customHeight="true" outlineLevel="0" collapsed="false">
      <c r="B9" s="212" t="s">
        <v>906</v>
      </c>
      <c r="C9" s="213" t="n">
        <v>0</v>
      </c>
      <c r="D9" s="213" t="n">
        <v>250</v>
      </c>
      <c r="E9" s="214" t="s">
        <v>907</v>
      </c>
      <c r="F9" s="215" t="s">
        <v>908</v>
      </c>
      <c r="G9" s="216" t="s">
        <v>909</v>
      </c>
      <c r="H9" s="217" t="s">
        <v>910</v>
      </c>
      <c r="I9" s="218" t="s">
        <v>911</v>
      </c>
      <c r="J9" s="216"/>
    </row>
    <row r="10" customFormat="false" ht="30" hidden="false" customHeight="true" outlineLevel="0" collapsed="false">
      <c r="B10" s="212" t="s">
        <v>912</v>
      </c>
      <c r="C10" s="213" t="n">
        <v>2500</v>
      </c>
      <c r="D10" s="213" t="n">
        <v>5000</v>
      </c>
      <c r="E10" s="214" t="s">
        <v>913</v>
      </c>
      <c r="F10" s="215" t="s">
        <v>914</v>
      </c>
      <c r="G10" s="216" t="s">
        <v>915</v>
      </c>
      <c r="H10" s="217" t="s">
        <v>910</v>
      </c>
      <c r="I10" s="218" t="s">
        <v>916</v>
      </c>
      <c r="J10" s="216"/>
    </row>
    <row r="11" customFormat="false" ht="30" hidden="false" customHeight="true" outlineLevel="0" collapsed="false">
      <c r="B11" s="212" t="s">
        <v>793</v>
      </c>
      <c r="C11" s="213" t="n">
        <v>500</v>
      </c>
      <c r="D11" s="213" t="n">
        <v>1000</v>
      </c>
      <c r="E11" s="214" t="s">
        <v>917</v>
      </c>
      <c r="F11" s="215" t="s">
        <v>918</v>
      </c>
      <c r="G11" s="216" t="s">
        <v>919</v>
      </c>
      <c r="H11" s="217" t="s">
        <v>920</v>
      </c>
      <c r="I11" s="218" t="s">
        <v>921</v>
      </c>
      <c r="J11" s="216"/>
    </row>
    <row r="12" customFormat="false" ht="15" hidden="false" customHeight="true" outlineLevel="0" collapsed="false">
      <c r="B12" s="219" t="s">
        <v>922</v>
      </c>
    </row>
    <row r="14" customFormat="false" ht="15" hidden="false" customHeight="true" outlineLevel="0" collapsed="false">
      <c r="B14" s="208" t="s">
        <v>923</v>
      </c>
      <c r="C14" s="208"/>
      <c r="D14" s="208"/>
      <c r="E14" s="208"/>
      <c r="F14" s="208"/>
      <c r="G14" s="208"/>
      <c r="H14" s="208"/>
      <c r="I14" s="208"/>
      <c r="J14" s="208"/>
    </row>
    <row r="15" customFormat="false" ht="15" hidden="false" customHeight="true" outlineLevel="0" collapsed="false">
      <c r="B15" s="220" t="s">
        <v>924</v>
      </c>
    </row>
    <row r="16" customFormat="false" ht="15" hidden="false" customHeight="true" outlineLevel="0" collapsed="false">
      <c r="B16" s="221" t="s">
        <v>925</v>
      </c>
      <c r="C16" s="221"/>
      <c r="D16" s="221"/>
      <c r="E16" s="221"/>
      <c r="F16" s="221"/>
      <c r="G16" s="221"/>
      <c r="H16" s="221"/>
      <c r="I16" s="221"/>
      <c r="J16" s="221"/>
    </row>
    <row r="17" customFormat="false" ht="31.5" hidden="false" customHeight="true" outlineLevel="0" collapsed="false">
      <c r="B17" s="211" t="s">
        <v>926</v>
      </c>
      <c r="C17" s="211"/>
      <c r="D17" s="211"/>
      <c r="E17" s="211"/>
      <c r="F17" s="211" t="s">
        <v>927</v>
      </c>
      <c r="G17" s="211" t="s">
        <v>928</v>
      </c>
      <c r="H17" s="222" t="s">
        <v>929</v>
      </c>
      <c r="I17" s="222"/>
      <c r="J17" s="222"/>
    </row>
    <row r="18" customFormat="false" ht="30" hidden="false" customHeight="true" outlineLevel="0" collapsed="false">
      <c r="B18" s="212" t="s">
        <v>930</v>
      </c>
      <c r="F18" s="215" t="s">
        <v>931</v>
      </c>
      <c r="G18" s="216" t="s">
        <v>932</v>
      </c>
      <c r="H18" s="223" t="s">
        <v>933</v>
      </c>
    </row>
    <row r="19" customFormat="false" ht="30" hidden="false" customHeight="true" outlineLevel="0" collapsed="false">
      <c r="B19" s="212" t="s">
        <v>934</v>
      </c>
      <c r="F19" s="215" t="s">
        <v>935</v>
      </c>
      <c r="G19" s="216" t="s">
        <v>932</v>
      </c>
      <c r="H19" s="223" t="s">
        <v>936</v>
      </c>
    </row>
    <row r="20" customFormat="false" ht="30" hidden="false" customHeight="true" outlineLevel="0" collapsed="false">
      <c r="B20" s="212" t="s">
        <v>937</v>
      </c>
      <c r="F20" s="215" t="s">
        <v>938</v>
      </c>
      <c r="G20" s="216" t="s">
        <v>939</v>
      </c>
      <c r="H20" s="223" t="s">
        <v>940</v>
      </c>
    </row>
    <row r="21" customFormat="false" ht="30" hidden="false" customHeight="true" outlineLevel="0" collapsed="false">
      <c r="B21" s="212" t="s">
        <v>941</v>
      </c>
      <c r="F21" s="215" t="s">
        <v>942</v>
      </c>
      <c r="G21" s="216" t="s">
        <v>943</v>
      </c>
      <c r="H21" s="223" t="s">
        <v>944</v>
      </c>
    </row>
    <row r="22" customFormat="false" ht="15" hidden="false" customHeight="true" outlineLevel="0" collapsed="false">
      <c r="B22" s="221" t="s">
        <v>945</v>
      </c>
      <c r="C22" s="221"/>
      <c r="D22" s="221"/>
      <c r="E22" s="221"/>
      <c r="F22" s="221"/>
      <c r="G22" s="221"/>
      <c r="H22" s="221"/>
      <c r="I22" s="221"/>
      <c r="J22" s="221"/>
    </row>
    <row r="23" customFormat="false" ht="15.75" hidden="false" customHeight="true" outlineLevel="0" collapsed="false">
      <c r="B23" s="212" t="s">
        <v>946</v>
      </c>
      <c r="C23" s="224" t="s">
        <v>947</v>
      </c>
      <c r="D23" s="225"/>
      <c r="E23" s="225"/>
      <c r="F23" s="225"/>
      <c r="G23" s="226"/>
    </row>
    <row r="24" customFormat="false" ht="15" hidden="false" customHeight="true" outlineLevel="0" collapsed="false">
      <c r="B24" s="212" t="s">
        <v>948</v>
      </c>
      <c r="C24" s="224" t="s">
        <v>949</v>
      </c>
      <c r="D24" s="225"/>
      <c r="E24" s="225"/>
      <c r="F24" s="225"/>
      <c r="G24" s="226"/>
    </row>
    <row r="25" customFormat="false" ht="15" hidden="false" customHeight="true" outlineLevel="0" collapsed="false">
      <c r="B25" s="212" t="s">
        <v>950</v>
      </c>
      <c r="C25" s="224" t="s">
        <v>951</v>
      </c>
      <c r="D25" s="225"/>
      <c r="E25" s="225"/>
      <c r="F25" s="225"/>
      <c r="G25" s="226"/>
    </row>
    <row r="26" customFormat="false" ht="15" hidden="false" customHeight="true" outlineLevel="0" collapsed="false">
      <c r="B26" s="219" t="s">
        <v>952</v>
      </c>
    </row>
    <row r="28" customFormat="false" ht="15" hidden="false" customHeight="true" outlineLevel="0" collapsed="false">
      <c r="B28" s="227" t="s">
        <v>953</v>
      </c>
      <c r="C28" s="227"/>
      <c r="D28" s="227"/>
      <c r="E28" s="227"/>
      <c r="F28" s="227"/>
      <c r="G28" s="227"/>
      <c r="H28" s="227"/>
      <c r="I28" s="227"/>
      <c r="J28" s="227"/>
    </row>
    <row r="29" customFormat="false" ht="31.5" hidden="false" customHeight="true" outlineLevel="0" collapsed="false">
      <c r="B29" s="211" t="s">
        <v>954</v>
      </c>
      <c r="C29" s="211" t="s">
        <v>898</v>
      </c>
      <c r="D29" s="211" t="s">
        <v>898</v>
      </c>
      <c r="E29" s="211" t="s">
        <v>898</v>
      </c>
      <c r="F29" s="211" t="s">
        <v>899</v>
      </c>
      <c r="G29" s="211" t="s">
        <v>955</v>
      </c>
      <c r="H29" s="211" t="s">
        <v>402</v>
      </c>
      <c r="I29" s="211" t="s">
        <v>900</v>
      </c>
      <c r="J29" s="211"/>
    </row>
    <row r="30" customFormat="false" ht="15.75" hidden="false" customHeight="true" outlineLevel="0" collapsed="false">
      <c r="B30" s="211"/>
      <c r="C30" s="211" t="s">
        <v>901</v>
      </c>
      <c r="D30" s="211" t="s">
        <v>902</v>
      </c>
      <c r="E30" s="211" t="s">
        <v>903</v>
      </c>
      <c r="F30" s="211"/>
      <c r="G30" s="211" t="s">
        <v>956</v>
      </c>
      <c r="H30" s="211" t="s">
        <v>905</v>
      </c>
      <c r="I30" s="211"/>
      <c r="J30" s="211"/>
    </row>
    <row r="31" customFormat="false" ht="30" hidden="false" customHeight="true" outlineLevel="0" collapsed="false">
      <c r="B31" s="212" t="s">
        <v>957</v>
      </c>
      <c r="C31" s="213" t="n">
        <v>0</v>
      </c>
      <c r="D31" s="213" t="n">
        <v>0</v>
      </c>
      <c r="E31" s="214" t="s">
        <v>907</v>
      </c>
      <c r="F31" s="215" t="s">
        <v>958</v>
      </c>
      <c r="G31" s="216" t="s">
        <v>959</v>
      </c>
      <c r="H31" s="217" t="s">
        <v>910</v>
      </c>
      <c r="I31" s="218" t="s">
        <v>960</v>
      </c>
    </row>
    <row r="32" customFormat="false" ht="30" hidden="false" customHeight="true" outlineLevel="0" collapsed="false">
      <c r="B32" s="212" t="s">
        <v>912</v>
      </c>
      <c r="C32" s="213" t="n">
        <v>1500</v>
      </c>
      <c r="D32" s="213" t="n">
        <v>3500</v>
      </c>
      <c r="E32" s="214" t="s">
        <v>913</v>
      </c>
      <c r="F32" s="215" t="s">
        <v>961</v>
      </c>
      <c r="G32" s="216" t="s">
        <v>962</v>
      </c>
      <c r="H32" s="217" t="s">
        <v>910</v>
      </c>
      <c r="I32" s="218" t="s">
        <v>963</v>
      </c>
    </row>
    <row r="33" customFormat="false" ht="30" hidden="false" customHeight="true" outlineLevel="0" collapsed="false">
      <c r="B33" s="212" t="s">
        <v>964</v>
      </c>
      <c r="C33" s="213" t="n">
        <v>300</v>
      </c>
      <c r="D33" s="213" t="n">
        <v>800</v>
      </c>
      <c r="E33" s="214" t="s">
        <v>965</v>
      </c>
      <c r="F33" s="215" t="s">
        <v>966</v>
      </c>
      <c r="G33" s="216" t="s">
        <v>967</v>
      </c>
      <c r="H33" s="217" t="s">
        <v>910</v>
      </c>
      <c r="I33" s="218" t="s">
        <v>968</v>
      </c>
    </row>
    <row r="34" customFormat="false" ht="30" hidden="false" customHeight="true" outlineLevel="0" collapsed="false">
      <c r="B34" s="212" t="s">
        <v>793</v>
      </c>
      <c r="C34" s="213" t="n">
        <v>300</v>
      </c>
      <c r="D34" s="213" t="n">
        <v>700</v>
      </c>
      <c r="E34" s="214" t="s">
        <v>917</v>
      </c>
      <c r="F34" s="215" t="s">
        <v>969</v>
      </c>
      <c r="G34" s="216" t="s">
        <v>970</v>
      </c>
      <c r="H34" s="217" t="s">
        <v>920</v>
      </c>
      <c r="I34" s="218" t="s">
        <v>971</v>
      </c>
    </row>
    <row r="36" customFormat="false" ht="15" hidden="false" customHeight="true" outlineLevel="0" collapsed="false">
      <c r="B36" s="228" t="s">
        <v>972</v>
      </c>
      <c r="C36" s="228"/>
      <c r="D36" s="228"/>
      <c r="E36" s="228"/>
      <c r="F36" s="228"/>
      <c r="G36" s="228"/>
      <c r="H36" s="228"/>
      <c r="I36" s="228"/>
      <c r="J36" s="228"/>
    </row>
    <row r="37" customFormat="false" ht="15" hidden="false" customHeight="true" outlineLevel="0" collapsed="false">
      <c r="B37" s="229" t="s">
        <v>973</v>
      </c>
      <c r="C37" s="229"/>
      <c r="D37" s="229"/>
      <c r="E37" s="229"/>
      <c r="F37" s="229"/>
      <c r="G37" s="229"/>
    </row>
    <row r="38" customFormat="false" ht="15" hidden="false" customHeight="true" outlineLevel="0" collapsed="false">
      <c r="B38" s="229" t="s">
        <v>974</v>
      </c>
      <c r="C38" s="229"/>
      <c r="D38" s="229"/>
      <c r="E38" s="229"/>
      <c r="F38" s="229"/>
      <c r="G38" s="229"/>
    </row>
    <row r="39" customFormat="false" ht="15" hidden="false" customHeight="true" outlineLevel="0" collapsed="false">
      <c r="B39" s="229" t="s">
        <v>975</v>
      </c>
      <c r="C39" s="229"/>
      <c r="D39" s="229"/>
      <c r="E39" s="229"/>
      <c r="F39" s="229"/>
      <c r="G39" s="229"/>
    </row>
    <row r="40" customFormat="false" ht="15" hidden="false" customHeight="true" outlineLevel="0" collapsed="false">
      <c r="B40" s="229" t="s">
        <v>976</v>
      </c>
      <c r="C40" s="229"/>
      <c r="D40" s="229"/>
      <c r="E40" s="229"/>
      <c r="F40" s="229"/>
      <c r="G40" s="229"/>
    </row>
    <row r="41" customFormat="false" ht="15" hidden="false" customHeight="true" outlineLevel="0" collapsed="false">
      <c r="B41" s="230" t="s">
        <v>977</v>
      </c>
      <c r="C41" s="230"/>
      <c r="D41" s="230"/>
      <c r="E41" s="230"/>
      <c r="F41" s="230"/>
      <c r="G41" s="230"/>
    </row>
    <row r="43" customFormat="false" ht="15" hidden="false" customHeight="true" outlineLevel="0" collapsed="false">
      <c r="B43" s="228" t="s">
        <v>978</v>
      </c>
      <c r="C43" s="228"/>
      <c r="D43" s="228"/>
      <c r="E43" s="228"/>
      <c r="F43" s="228"/>
      <c r="G43" s="228"/>
      <c r="H43" s="228"/>
      <c r="I43" s="228"/>
      <c r="J43" s="228"/>
    </row>
    <row r="44" customFormat="false" ht="27.75" hidden="false" customHeight="true" outlineLevel="0" collapsed="false">
      <c r="B44" s="231" t="s">
        <v>979</v>
      </c>
      <c r="C44" s="231"/>
      <c r="D44" s="231"/>
      <c r="E44" s="231"/>
      <c r="F44" s="231"/>
      <c r="G44" s="231"/>
    </row>
    <row r="45" customFormat="false" ht="15" hidden="false" customHeight="true" outlineLevel="0" collapsed="false">
      <c r="B45" s="208" t="s">
        <v>980</v>
      </c>
      <c r="C45" s="208"/>
      <c r="D45" s="208"/>
      <c r="E45" s="208"/>
      <c r="F45" s="208"/>
      <c r="G45" s="208"/>
      <c r="H45" s="208"/>
      <c r="I45" s="208"/>
      <c r="J45" s="208"/>
    </row>
    <row r="46" customFormat="false" ht="15.75" hidden="false" customHeight="true" outlineLevel="0" collapsed="false">
      <c r="B46" s="211" t="s">
        <v>954</v>
      </c>
      <c r="C46" s="211" t="s">
        <v>981</v>
      </c>
      <c r="D46" s="211" t="s">
        <v>981</v>
      </c>
      <c r="E46" s="211" t="s">
        <v>981</v>
      </c>
      <c r="F46" s="211" t="s">
        <v>982</v>
      </c>
      <c r="G46" s="211" t="s">
        <v>983</v>
      </c>
      <c r="H46" s="211" t="s">
        <v>983</v>
      </c>
      <c r="I46" s="211" t="s">
        <v>983</v>
      </c>
      <c r="J46" s="222" t="s">
        <v>984</v>
      </c>
    </row>
    <row r="47" customFormat="false" ht="15.75" hidden="false" customHeight="true" outlineLevel="0" collapsed="false">
      <c r="B47" s="211"/>
      <c r="C47" s="211" t="s">
        <v>901</v>
      </c>
      <c r="D47" s="211" t="s">
        <v>902</v>
      </c>
      <c r="E47" s="211" t="s">
        <v>903</v>
      </c>
      <c r="F47" s="211" t="s">
        <v>985</v>
      </c>
      <c r="G47" s="211" t="s">
        <v>901</v>
      </c>
      <c r="H47" s="211" t="s">
        <v>902</v>
      </c>
      <c r="I47" s="211" t="s">
        <v>903</v>
      </c>
      <c r="J47" s="222"/>
    </row>
    <row r="48" customFormat="false" ht="30" hidden="false" customHeight="true" outlineLevel="0" collapsed="false">
      <c r="B48" s="212" t="s">
        <v>986</v>
      </c>
      <c r="C48" s="213" t="n">
        <v>0</v>
      </c>
      <c r="D48" s="213" t="n">
        <v>250</v>
      </c>
      <c r="E48" s="214" t="s">
        <v>907</v>
      </c>
      <c r="F48" s="215" t="s">
        <v>987</v>
      </c>
      <c r="G48" s="213" t="n">
        <v>50</v>
      </c>
      <c r="H48" s="213" t="n">
        <v>1000</v>
      </c>
      <c r="I48" s="232" t="s">
        <v>917</v>
      </c>
      <c r="J48" s="218" t="s">
        <v>988</v>
      </c>
    </row>
    <row r="49" customFormat="false" ht="30" hidden="false" customHeight="true" outlineLevel="0" collapsed="false">
      <c r="B49" s="212" t="s">
        <v>989</v>
      </c>
      <c r="C49" s="213" t="n">
        <v>2500</v>
      </c>
      <c r="D49" s="213" t="n">
        <v>5000</v>
      </c>
      <c r="E49" s="214" t="s">
        <v>907</v>
      </c>
      <c r="F49" s="215" t="s">
        <v>990</v>
      </c>
      <c r="G49" s="213" t="n">
        <v>1500</v>
      </c>
      <c r="H49" s="213" t="n">
        <v>5000</v>
      </c>
      <c r="I49" s="232" t="s">
        <v>991</v>
      </c>
      <c r="J49" s="218" t="s">
        <v>992</v>
      </c>
    </row>
    <row r="50" customFormat="false" ht="30" hidden="false" customHeight="true" outlineLevel="0" collapsed="false">
      <c r="B50" s="212" t="s">
        <v>993</v>
      </c>
      <c r="C50" s="213" t="n">
        <v>500</v>
      </c>
      <c r="D50" s="213" t="n">
        <v>1000</v>
      </c>
      <c r="E50" s="214" t="s">
        <v>907</v>
      </c>
      <c r="F50" s="215" t="s">
        <v>994</v>
      </c>
      <c r="G50" s="213" t="n">
        <v>3000</v>
      </c>
      <c r="H50" s="213" t="n">
        <v>6000</v>
      </c>
      <c r="I50" s="232" t="s">
        <v>995</v>
      </c>
      <c r="J50" s="218" t="s">
        <v>996</v>
      </c>
    </row>
    <row r="51" customFormat="false" ht="30" hidden="false" customHeight="true" outlineLevel="0" collapsed="false">
      <c r="B51" s="212" t="s">
        <v>997</v>
      </c>
      <c r="C51" s="213" t="s">
        <v>907</v>
      </c>
      <c r="D51" s="213" t="s">
        <v>907</v>
      </c>
      <c r="E51" s="214" t="s">
        <v>998</v>
      </c>
      <c r="F51" s="215" t="s">
        <v>999</v>
      </c>
      <c r="G51" s="213" t="n">
        <v>10000</v>
      </c>
      <c r="H51" s="213" t="n">
        <v>30000</v>
      </c>
      <c r="I51" s="205" t="s">
        <v>917</v>
      </c>
      <c r="J51" s="218" t="s">
        <v>1000</v>
      </c>
    </row>
    <row r="52" customFormat="false" ht="15" hidden="false" customHeight="true" outlineLevel="0" collapsed="false">
      <c r="B52" s="233" t="s">
        <v>1001</v>
      </c>
      <c r="C52" s="233"/>
      <c r="D52" s="233"/>
      <c r="E52" s="233"/>
      <c r="F52" s="233"/>
      <c r="G52" s="233"/>
      <c r="H52" s="233"/>
      <c r="I52" s="233"/>
    </row>
    <row r="53" customFormat="false" ht="15" hidden="false" customHeight="true" outlineLevel="0" collapsed="false">
      <c r="L53" s="205" t="s">
        <v>1002</v>
      </c>
      <c r="M53" s="205" t="s">
        <v>1003</v>
      </c>
      <c r="N53" s="205" t="s">
        <v>1004</v>
      </c>
      <c r="O53" s="205" t="s">
        <v>1004</v>
      </c>
      <c r="P53" s="205" t="s">
        <v>1002</v>
      </c>
      <c r="Q53" s="205" t="s">
        <v>1003</v>
      </c>
      <c r="R53" s="205" t="s">
        <v>1004</v>
      </c>
      <c r="S53" s="205" t="s">
        <v>1004</v>
      </c>
    </row>
    <row r="54" customFormat="false" ht="15" hidden="false" customHeight="true" outlineLevel="0" collapsed="false">
      <c r="B54" s="208" t="s">
        <v>217</v>
      </c>
      <c r="C54" s="208"/>
      <c r="D54" s="208"/>
      <c r="E54" s="208"/>
      <c r="F54" s="208"/>
      <c r="G54" s="208"/>
      <c r="H54" s="208"/>
      <c r="I54" s="208"/>
      <c r="J54" s="208"/>
      <c r="M54" s="205" t="s">
        <v>455</v>
      </c>
      <c r="N54" s="205" t="s">
        <v>455</v>
      </c>
      <c r="O54" s="205" t="s">
        <v>1005</v>
      </c>
      <c r="Q54" s="205" t="s">
        <v>455</v>
      </c>
      <c r="R54" s="205" t="s">
        <v>455</v>
      </c>
      <c r="S54" s="205" t="s">
        <v>1005</v>
      </c>
    </row>
    <row r="55" customFormat="false" ht="15.75" hidden="false" customHeight="true" outlineLevel="0" collapsed="false">
      <c r="B55" s="211" t="s">
        <v>954</v>
      </c>
      <c r="C55" s="211" t="s">
        <v>981</v>
      </c>
      <c r="D55" s="211" t="s">
        <v>981</v>
      </c>
      <c r="E55" s="211" t="s">
        <v>981</v>
      </c>
      <c r="F55" s="211" t="s">
        <v>982</v>
      </c>
      <c r="G55" s="211" t="s">
        <v>983</v>
      </c>
      <c r="H55" s="211" t="s">
        <v>983</v>
      </c>
      <c r="I55" s="211" t="s">
        <v>983</v>
      </c>
      <c r="J55" s="222" t="s">
        <v>984</v>
      </c>
      <c r="L55" s="205" t="s">
        <v>1006</v>
      </c>
      <c r="M55" s="234" t="n">
        <v>0.85</v>
      </c>
      <c r="N55" s="234" t="n">
        <v>0.94</v>
      </c>
      <c r="P55" s="205" t="s">
        <v>1006</v>
      </c>
      <c r="Q55" s="234" t="n">
        <v>0.85</v>
      </c>
      <c r="R55" s="234" t="n">
        <v>0.94</v>
      </c>
    </row>
    <row r="56" customFormat="false" ht="15.75" hidden="false" customHeight="true" outlineLevel="0" collapsed="false">
      <c r="B56" s="211"/>
      <c r="C56" s="211" t="s">
        <v>901</v>
      </c>
      <c r="D56" s="211" t="s">
        <v>902</v>
      </c>
      <c r="E56" s="211" t="s">
        <v>903</v>
      </c>
      <c r="F56" s="211" t="s">
        <v>985</v>
      </c>
      <c r="G56" s="211" t="s">
        <v>901</v>
      </c>
      <c r="H56" s="211" t="s">
        <v>902</v>
      </c>
      <c r="I56" s="211" t="s">
        <v>903</v>
      </c>
      <c r="J56" s="222"/>
      <c r="L56" s="205" t="s">
        <v>901</v>
      </c>
      <c r="M56" s="205" t="s">
        <v>1003</v>
      </c>
      <c r="N56" s="205" t="s">
        <v>455</v>
      </c>
      <c r="O56" s="205" t="s">
        <v>901</v>
      </c>
      <c r="P56" s="205" t="s">
        <v>902</v>
      </c>
      <c r="Q56" s="205" t="s">
        <v>1003</v>
      </c>
      <c r="R56" s="205" t="s">
        <v>455</v>
      </c>
      <c r="S56" s="205" t="s">
        <v>902</v>
      </c>
    </row>
    <row r="57" customFormat="false" ht="30" hidden="false" customHeight="true" outlineLevel="0" collapsed="false">
      <c r="B57" s="212" t="s">
        <v>957</v>
      </c>
      <c r="C57" s="213" t="n">
        <v>0</v>
      </c>
      <c r="D57" s="213" t="n">
        <v>0</v>
      </c>
      <c r="E57" s="214" t="s">
        <v>907</v>
      </c>
      <c r="F57" s="215" t="s">
        <v>1007</v>
      </c>
      <c r="G57" s="213" t="n">
        <v>1000</v>
      </c>
      <c r="H57" s="213" t="n">
        <v>1000</v>
      </c>
      <c r="I57" s="205" t="s">
        <v>1005</v>
      </c>
      <c r="J57" s="218" t="s">
        <v>1008</v>
      </c>
      <c r="K57" s="216"/>
      <c r="L57" s="216"/>
    </row>
    <row r="58" customFormat="false" ht="30" hidden="false" customHeight="true" outlineLevel="0" collapsed="false">
      <c r="B58" s="212" t="s">
        <v>1009</v>
      </c>
      <c r="C58" s="213" t="n">
        <v>1500</v>
      </c>
      <c r="D58" s="213" t="n">
        <v>3500</v>
      </c>
      <c r="E58" s="214" t="s">
        <v>907</v>
      </c>
      <c r="F58" s="215" t="s">
        <v>1010</v>
      </c>
      <c r="G58" s="213" t="n">
        <v>4000</v>
      </c>
      <c r="H58" s="213" t="n">
        <v>10000</v>
      </c>
      <c r="I58" s="232" t="s">
        <v>1011</v>
      </c>
      <c r="J58" s="218" t="s">
        <v>1012</v>
      </c>
      <c r="K58" s="216"/>
      <c r="L58" s="216"/>
    </row>
    <row r="59" customFormat="false" ht="30" hidden="false" customHeight="true" outlineLevel="0" collapsed="false">
      <c r="B59" s="212" t="s">
        <v>1013</v>
      </c>
      <c r="C59" s="213" t="n">
        <v>300</v>
      </c>
      <c r="D59" s="213" t="n">
        <v>800</v>
      </c>
      <c r="E59" s="214" t="s">
        <v>965</v>
      </c>
      <c r="F59" s="215" t="s">
        <v>1014</v>
      </c>
      <c r="G59" s="214" t="s">
        <v>907</v>
      </c>
      <c r="H59" s="214" t="s">
        <v>907</v>
      </c>
      <c r="I59" s="214" t="s">
        <v>907</v>
      </c>
      <c r="J59" s="218" t="s">
        <v>1015</v>
      </c>
      <c r="K59" s="216"/>
      <c r="L59" s="216"/>
    </row>
    <row r="60" customFormat="false" ht="30" hidden="false" customHeight="true" outlineLevel="0" collapsed="false">
      <c r="B60" s="212" t="s">
        <v>993</v>
      </c>
      <c r="C60" s="213" t="n">
        <v>300</v>
      </c>
      <c r="D60" s="213" t="n">
        <v>700</v>
      </c>
      <c r="E60" s="214" t="s">
        <v>917</v>
      </c>
      <c r="F60" s="215" t="s">
        <v>1016</v>
      </c>
      <c r="G60" s="213" t="n">
        <f aca="false">M60</f>
        <v>3318</v>
      </c>
      <c r="H60" s="213" t="n">
        <f aca="false">Q60</f>
        <v>8847</v>
      </c>
      <c r="I60" s="232" t="s">
        <v>1017</v>
      </c>
      <c r="J60" s="218" t="s">
        <v>1018</v>
      </c>
      <c r="K60" s="216"/>
      <c r="L60" s="235" t="n">
        <f aca="false">ROUND(M60/12,0)</f>
        <v>277</v>
      </c>
      <c r="M60" s="236" t="n">
        <f aca="false">ROUND(N60/M55,0)</f>
        <v>3318</v>
      </c>
      <c r="N60" s="213" t="n">
        <f aca="false">O60*N55</f>
        <v>2820</v>
      </c>
      <c r="O60" s="237" t="n">
        <v>3000</v>
      </c>
      <c r="P60" s="235" t="n">
        <f aca="false">ROUND(Q60/12,0)</f>
        <v>737</v>
      </c>
      <c r="Q60" s="236" t="n">
        <f aca="false">ROUND(R60/Q55,0)</f>
        <v>8847</v>
      </c>
      <c r="R60" s="213" t="n">
        <f aca="false">S60*R55</f>
        <v>7520</v>
      </c>
      <c r="S60" s="237" t="n">
        <v>8000</v>
      </c>
    </row>
    <row r="61" customFormat="false" ht="30" hidden="false" customHeight="true" outlineLevel="0" collapsed="false">
      <c r="B61" s="212" t="s">
        <v>1019</v>
      </c>
      <c r="C61" s="213" t="s">
        <v>907</v>
      </c>
      <c r="D61" s="213" t="s">
        <v>907</v>
      </c>
      <c r="E61" s="214" t="s">
        <v>998</v>
      </c>
      <c r="F61" s="215" t="s">
        <v>1020</v>
      </c>
      <c r="G61" s="213" t="n">
        <v>5000</v>
      </c>
      <c r="H61" s="213" t="n">
        <v>30000</v>
      </c>
      <c r="J61" s="218" t="s">
        <v>1021</v>
      </c>
      <c r="K61" s="216"/>
      <c r="L61" s="216"/>
    </row>
    <row r="62" customFormat="false" ht="15" hidden="false" customHeight="true" outlineLevel="0" collapsed="false">
      <c r="B62" s="233" t="s">
        <v>1022</v>
      </c>
      <c r="C62" s="233"/>
      <c r="D62" s="233"/>
      <c r="E62" s="233"/>
      <c r="F62" s="233"/>
      <c r="J62" s="233"/>
      <c r="K62" s="233"/>
      <c r="L62" s="233"/>
    </row>
    <row r="64" customFormat="false" ht="15" hidden="false" customHeight="true" outlineLevel="0" collapsed="false">
      <c r="B64" s="221" t="s">
        <v>1023</v>
      </c>
      <c r="C64" s="221"/>
      <c r="D64" s="221"/>
      <c r="E64" s="221"/>
      <c r="F64" s="221"/>
      <c r="G64" s="221"/>
      <c r="H64" s="221"/>
      <c r="I64" s="221"/>
      <c r="J64" s="221"/>
    </row>
    <row r="65" customFormat="false" ht="15" hidden="false" customHeight="true" outlineLevel="0" collapsed="false">
      <c r="B65" s="229" t="s">
        <v>1024</v>
      </c>
      <c r="C65" s="229"/>
      <c r="D65" s="229"/>
      <c r="E65" s="229"/>
      <c r="F65" s="229"/>
      <c r="G65" s="229"/>
      <c r="H65" s="229"/>
      <c r="I65" s="229"/>
    </row>
    <row r="66" customFormat="false" ht="15" hidden="false" customHeight="true" outlineLevel="0" collapsed="false">
      <c r="B66" s="229" t="s">
        <v>1025</v>
      </c>
      <c r="C66" s="229"/>
      <c r="D66" s="229"/>
      <c r="E66" s="229"/>
      <c r="F66" s="229"/>
      <c r="G66" s="229"/>
      <c r="H66" s="229"/>
      <c r="I66" s="229"/>
    </row>
    <row r="67" customFormat="false" ht="15" hidden="false" customHeight="true" outlineLevel="0" collapsed="false">
      <c r="B67" s="229" t="s">
        <v>1026</v>
      </c>
      <c r="C67" s="229"/>
      <c r="D67" s="229"/>
      <c r="E67" s="229"/>
      <c r="F67" s="229"/>
      <c r="G67" s="229"/>
      <c r="H67" s="229"/>
      <c r="I67" s="229"/>
    </row>
    <row r="68" customFormat="false" ht="15" hidden="false" customHeight="true" outlineLevel="0" collapsed="false">
      <c r="B68" s="229" t="s">
        <v>1027</v>
      </c>
      <c r="C68" s="229"/>
      <c r="D68" s="229"/>
      <c r="E68" s="229"/>
      <c r="F68" s="229"/>
      <c r="G68" s="229"/>
      <c r="H68" s="229"/>
      <c r="I68" s="229"/>
    </row>
  </sheetData>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7" min="2" style="1" width="21.83"/>
  </cols>
  <sheetData>
    <row r="2" customFormat="false" ht="33.75" hidden="false" customHeight="true" outlineLevel="0" collapsed="false">
      <c r="B2" s="2" t="s">
        <v>1028</v>
      </c>
      <c r="C2" s="2"/>
      <c r="D2" s="2"/>
      <c r="E2" s="2"/>
      <c r="F2" s="2"/>
      <c r="G2" s="2"/>
    </row>
    <row r="4" customFormat="false" ht="15" hidden="false" customHeight="true" outlineLevel="0" collapsed="false">
      <c r="B4" s="238" t="s">
        <v>1029</v>
      </c>
      <c r="C4" s="1" t="s">
        <v>1030</v>
      </c>
    </row>
    <row r="5" customFormat="false" ht="15" hidden="false" customHeight="true" outlineLevel="0" collapsed="false">
      <c r="B5" s="238" t="s">
        <v>1031</v>
      </c>
      <c r="C5" s="1" t="s">
        <v>1032</v>
      </c>
    </row>
    <row r="6" customFormat="false" ht="15" hidden="false" customHeight="true" outlineLevel="0" collapsed="false">
      <c r="B6" s="238" t="s">
        <v>1033</v>
      </c>
      <c r="C6" s="1" t="s">
        <v>1034</v>
      </c>
    </row>
    <row r="7" customFormat="false" ht="15" hidden="false" customHeight="true" outlineLevel="0" collapsed="false">
      <c r="B7" s="238" t="s">
        <v>1035</v>
      </c>
      <c r="C7" s="1" t="s">
        <v>1036</v>
      </c>
    </row>
    <row r="8" customFormat="false" ht="15" hidden="false" customHeight="true" outlineLevel="0" collapsed="false">
      <c r="B8" s="238" t="s">
        <v>1037</v>
      </c>
      <c r="C8" s="1" t="s">
        <v>1038</v>
      </c>
    </row>
    <row r="9" customFormat="false" ht="15" hidden="false" customHeight="true" outlineLevel="0" collapsed="false">
      <c r="B9" s="238" t="s">
        <v>1039</v>
      </c>
      <c r="C9" s="1" t="s">
        <v>1040</v>
      </c>
    </row>
    <row r="10" customFormat="false" ht="15" hidden="false" customHeight="true" outlineLevel="0" collapsed="false">
      <c r="B10" s="238" t="s">
        <v>1041</v>
      </c>
      <c r="C10" s="1" t="s">
        <v>1042</v>
      </c>
    </row>
    <row r="11" customFormat="false" ht="15" hidden="false" customHeight="true" outlineLevel="0" collapsed="false">
      <c r="B11" s="238" t="s">
        <v>258</v>
      </c>
      <c r="C11" s="1" t="s">
        <v>1043</v>
      </c>
    </row>
    <row r="12" customFormat="false" ht="15" hidden="false" customHeight="true" outlineLevel="0" collapsed="false">
      <c r="B12" s="238" t="s">
        <v>1044</v>
      </c>
      <c r="C12" s="1" t="s">
        <v>1045</v>
      </c>
    </row>
    <row r="13" customFormat="false" ht="15" hidden="false" customHeight="true" outlineLevel="0" collapsed="false">
      <c r="B13" s="238" t="s">
        <v>1046</v>
      </c>
      <c r="C13" s="1" t="s">
        <v>1047</v>
      </c>
    </row>
    <row r="14" customFormat="false" ht="15" hidden="false" customHeight="true" outlineLevel="0" collapsed="false">
      <c r="B14" s="238" t="s">
        <v>1048</v>
      </c>
      <c r="C14" s="1" t="s">
        <v>1049</v>
      </c>
    </row>
    <row r="15" customFormat="false" ht="15" hidden="false" customHeight="true" outlineLevel="0" collapsed="false">
      <c r="B15" s="238" t="s">
        <v>282</v>
      </c>
      <c r="C15" s="1" t="s">
        <v>1050</v>
      </c>
    </row>
    <row r="16" customFormat="false" ht="15" hidden="false" customHeight="true" outlineLevel="0" collapsed="false">
      <c r="B16" s="238"/>
    </row>
    <row r="17" customFormat="false" ht="15" hidden="false" customHeight="true" outlineLevel="0" collapsed="false">
      <c r="B17" s="238" t="s">
        <v>1051</v>
      </c>
      <c r="C17" s="1" t="s">
        <v>1052</v>
      </c>
    </row>
    <row r="18" customFormat="false" ht="15" hidden="false" customHeight="true" outlineLevel="0" collapsed="false">
      <c r="B18" s="238" t="s">
        <v>1053</v>
      </c>
      <c r="C18" s="1" t="s">
        <v>1054</v>
      </c>
    </row>
    <row r="19" customFormat="false" ht="15" hidden="false" customHeight="true" outlineLevel="0" collapsed="false">
      <c r="B19" s="238" t="s">
        <v>730</v>
      </c>
      <c r="C19" s="1" t="s">
        <v>1055</v>
      </c>
    </row>
    <row r="20" customFormat="false" ht="15" hidden="false" customHeight="true" outlineLevel="0" collapsed="false">
      <c r="B20" s="238" t="s">
        <v>1056</v>
      </c>
      <c r="C20" s="1" t="s">
        <v>1057</v>
      </c>
    </row>
    <row r="21" customFormat="false" ht="15" hidden="false" customHeight="true" outlineLevel="0" collapsed="false">
      <c r="B21" s="239" t="s">
        <v>1058</v>
      </c>
    </row>
    <row r="22" customFormat="false" ht="15" hidden="false" customHeight="true" outlineLevel="0" collapsed="false">
      <c r="B22" s="238" t="s">
        <v>247</v>
      </c>
      <c r="C22" s="164" t="str">
        <f aca="false">'Quote Calculator'!F6</f>
        <v>Basic Intake</v>
      </c>
    </row>
    <row r="23" customFormat="false" ht="15" hidden="false" customHeight="true" outlineLevel="0" collapsed="false">
      <c r="B23" s="238" t="s">
        <v>255</v>
      </c>
      <c r="C23" s="164" t="str">
        <f aca="false">'Quote Calculator'!F7</f>
        <v>Managed service</v>
      </c>
    </row>
    <row r="24" customFormat="false" ht="15" hidden="false" customHeight="true" outlineLevel="0" collapsed="false">
      <c r="B24" s="238" t="s">
        <v>238</v>
      </c>
      <c r="C24" s="164" t="str">
        <f aca="false">'Quote Calculator'!F8</f>
        <v>Normal managed support</v>
      </c>
    </row>
    <row r="25" customFormat="false" ht="15" hidden="false" customHeight="true" outlineLevel="0" collapsed="false">
      <c r="B25" s="238" t="s">
        <v>1059</v>
      </c>
      <c r="C25" s="164" t="n">
        <f aca="false">'Quote Calculator'!F39</f>
        <v>5500</v>
      </c>
    </row>
    <row r="26" customFormat="false" ht="15" hidden="false" customHeight="true" outlineLevel="0" collapsed="false">
      <c r="B26" s="238" t="s">
        <v>1060</v>
      </c>
      <c r="C26" s="164" t="n">
        <f aca="false">'Quote Calculator'!F40</f>
        <v>1400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6" min="3" style="1" width="34.83"/>
  </cols>
  <sheetData>
    <row r="1" customFormat="false" ht="15" hidden="false" customHeight="true" outlineLevel="0" collapsed="false">
      <c r="B1" s="240"/>
    </row>
    <row r="2" customFormat="false" ht="33.75" hidden="false" customHeight="true" outlineLevel="0" collapsed="false">
      <c r="B2" s="2" t="s">
        <v>1061</v>
      </c>
      <c r="C2" s="2"/>
      <c r="D2" s="2"/>
      <c r="E2" s="2"/>
      <c r="F2" s="2"/>
    </row>
    <row r="3" customFormat="false" ht="15" hidden="false" customHeight="true" outlineLevel="0" collapsed="false">
      <c r="B3" s="241" t="s">
        <v>1062</v>
      </c>
    </row>
    <row r="4" customFormat="false" ht="15" hidden="false" customHeight="true" outlineLevel="0" collapsed="false">
      <c r="B4" s="242"/>
    </row>
    <row r="5" customFormat="false" ht="54.75" hidden="false" customHeight="true" outlineLevel="0" collapsed="false">
      <c r="B5" s="243" t="s">
        <v>68</v>
      </c>
      <c r="C5" s="243" t="s">
        <v>1063</v>
      </c>
      <c r="D5" s="243" t="s">
        <v>1064</v>
      </c>
      <c r="E5" s="243" t="s">
        <v>544</v>
      </c>
      <c r="F5" s="243" t="s">
        <v>1065</v>
      </c>
    </row>
    <row r="6" customFormat="false" ht="54.75" hidden="false" customHeight="true" outlineLevel="0" collapsed="false">
      <c r="B6" s="144" t="s">
        <v>1066</v>
      </c>
      <c r="C6" s="144" t="s">
        <v>1067</v>
      </c>
      <c r="D6" s="144" t="s">
        <v>1068</v>
      </c>
      <c r="E6" s="144" t="s">
        <v>1069</v>
      </c>
      <c r="F6" s="144" t="s">
        <v>1070</v>
      </c>
    </row>
    <row r="7" customFormat="false" ht="54.75" hidden="false" customHeight="true" outlineLevel="0" collapsed="false">
      <c r="B7" s="144" t="s">
        <v>1071</v>
      </c>
      <c r="C7" s="144" t="s">
        <v>1072</v>
      </c>
      <c r="D7" s="144" t="s">
        <v>1073</v>
      </c>
      <c r="E7" s="144" t="s">
        <v>1074</v>
      </c>
      <c r="F7" s="144" t="s">
        <v>1075</v>
      </c>
    </row>
    <row r="8" customFormat="false" ht="54.75" hidden="false" customHeight="true" outlineLevel="0" collapsed="false">
      <c r="B8" s="144" t="s">
        <v>1076</v>
      </c>
      <c r="C8" s="144" t="s">
        <v>1077</v>
      </c>
      <c r="D8" s="144" t="s">
        <v>1078</v>
      </c>
      <c r="E8" s="144" t="s">
        <v>1079</v>
      </c>
      <c r="F8" s="144" t="s">
        <v>1080</v>
      </c>
    </row>
    <row r="9" customFormat="false" ht="54.75" hidden="false" customHeight="true" outlineLevel="0" collapsed="false">
      <c r="B9" s="144" t="s">
        <v>1081</v>
      </c>
      <c r="C9" s="144" t="s">
        <v>1082</v>
      </c>
      <c r="D9" s="144" t="s">
        <v>1083</v>
      </c>
      <c r="E9" s="144" t="s">
        <v>1084</v>
      </c>
      <c r="F9" s="144" t="s">
        <v>1085</v>
      </c>
    </row>
    <row r="10" customFormat="false" ht="54.75" hidden="false" customHeight="true" outlineLevel="0" collapsed="false">
      <c r="B10" s="144" t="s">
        <v>1086</v>
      </c>
      <c r="C10" s="144" t="s">
        <v>1087</v>
      </c>
      <c r="D10" s="144" t="s">
        <v>1088</v>
      </c>
      <c r="E10" s="144" t="s">
        <v>1089</v>
      </c>
      <c r="F10" s="144" t="s">
        <v>1090</v>
      </c>
    </row>
    <row r="11" customFormat="false" ht="54.75" hidden="false" customHeight="true" outlineLevel="0" collapsed="false">
      <c r="B11" s="144" t="s">
        <v>1091</v>
      </c>
      <c r="C11" s="144" t="s">
        <v>1092</v>
      </c>
      <c r="D11" s="144" t="s">
        <v>1093</v>
      </c>
      <c r="E11" s="144" t="s">
        <v>1094</v>
      </c>
      <c r="F11" s="144" t="s">
        <v>1095</v>
      </c>
    </row>
    <row r="12" customFormat="false" ht="54.75" hidden="false" customHeight="true" outlineLevel="0" collapsed="false">
      <c r="B12" s="144" t="s">
        <v>1096</v>
      </c>
      <c r="C12" s="144" t="s">
        <v>1097</v>
      </c>
      <c r="D12" s="144" t="s">
        <v>1098</v>
      </c>
      <c r="E12" s="144" t="s">
        <v>1099</v>
      </c>
      <c r="F12" s="144" t="s">
        <v>1100</v>
      </c>
    </row>
    <row r="13" customFormat="false" ht="48" hidden="false" customHeight="true" outlineLevel="0" collapsed="false">
      <c r="B13" s="244" t="s">
        <v>1101</v>
      </c>
      <c r="C13" s="244" t="s">
        <v>1102</v>
      </c>
      <c r="D13" s="244" t="s">
        <v>1103</v>
      </c>
      <c r="E13" s="244" t="s">
        <v>1104</v>
      </c>
      <c r="F13" s="244" t="s">
        <v>1105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6" min="4" style="1" width="34.83"/>
    <col collapsed="false" customWidth="true" hidden="false" outlineLevel="0" max="7" min="7" style="1" width="21.83"/>
  </cols>
  <sheetData>
    <row r="2" customFormat="false" ht="33.75" hidden="false" customHeight="true" outlineLevel="0" collapsed="false">
      <c r="B2" s="2" t="s">
        <v>1106</v>
      </c>
      <c r="C2" s="2"/>
      <c r="D2" s="2"/>
      <c r="E2" s="2"/>
      <c r="F2" s="2"/>
      <c r="G2" s="2"/>
    </row>
    <row r="3" customFormat="false" ht="21" hidden="false" customHeight="true" outlineLevel="0" collapsed="false">
      <c r="B3" s="245" t="s">
        <v>1107</v>
      </c>
      <c r="C3" s="246" t="s">
        <v>1108</v>
      </c>
      <c r="D3" s="165"/>
      <c r="E3" s="165"/>
      <c r="F3" s="165"/>
      <c r="G3" s="165"/>
    </row>
    <row r="4" customFormat="false" ht="21" hidden="false" customHeight="true" outlineLevel="0" collapsed="false">
      <c r="B4" s="245" t="s">
        <v>1109</v>
      </c>
      <c r="C4" s="246" t="s">
        <v>1110</v>
      </c>
      <c r="D4" s="165"/>
      <c r="E4" s="165"/>
      <c r="F4" s="165"/>
      <c r="G4" s="165"/>
    </row>
    <row r="5" customFormat="false" ht="21" hidden="false" customHeight="true" outlineLevel="0" collapsed="false">
      <c r="B5" s="165"/>
      <c r="C5" s="165"/>
      <c r="D5" s="165"/>
      <c r="E5" s="165"/>
      <c r="F5" s="165"/>
      <c r="G5" s="165"/>
    </row>
    <row r="6" customFormat="false" ht="33.75" hidden="false" customHeight="true" outlineLevel="0" collapsed="false">
      <c r="B6" s="247" t="s">
        <v>1111</v>
      </c>
      <c r="C6" s="247" t="s">
        <v>360</v>
      </c>
      <c r="D6" s="247" t="s">
        <v>361</v>
      </c>
      <c r="E6" s="247" t="s">
        <v>1112</v>
      </c>
      <c r="F6" s="247" t="s">
        <v>1113</v>
      </c>
      <c r="G6" s="247" t="s">
        <v>1114</v>
      </c>
    </row>
    <row r="7" customFormat="false" ht="54.75" hidden="false" customHeight="true" outlineLevel="0" collapsed="false">
      <c r="B7" s="165" t="s">
        <v>1115</v>
      </c>
      <c r="C7" s="165" t="s">
        <v>1116</v>
      </c>
      <c r="D7" s="165" t="s">
        <v>1117</v>
      </c>
      <c r="E7" s="165" t="s">
        <v>1118</v>
      </c>
      <c r="F7" s="165" t="s">
        <v>1119</v>
      </c>
      <c r="G7" s="165" t="s">
        <v>577</v>
      </c>
    </row>
    <row r="8" customFormat="false" ht="54.75" hidden="false" customHeight="true" outlineLevel="0" collapsed="false">
      <c r="B8" s="165" t="s">
        <v>1120</v>
      </c>
      <c r="C8" s="165" t="s">
        <v>1121</v>
      </c>
      <c r="D8" s="165" t="s">
        <v>1122</v>
      </c>
      <c r="E8" s="165" t="s">
        <v>1123</v>
      </c>
      <c r="F8" s="165" t="s">
        <v>1124</v>
      </c>
      <c r="G8" s="165" t="s">
        <v>577</v>
      </c>
    </row>
    <row r="9" customFormat="false" ht="54.75" hidden="false" customHeight="true" outlineLevel="0" collapsed="false">
      <c r="B9" s="165" t="s">
        <v>532</v>
      </c>
      <c r="C9" s="165" t="s">
        <v>1125</v>
      </c>
      <c r="D9" s="165" t="s">
        <v>1126</v>
      </c>
      <c r="E9" s="165" t="s">
        <v>1127</v>
      </c>
      <c r="F9" s="165" t="s">
        <v>1128</v>
      </c>
      <c r="G9" s="165" t="s">
        <v>598</v>
      </c>
    </row>
    <row r="10" customFormat="false" ht="54.75" hidden="false" customHeight="true" outlineLevel="0" collapsed="false">
      <c r="B10" s="165" t="s">
        <v>1129</v>
      </c>
      <c r="C10" s="165" t="s">
        <v>1130</v>
      </c>
      <c r="D10" s="165" t="s">
        <v>1131</v>
      </c>
      <c r="E10" s="165" t="s">
        <v>1132</v>
      </c>
      <c r="F10" s="165" t="s">
        <v>1133</v>
      </c>
      <c r="G10" s="165" t="s">
        <v>598</v>
      </c>
    </row>
    <row r="11" customFormat="false" ht="54.75" hidden="false" customHeight="true" outlineLevel="0" collapsed="false">
      <c r="B11" s="165" t="s">
        <v>1134</v>
      </c>
      <c r="C11" s="165" t="s">
        <v>1130</v>
      </c>
      <c r="D11" s="165" t="s">
        <v>1135</v>
      </c>
      <c r="E11" s="165" t="s">
        <v>1136</v>
      </c>
      <c r="F11" s="165" t="s">
        <v>1137</v>
      </c>
      <c r="G11" s="165" t="s">
        <v>598</v>
      </c>
    </row>
    <row r="12" customFormat="false" ht="54.75" hidden="false" customHeight="true" outlineLevel="0" collapsed="false">
      <c r="B12" s="165" t="s">
        <v>1138</v>
      </c>
      <c r="C12" s="165" t="s">
        <v>1130</v>
      </c>
      <c r="D12" s="165" t="s">
        <v>1139</v>
      </c>
      <c r="E12" s="165" t="s">
        <v>1140</v>
      </c>
      <c r="F12" s="165" t="s">
        <v>1141</v>
      </c>
      <c r="G12" s="165" t="s">
        <v>577</v>
      </c>
    </row>
    <row r="13" customFormat="false" ht="54.75" hidden="false" customHeight="true" outlineLevel="0" collapsed="false">
      <c r="B13" s="165" t="s">
        <v>40</v>
      </c>
      <c r="C13" s="165" t="s">
        <v>1130</v>
      </c>
      <c r="D13" s="165" t="s">
        <v>1142</v>
      </c>
      <c r="E13" s="165" t="s">
        <v>1143</v>
      </c>
      <c r="F13" s="165" t="s">
        <v>1144</v>
      </c>
      <c r="G13" s="165" t="s">
        <v>598</v>
      </c>
    </row>
    <row r="14" customFormat="false" ht="54.75" hidden="false" customHeight="true" outlineLevel="0" collapsed="false">
      <c r="B14" s="165" t="s">
        <v>1145</v>
      </c>
      <c r="C14" s="165" t="s">
        <v>1146</v>
      </c>
      <c r="D14" s="165" t="s">
        <v>1147</v>
      </c>
      <c r="E14" s="165" t="s">
        <v>1148</v>
      </c>
      <c r="F14" s="165" t="s">
        <v>1149</v>
      </c>
      <c r="G14" s="165" t="s">
        <v>557</v>
      </c>
    </row>
    <row r="15" customFormat="false" ht="54.75" hidden="false" customHeight="true" outlineLevel="0" collapsed="false">
      <c r="B15" s="165" t="s">
        <v>48</v>
      </c>
      <c r="C15" s="165" t="s">
        <v>1146</v>
      </c>
      <c r="D15" s="165" t="s">
        <v>1150</v>
      </c>
      <c r="E15" s="165" t="s">
        <v>1151</v>
      </c>
      <c r="F15" s="165" t="s">
        <v>1152</v>
      </c>
      <c r="G15" s="165" t="s">
        <v>557</v>
      </c>
    </row>
    <row r="16" customFormat="false" ht="54.75" hidden="false" customHeight="true" outlineLevel="0" collapsed="false">
      <c r="B16" s="165" t="s">
        <v>1153</v>
      </c>
      <c r="C16" s="165" t="s">
        <v>1146</v>
      </c>
      <c r="D16" s="165" t="s">
        <v>1154</v>
      </c>
      <c r="E16" s="165" t="s">
        <v>1155</v>
      </c>
      <c r="F16" s="165" t="s">
        <v>1156</v>
      </c>
      <c r="G16" s="165" t="s">
        <v>577</v>
      </c>
    </row>
    <row r="17" customFormat="false" ht="21" hidden="false" customHeight="true" outlineLevel="0" collapsed="false">
      <c r="B17" s="165"/>
      <c r="C17" s="165"/>
      <c r="D17" s="165"/>
      <c r="E17" s="165"/>
      <c r="F17" s="165"/>
      <c r="G17" s="165"/>
    </row>
    <row r="18" customFormat="false" ht="30" hidden="false" customHeight="true" outlineLevel="0" collapsed="false">
      <c r="B18" s="248" t="s">
        <v>1157</v>
      </c>
      <c r="C18" s="248" t="s">
        <v>232</v>
      </c>
      <c r="D18" s="248"/>
      <c r="E18" s="248"/>
      <c r="F18" s="248"/>
      <c r="G18" s="248"/>
    </row>
    <row r="19" customFormat="false" ht="21" hidden="false" customHeight="true" outlineLevel="0" collapsed="false">
      <c r="B19" s="165" t="s">
        <v>1158</v>
      </c>
      <c r="C19" s="165" t="s">
        <v>505</v>
      </c>
      <c r="D19" s="165"/>
      <c r="E19" s="165"/>
      <c r="F19" s="165"/>
      <c r="G19" s="165"/>
    </row>
    <row r="20" customFormat="false" ht="21" hidden="false" customHeight="true" outlineLevel="0" collapsed="false">
      <c r="B20" s="165" t="s">
        <v>1159</v>
      </c>
      <c r="C20" s="165" t="s">
        <v>259</v>
      </c>
      <c r="D20" s="165"/>
      <c r="E20" s="165"/>
      <c r="F20" s="165"/>
      <c r="G20" s="165"/>
    </row>
    <row r="21" customFormat="false" ht="21" hidden="false" customHeight="true" outlineLevel="0" collapsed="false">
      <c r="B21" s="165" t="s">
        <v>1160</v>
      </c>
      <c r="C21" s="165" t="n">
        <v>0</v>
      </c>
      <c r="D21" s="165"/>
      <c r="E21" s="165"/>
      <c r="F21" s="165"/>
      <c r="G21" s="165"/>
    </row>
    <row r="22" customFormat="false" ht="21" hidden="false" customHeight="true" outlineLevel="0" collapsed="false">
      <c r="B22" s="165" t="s">
        <v>1161</v>
      </c>
      <c r="C22" s="165" t="n">
        <v>1</v>
      </c>
      <c r="D22" s="165"/>
      <c r="E22" s="165"/>
      <c r="F22" s="165"/>
      <c r="G22" s="165"/>
    </row>
    <row r="23" customFormat="false" ht="21" hidden="false" customHeight="true" outlineLevel="0" collapsed="false">
      <c r="B23" s="165" t="s">
        <v>1162</v>
      </c>
      <c r="C23" s="165" t="n">
        <v>1</v>
      </c>
      <c r="D23" s="165"/>
      <c r="E23" s="165"/>
      <c r="F23" s="165"/>
      <c r="G23" s="165"/>
    </row>
    <row r="24" customFormat="false" ht="21" hidden="false" customHeight="true" outlineLevel="0" collapsed="false">
      <c r="B24" s="165" t="s">
        <v>1163</v>
      </c>
      <c r="C24" s="165" t="n">
        <v>1</v>
      </c>
      <c r="D24" s="165"/>
      <c r="E24" s="165"/>
      <c r="F24" s="165"/>
      <c r="G24" s="165"/>
    </row>
    <row r="25" customFormat="false" ht="21" hidden="false" customHeight="true" outlineLevel="0" collapsed="false">
      <c r="B25" s="165" t="s">
        <v>1164</v>
      </c>
      <c r="C25" s="165" t="n">
        <v>0</v>
      </c>
      <c r="D25" s="165"/>
      <c r="E25" s="165"/>
      <c r="F25" s="165"/>
      <c r="G25" s="165"/>
    </row>
    <row r="26" customFormat="false" ht="21" hidden="false" customHeight="true" outlineLevel="0" collapsed="false">
      <c r="B26" s="165" t="s">
        <v>1165</v>
      </c>
      <c r="C26" s="165" t="n">
        <v>1</v>
      </c>
      <c r="D26" s="165"/>
      <c r="E26" s="165"/>
      <c r="F26" s="165"/>
      <c r="G26" s="165"/>
    </row>
    <row r="27" customFormat="false" ht="21" hidden="false" customHeight="true" outlineLevel="0" collapsed="false">
      <c r="B27" s="165" t="s">
        <v>1166</v>
      </c>
      <c r="C27" s="165" t="n">
        <v>1</v>
      </c>
      <c r="D27" s="165"/>
      <c r="E27" s="165"/>
      <c r="F27" s="165"/>
      <c r="G27" s="165"/>
    </row>
    <row r="28" customFormat="false" ht="21" hidden="false" customHeight="true" outlineLevel="0" collapsed="false">
      <c r="B28" s="165"/>
      <c r="C28" s="249"/>
      <c r="D28" s="249"/>
      <c r="E28" s="249"/>
      <c r="F28" s="249"/>
      <c r="G28" s="165"/>
    </row>
    <row r="29" customFormat="false" ht="30" hidden="false" customHeight="true" outlineLevel="0" collapsed="false">
      <c r="B29" s="248" t="s">
        <v>1167</v>
      </c>
      <c r="C29" s="248" t="s">
        <v>1168</v>
      </c>
      <c r="D29" s="248" t="s">
        <v>1169</v>
      </c>
      <c r="E29" s="248" t="s">
        <v>1170</v>
      </c>
      <c r="F29" s="248" t="s">
        <v>1171</v>
      </c>
      <c r="G29" s="248" t="s">
        <v>1172</v>
      </c>
    </row>
    <row r="30" customFormat="false" ht="21" hidden="false" customHeight="true" outlineLevel="0" collapsed="false">
      <c r="B30" s="165" t="s">
        <v>1173</v>
      </c>
      <c r="C30" s="249" t="n">
        <v>3500</v>
      </c>
      <c r="D30" s="249" t="n">
        <v>10000</v>
      </c>
      <c r="E30" s="249" t="n">
        <v>800</v>
      </c>
      <c r="F30" s="249" t="n">
        <v>2350</v>
      </c>
      <c r="G30" s="165" t="s">
        <v>1174</v>
      </c>
    </row>
    <row r="31" customFormat="false" ht="21" hidden="false" customHeight="true" outlineLevel="0" collapsed="false">
      <c r="B31" s="165"/>
      <c r="C31" s="165"/>
      <c r="D31" s="165"/>
      <c r="E31" s="165"/>
      <c r="F31" s="165"/>
      <c r="G31" s="165"/>
    </row>
    <row r="32" customFormat="false" ht="30" hidden="false" customHeight="true" outlineLevel="0" collapsed="false">
      <c r="B32" s="248" t="s">
        <v>1175</v>
      </c>
      <c r="C32" s="248" t="s">
        <v>1168</v>
      </c>
      <c r="D32" s="248" t="s">
        <v>1169</v>
      </c>
      <c r="E32" s="248" t="s">
        <v>1170</v>
      </c>
      <c r="F32" s="248" t="s">
        <v>1171</v>
      </c>
      <c r="G32" s="248" t="s">
        <v>1172</v>
      </c>
    </row>
    <row r="33" customFormat="false" ht="21" hidden="false" customHeight="true" outlineLevel="0" collapsed="false">
      <c r="B33" s="165" t="s">
        <v>244</v>
      </c>
      <c r="C33" s="249" t="n">
        <v>3000</v>
      </c>
      <c r="D33" s="249" t="n">
        <v>9750</v>
      </c>
      <c r="E33" s="249" t="n">
        <v>0</v>
      </c>
      <c r="F33" s="249" t="n">
        <v>0</v>
      </c>
      <c r="G33" s="165" t="s">
        <v>1176</v>
      </c>
    </row>
    <row r="34" customFormat="false" ht="21" hidden="false" customHeight="true" outlineLevel="0" collapsed="false">
      <c r="B34" s="165" t="s">
        <v>252</v>
      </c>
      <c r="C34" s="249" t="n">
        <v>3000</v>
      </c>
      <c r="D34" s="249" t="n">
        <v>9750</v>
      </c>
      <c r="E34" s="249" t="n">
        <v>250</v>
      </c>
      <c r="F34" s="249" t="n">
        <v>800</v>
      </c>
      <c r="G34" s="165" t="s">
        <v>1177</v>
      </c>
    </row>
    <row r="35" customFormat="false" ht="21" hidden="false" customHeight="true" outlineLevel="0" collapsed="false">
      <c r="B35" s="165" t="s">
        <v>259</v>
      </c>
      <c r="C35" s="249" t="n">
        <v>2000</v>
      </c>
      <c r="D35" s="249" t="n">
        <v>6500</v>
      </c>
      <c r="E35" s="249" t="n">
        <v>500</v>
      </c>
      <c r="F35" s="249" t="n">
        <v>1600</v>
      </c>
      <c r="G35" s="165" t="s">
        <v>1178</v>
      </c>
    </row>
    <row r="36" customFormat="false" ht="21" hidden="false" customHeight="true" outlineLevel="0" collapsed="false">
      <c r="B36" s="165" t="s">
        <v>698</v>
      </c>
      <c r="C36" s="249" t="n">
        <v>3000</v>
      </c>
      <c r="D36" s="249" t="n">
        <v>9750</v>
      </c>
      <c r="E36" s="249" t="n">
        <v>750</v>
      </c>
      <c r="F36" s="249" t="n">
        <v>2400</v>
      </c>
      <c r="G36" s="165" t="s">
        <v>1179</v>
      </c>
    </row>
    <row r="37" customFormat="false" ht="21" hidden="false" customHeight="true" outlineLevel="0" collapsed="false">
      <c r="B37" s="165" t="s">
        <v>267</v>
      </c>
      <c r="C37" s="249" t="n">
        <v>4000</v>
      </c>
      <c r="D37" s="249" t="n">
        <v>13000</v>
      </c>
      <c r="E37" s="249" t="n">
        <v>1000</v>
      </c>
      <c r="F37" s="249" t="n">
        <v>3200</v>
      </c>
      <c r="G37" s="165" t="s">
        <v>1180</v>
      </c>
    </row>
    <row r="38" customFormat="false" ht="21" hidden="false" customHeight="true" outlineLevel="0" collapsed="false">
      <c r="B38" s="165" t="s">
        <v>272</v>
      </c>
      <c r="C38" s="249" t="n">
        <v>6000</v>
      </c>
      <c r="D38" s="249" t="n">
        <v>19500</v>
      </c>
      <c r="E38" s="249" t="n">
        <v>1500</v>
      </c>
      <c r="F38" s="249" t="n">
        <v>4800</v>
      </c>
      <c r="G38" s="165" t="s">
        <v>1181</v>
      </c>
    </row>
    <row r="39" customFormat="false" ht="21" hidden="false" customHeight="true" outlineLevel="0" collapsed="false">
      <c r="B39" s="165"/>
      <c r="C39" s="249"/>
      <c r="D39" s="249"/>
      <c r="E39" s="249"/>
      <c r="F39" s="249"/>
      <c r="G39" s="165"/>
    </row>
    <row r="40" customFormat="false" ht="30" hidden="false" customHeight="true" outlineLevel="0" collapsed="false">
      <c r="B40" s="248" t="s">
        <v>1182</v>
      </c>
      <c r="C40" s="248" t="s">
        <v>1168</v>
      </c>
      <c r="D40" s="248" t="s">
        <v>1169</v>
      </c>
      <c r="E40" s="248" t="s">
        <v>1170</v>
      </c>
      <c r="F40" s="248" t="s">
        <v>1171</v>
      </c>
      <c r="G40" s="248" t="s">
        <v>1172</v>
      </c>
    </row>
    <row r="41" customFormat="false" ht="21" hidden="false" customHeight="true" outlineLevel="0" collapsed="false">
      <c r="B41" s="165" t="s">
        <v>244</v>
      </c>
      <c r="C41" s="249" t="n">
        <v>0</v>
      </c>
      <c r="D41" s="249" t="n">
        <v>0</v>
      </c>
      <c r="E41" s="249" t="n">
        <v>0</v>
      </c>
      <c r="F41" s="249" t="n">
        <v>0</v>
      </c>
      <c r="G41" s="165" t="s">
        <v>1183</v>
      </c>
    </row>
    <row r="42" customFormat="false" ht="21" hidden="false" customHeight="true" outlineLevel="0" collapsed="false">
      <c r="B42" s="165" t="s">
        <v>252</v>
      </c>
      <c r="C42" s="249" t="n">
        <v>0</v>
      </c>
      <c r="D42" s="249" t="n">
        <v>0</v>
      </c>
      <c r="E42" s="249" t="n">
        <v>0</v>
      </c>
      <c r="F42" s="249" t="n">
        <v>0</v>
      </c>
      <c r="G42" s="165" t="s">
        <v>1183</v>
      </c>
    </row>
    <row r="43" customFormat="false" ht="21" hidden="false" customHeight="true" outlineLevel="0" collapsed="false">
      <c r="B43" s="165" t="s">
        <v>259</v>
      </c>
      <c r="C43" s="249" t="n">
        <v>0</v>
      </c>
      <c r="D43" s="249" t="n">
        <v>0</v>
      </c>
      <c r="E43" s="249" t="n">
        <v>0</v>
      </c>
      <c r="F43" s="249" t="n">
        <v>0</v>
      </c>
      <c r="G43" s="165" t="s">
        <v>1183</v>
      </c>
    </row>
    <row r="44" customFormat="false" ht="21" hidden="false" customHeight="true" outlineLevel="0" collapsed="false">
      <c r="B44" s="165" t="s">
        <v>698</v>
      </c>
      <c r="C44" s="249" t="n">
        <v>0</v>
      </c>
      <c r="D44" s="249" t="n">
        <v>0</v>
      </c>
      <c r="E44" s="249" t="n">
        <v>0</v>
      </c>
      <c r="F44" s="249" t="n">
        <v>0</v>
      </c>
      <c r="G44" s="165" t="s">
        <v>1183</v>
      </c>
    </row>
    <row r="45" customFormat="false" ht="21" hidden="false" customHeight="true" outlineLevel="0" collapsed="false">
      <c r="B45" s="165" t="s">
        <v>267</v>
      </c>
      <c r="C45" s="249" t="n">
        <v>0</v>
      </c>
      <c r="D45" s="249" t="n">
        <v>0</v>
      </c>
      <c r="E45" s="249" t="n">
        <v>0</v>
      </c>
      <c r="F45" s="249" t="n">
        <v>0</v>
      </c>
      <c r="G45" s="165" t="s">
        <v>1183</v>
      </c>
    </row>
    <row r="46" customFormat="false" ht="21" hidden="false" customHeight="true" outlineLevel="0" collapsed="false">
      <c r="B46" s="165" t="s">
        <v>272</v>
      </c>
      <c r="C46" s="249" t="n">
        <v>0</v>
      </c>
      <c r="D46" s="249" t="n">
        <v>0</v>
      </c>
      <c r="E46" s="249" t="n">
        <v>0</v>
      </c>
      <c r="F46" s="249" t="n">
        <v>0</v>
      </c>
      <c r="G46" s="165" t="s">
        <v>1183</v>
      </c>
    </row>
    <row r="47" customFormat="false" ht="21" hidden="false" customHeight="true" outlineLevel="0" collapsed="false">
      <c r="B47" s="165"/>
      <c r="C47" s="249"/>
      <c r="D47" s="249"/>
      <c r="E47" s="249"/>
      <c r="F47" s="249"/>
      <c r="G47" s="165"/>
    </row>
    <row r="48" customFormat="false" ht="30" hidden="false" customHeight="true" outlineLevel="0" collapsed="false">
      <c r="B48" s="248" t="s">
        <v>1184</v>
      </c>
      <c r="C48" s="248"/>
      <c r="D48" s="248"/>
      <c r="E48" s="248"/>
      <c r="F48" s="248"/>
      <c r="G48" s="248"/>
    </row>
    <row r="49" customFormat="false" ht="21" hidden="false" customHeight="true" outlineLevel="0" collapsed="false">
      <c r="B49" s="245" t="s">
        <v>1185</v>
      </c>
      <c r="C49" s="250" t="s">
        <v>1186</v>
      </c>
      <c r="D49" s="250"/>
      <c r="E49" s="250"/>
      <c r="F49" s="250"/>
      <c r="G49" s="245"/>
    </row>
    <row r="50" customFormat="false" ht="21" hidden="false" customHeight="true" outlineLevel="0" collapsed="false">
      <c r="B50" s="245" t="s">
        <v>1187</v>
      </c>
      <c r="C50" s="250" t="s">
        <v>1188</v>
      </c>
      <c r="D50" s="250"/>
      <c r="E50" s="250"/>
      <c r="F50" s="250"/>
      <c r="G50" s="245"/>
    </row>
    <row r="51" customFormat="false" ht="21" hidden="false" customHeight="true" outlineLevel="0" collapsed="false">
      <c r="B51" s="245" t="s">
        <v>1189</v>
      </c>
      <c r="C51" s="250" t="s">
        <v>1190</v>
      </c>
      <c r="D51" s="250"/>
      <c r="E51" s="250"/>
      <c r="F51" s="250"/>
      <c r="G51" s="245"/>
    </row>
    <row r="52" customFormat="false" ht="21" hidden="false" customHeight="true" outlineLevel="0" collapsed="false">
      <c r="B52" s="165"/>
      <c r="C52" s="165"/>
      <c r="D52" s="165"/>
      <c r="E52" s="165"/>
      <c r="F52" s="165"/>
      <c r="G52" s="165"/>
    </row>
    <row r="53" customFormat="false" ht="21" hidden="false" customHeight="true" outlineLevel="0" collapsed="false">
      <c r="B53" s="165"/>
      <c r="C53" s="165"/>
      <c r="D53" s="165"/>
      <c r="E53" s="165"/>
      <c r="F53" s="165"/>
      <c r="G53" s="165"/>
    </row>
    <row r="54" customFormat="false" ht="21" hidden="false" customHeight="true" outlineLevel="0" collapsed="false">
      <c r="B54" s="165"/>
      <c r="C54" s="165"/>
      <c r="D54" s="165"/>
      <c r="E54" s="165"/>
      <c r="F54" s="165"/>
      <c r="G54" s="165"/>
    </row>
    <row r="55" customFormat="false" ht="21" hidden="false" customHeight="true" outlineLevel="0" collapsed="false">
      <c r="B55" s="165"/>
      <c r="C55" s="165"/>
      <c r="D55" s="165"/>
      <c r="E55" s="165"/>
      <c r="F55" s="165"/>
      <c r="G55" s="165"/>
    </row>
    <row r="56" customFormat="false" ht="21" hidden="false" customHeight="true" outlineLevel="0" collapsed="false">
      <c r="B56" s="165"/>
      <c r="C56" s="165"/>
      <c r="D56" s="165"/>
      <c r="E56" s="165"/>
      <c r="F56" s="165"/>
      <c r="G56" s="165"/>
    </row>
    <row r="57" customFormat="false" ht="21" hidden="false" customHeight="true" outlineLevel="0" collapsed="false">
      <c r="B57" s="165"/>
      <c r="C57" s="165"/>
      <c r="D57" s="165"/>
      <c r="E57" s="165"/>
      <c r="F57" s="165"/>
      <c r="G57" s="165"/>
    </row>
    <row r="58" customFormat="false" ht="21" hidden="false" customHeight="true" outlineLevel="0" collapsed="false">
      <c r="B58" s="165"/>
      <c r="C58" s="165"/>
      <c r="D58" s="165"/>
      <c r="E58" s="165"/>
      <c r="F58" s="165"/>
      <c r="G58" s="165"/>
    </row>
    <row r="59" customFormat="false" ht="21" hidden="false" customHeight="true" outlineLevel="0" collapsed="false">
      <c r="B59" s="165"/>
      <c r="C59" s="165"/>
      <c r="D59" s="165"/>
      <c r="E59" s="165"/>
      <c r="F59" s="165"/>
      <c r="G59" s="165"/>
    </row>
    <row r="60" customFormat="false" ht="21" hidden="false" customHeight="true" outlineLevel="0" collapsed="false">
      <c r="B60" s="165"/>
      <c r="C60" s="165"/>
      <c r="D60" s="165"/>
      <c r="E60" s="165"/>
      <c r="F60" s="165"/>
      <c r="G60" s="165"/>
    </row>
    <row r="61" customFormat="false" ht="21" hidden="false" customHeight="true" outlineLevel="0" collapsed="false">
      <c r="B61" s="165"/>
      <c r="C61" s="165"/>
      <c r="D61" s="165"/>
      <c r="E61" s="165"/>
      <c r="F61" s="165"/>
      <c r="G61" s="165"/>
    </row>
    <row r="62" customFormat="false" ht="21" hidden="false" customHeight="true" outlineLevel="0" collapsed="false">
      <c r="B62" s="165"/>
      <c r="C62" s="165"/>
      <c r="D62" s="165"/>
      <c r="E62" s="165"/>
      <c r="F62" s="165"/>
      <c r="G62" s="165"/>
    </row>
    <row r="63" customFormat="false" ht="21" hidden="false" customHeight="true" outlineLevel="0" collapsed="false">
      <c r="B63" s="165"/>
      <c r="C63" s="165"/>
      <c r="D63" s="165"/>
      <c r="E63" s="165"/>
      <c r="F63" s="165"/>
      <c r="G63" s="165"/>
    </row>
    <row r="64" customFormat="false" ht="21" hidden="false" customHeight="true" outlineLevel="0" collapsed="false">
      <c r="B64" s="165"/>
      <c r="C64" s="165"/>
      <c r="D64" s="165"/>
      <c r="E64" s="165"/>
      <c r="F64" s="165"/>
      <c r="G64" s="165"/>
    </row>
    <row r="65" customFormat="false" ht="21" hidden="false" customHeight="true" outlineLevel="0" collapsed="false">
      <c r="B65" s="165"/>
      <c r="C65" s="165"/>
      <c r="D65" s="165"/>
      <c r="E65" s="165"/>
      <c r="F65" s="165"/>
      <c r="G65" s="165"/>
    </row>
    <row r="66" customFormat="false" ht="21" hidden="false" customHeight="true" outlineLevel="0" collapsed="false">
      <c r="B66" s="165"/>
      <c r="C66" s="165"/>
      <c r="D66" s="165"/>
      <c r="E66" s="165"/>
      <c r="F66" s="165"/>
      <c r="G66" s="165"/>
    </row>
    <row r="67" customFormat="false" ht="21" hidden="false" customHeight="true" outlineLevel="0" collapsed="false">
      <c r="B67" s="165"/>
      <c r="C67" s="165"/>
      <c r="D67" s="165"/>
      <c r="E67" s="165"/>
      <c r="F67" s="165"/>
      <c r="G67" s="165"/>
    </row>
    <row r="68" customFormat="false" ht="21" hidden="false" customHeight="true" outlineLevel="0" collapsed="false">
      <c r="B68" s="165"/>
      <c r="C68" s="165"/>
      <c r="D68" s="165"/>
      <c r="E68" s="165"/>
      <c r="F68" s="165"/>
      <c r="G68" s="165"/>
    </row>
    <row r="69" customFormat="false" ht="21" hidden="false" customHeight="true" outlineLevel="0" collapsed="false">
      <c r="B69" s="165"/>
      <c r="C69" s="165"/>
      <c r="D69" s="165"/>
      <c r="E69" s="165"/>
      <c r="F69" s="165"/>
      <c r="G69" s="165"/>
    </row>
    <row r="70" customFormat="false" ht="21" hidden="false" customHeight="true" outlineLevel="0" collapsed="false">
      <c r="B70" s="165"/>
      <c r="C70" s="165"/>
      <c r="D70" s="165"/>
      <c r="E70" s="165"/>
      <c r="F70" s="165"/>
      <c r="G70" s="165"/>
    </row>
    <row r="71" customFormat="false" ht="21" hidden="false" customHeight="true" outlineLevel="0" collapsed="false">
      <c r="B71" s="165"/>
      <c r="C71" s="165"/>
      <c r="D71" s="165"/>
      <c r="E71" s="165"/>
      <c r="F71" s="165"/>
      <c r="G71" s="165"/>
    </row>
    <row r="72" customFormat="false" ht="21" hidden="false" customHeight="true" outlineLevel="0" collapsed="false">
      <c r="B72" s="165"/>
      <c r="C72" s="165"/>
      <c r="D72" s="165"/>
      <c r="E72" s="165"/>
      <c r="F72" s="165"/>
      <c r="G72" s="165"/>
    </row>
    <row r="73" customFormat="false" ht="21" hidden="false" customHeight="true" outlineLevel="0" collapsed="false">
      <c r="B73" s="165"/>
      <c r="C73" s="165"/>
      <c r="D73" s="165"/>
      <c r="E73" s="165"/>
      <c r="F73" s="165"/>
      <c r="G73" s="165"/>
    </row>
    <row r="74" customFormat="false" ht="21" hidden="false" customHeight="true" outlineLevel="0" collapsed="false">
      <c r="B74" s="165"/>
      <c r="C74" s="165"/>
      <c r="D74" s="165"/>
      <c r="E74" s="165"/>
      <c r="F74" s="165"/>
      <c r="G74" s="165"/>
    </row>
    <row r="75" customFormat="false" ht="21" hidden="false" customHeight="true" outlineLevel="0" collapsed="false">
      <c r="B75" s="165"/>
      <c r="C75" s="165"/>
      <c r="D75" s="165"/>
      <c r="E75" s="165"/>
      <c r="F75" s="165"/>
      <c r="G75" s="165"/>
    </row>
    <row r="76" customFormat="false" ht="21" hidden="false" customHeight="true" outlineLevel="0" collapsed="false">
      <c r="B76" s="165"/>
      <c r="C76" s="165"/>
      <c r="D76" s="165"/>
      <c r="E76" s="165"/>
      <c r="F76" s="165"/>
      <c r="G76" s="165"/>
    </row>
    <row r="77" customFormat="false" ht="21" hidden="false" customHeight="true" outlineLevel="0" collapsed="false">
      <c r="B77" s="165"/>
      <c r="C77" s="165"/>
      <c r="D77" s="165"/>
      <c r="E77" s="165"/>
      <c r="F77" s="165"/>
      <c r="G77" s="165"/>
    </row>
    <row r="78" customFormat="false" ht="21" hidden="false" customHeight="true" outlineLevel="0" collapsed="false">
      <c r="B78" s="165"/>
      <c r="C78" s="165"/>
      <c r="D78" s="165"/>
      <c r="E78" s="165"/>
      <c r="F78" s="165"/>
      <c r="G78" s="165"/>
    </row>
    <row r="79" customFormat="false" ht="21" hidden="false" customHeight="true" outlineLevel="0" collapsed="false">
      <c r="B79" s="165"/>
      <c r="C79" s="165"/>
      <c r="D79" s="165"/>
      <c r="E79" s="165"/>
      <c r="F79" s="165"/>
      <c r="G79" s="165"/>
    </row>
    <row r="80" customFormat="false" ht="21" hidden="false" customHeight="true" outlineLevel="0" collapsed="false">
      <c r="B80" s="165"/>
      <c r="C80" s="165"/>
      <c r="D80" s="165"/>
      <c r="E80" s="165"/>
      <c r="F80" s="165"/>
      <c r="G80" s="165"/>
    </row>
    <row r="81" customFormat="false" ht="21" hidden="false" customHeight="true" outlineLevel="0" collapsed="false">
      <c r="B81" s="165"/>
      <c r="C81" s="165"/>
      <c r="D81" s="165"/>
      <c r="E81" s="165"/>
      <c r="F81" s="165"/>
      <c r="G81" s="16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6"/>
    <col collapsed="false" customWidth="true" hidden="false" outlineLevel="0" max="5" min="5" style="1" width="24"/>
    <col collapsed="false" customWidth="true" hidden="false" outlineLevel="0" max="7" min="6" style="1" width="28"/>
  </cols>
  <sheetData>
    <row r="2" customFormat="false" ht="33.75" hidden="false" customHeight="true" outlineLevel="0" collapsed="false">
      <c r="B2" s="2" t="s">
        <v>32</v>
      </c>
      <c r="C2" s="2"/>
      <c r="D2" s="2"/>
      <c r="E2" s="2"/>
      <c r="F2" s="2"/>
      <c r="G2" s="2"/>
    </row>
    <row r="3" customFormat="false" ht="33.75" hidden="false" customHeight="true" outlineLevel="0" collapsed="false">
      <c r="B3" s="251" t="s">
        <v>1191</v>
      </c>
    </row>
    <row r="4" customFormat="false" ht="15" hidden="false" customHeight="true" outlineLevel="0" collapsed="false">
      <c r="B4" s="33" t="s">
        <v>1192</v>
      </c>
      <c r="C4" s="252" t="s">
        <v>1193</v>
      </c>
    </row>
    <row r="5" customFormat="false" ht="15" hidden="false" customHeight="true" outlineLevel="0" collapsed="false">
      <c r="B5" s="33" t="s">
        <v>1194</v>
      </c>
      <c r="C5" s="252" t="s">
        <v>1195</v>
      </c>
    </row>
    <row r="6" customFormat="false" ht="15" hidden="false" customHeight="true" outlineLevel="0" collapsed="false">
      <c r="B6" s="253" t="s">
        <v>1196</v>
      </c>
      <c r="C6" s="254" t="s">
        <v>1197</v>
      </c>
    </row>
    <row r="7" customFormat="false" ht="15" hidden="false" customHeight="true" outlineLevel="0" collapsed="false">
      <c r="B7" s="253"/>
      <c r="C7" s="254"/>
    </row>
    <row r="8" customFormat="false" ht="21" hidden="false" customHeight="true" outlineLevel="0" collapsed="false">
      <c r="B8" s="255" t="s">
        <v>1198</v>
      </c>
    </row>
    <row r="9" customFormat="false" ht="21" hidden="false" customHeight="true" outlineLevel="0" collapsed="false">
      <c r="B9" s="2" t="s">
        <v>1199</v>
      </c>
      <c r="C9" s="2"/>
      <c r="D9" s="2"/>
      <c r="E9" s="2"/>
      <c r="F9" s="2"/>
      <c r="G9" s="2"/>
    </row>
    <row r="10" customFormat="false" ht="21" hidden="false" customHeight="true" outlineLevel="0" collapsed="false">
      <c r="B10" s="146" t="s">
        <v>1200</v>
      </c>
      <c r="C10" s="149"/>
      <c r="D10" s="149"/>
      <c r="E10" s="149"/>
      <c r="F10" s="149"/>
      <c r="G10" s="149"/>
    </row>
    <row r="11" customFormat="false" ht="21" hidden="false" customHeight="true" outlineLevel="0" collapsed="false">
      <c r="B11" s="256" t="s">
        <v>238</v>
      </c>
      <c r="C11" s="256" t="s">
        <v>1201</v>
      </c>
      <c r="D11" s="256" t="s">
        <v>1202</v>
      </c>
      <c r="E11" s="256" t="s">
        <v>1203</v>
      </c>
      <c r="F11" s="256" t="s">
        <v>1204</v>
      </c>
      <c r="G11" s="256" t="s">
        <v>1205</v>
      </c>
    </row>
    <row r="12" customFormat="false" ht="30" hidden="false" customHeight="true" outlineLevel="0" collapsed="false">
      <c r="B12" s="149" t="s">
        <v>244</v>
      </c>
      <c r="C12" s="149" t="s">
        <v>1206</v>
      </c>
      <c r="D12" s="149" t="s">
        <v>1207</v>
      </c>
      <c r="E12" s="149" t="s">
        <v>1208</v>
      </c>
      <c r="F12" s="149" t="s">
        <v>1207</v>
      </c>
      <c r="G12" s="149" t="s">
        <v>1207</v>
      </c>
    </row>
    <row r="13" customFormat="false" ht="30" hidden="false" customHeight="true" outlineLevel="0" collapsed="false">
      <c r="B13" s="149" t="s">
        <v>252</v>
      </c>
      <c r="C13" s="149" t="s">
        <v>1206</v>
      </c>
      <c r="D13" s="149" t="s">
        <v>1209</v>
      </c>
      <c r="E13" s="149" t="s">
        <v>1210</v>
      </c>
      <c r="F13" s="149" t="s">
        <v>1207</v>
      </c>
      <c r="G13" s="149" t="s">
        <v>1207</v>
      </c>
    </row>
    <row r="14" customFormat="false" ht="30" hidden="false" customHeight="true" outlineLevel="0" collapsed="false">
      <c r="B14" s="149" t="s">
        <v>259</v>
      </c>
      <c r="C14" s="149" t="s">
        <v>1211</v>
      </c>
      <c r="D14" s="149" t="s">
        <v>1212</v>
      </c>
      <c r="E14" s="149" t="s">
        <v>1213</v>
      </c>
      <c r="F14" s="149" t="s">
        <v>1207</v>
      </c>
      <c r="G14" s="149" t="s">
        <v>1207</v>
      </c>
    </row>
    <row r="15" customFormat="false" ht="30" hidden="false" customHeight="true" outlineLevel="0" collapsed="false">
      <c r="B15" s="149" t="s">
        <v>698</v>
      </c>
      <c r="C15" s="149" t="s">
        <v>1206</v>
      </c>
      <c r="D15" s="149" t="s">
        <v>1214</v>
      </c>
      <c r="E15" s="149" t="s">
        <v>1215</v>
      </c>
      <c r="F15" s="149" t="s">
        <v>1207</v>
      </c>
      <c r="G15" s="149" t="s">
        <v>1207</v>
      </c>
    </row>
    <row r="16" customFormat="false" ht="30" hidden="false" customHeight="true" outlineLevel="0" collapsed="false">
      <c r="B16" s="149" t="s">
        <v>267</v>
      </c>
      <c r="C16" s="149" t="s">
        <v>1216</v>
      </c>
      <c r="D16" s="149" t="s">
        <v>1217</v>
      </c>
      <c r="E16" s="149" t="s">
        <v>1218</v>
      </c>
      <c r="F16" s="149" t="s">
        <v>1207</v>
      </c>
      <c r="G16" s="149" t="s">
        <v>1207</v>
      </c>
    </row>
    <row r="17" customFormat="false" ht="30" hidden="false" customHeight="true" outlineLevel="0" collapsed="false">
      <c r="B17" s="149" t="s">
        <v>272</v>
      </c>
      <c r="C17" s="149" t="s">
        <v>1219</v>
      </c>
      <c r="D17" s="149" t="s">
        <v>1220</v>
      </c>
      <c r="E17" s="149" t="s">
        <v>1221</v>
      </c>
      <c r="F17" s="149" t="s">
        <v>1207</v>
      </c>
      <c r="G17" s="149" t="s">
        <v>1207</v>
      </c>
    </row>
    <row r="18" customFormat="false" ht="15" hidden="false" customHeight="true" outlineLevel="0" collapsed="false">
      <c r="B18" s="149"/>
      <c r="C18" s="149"/>
      <c r="D18" s="149"/>
      <c r="E18" s="149"/>
      <c r="F18" s="149"/>
      <c r="G18" s="149"/>
    </row>
    <row r="19" customFormat="false" ht="15" hidden="false" customHeight="true" outlineLevel="0" collapsed="false">
      <c r="B19" s="1" t="s">
        <v>1222</v>
      </c>
      <c r="C19" s="1" t="s">
        <v>1223</v>
      </c>
      <c r="D19" s="149"/>
      <c r="E19" s="149"/>
      <c r="F19" s="149"/>
      <c r="G19" s="149"/>
    </row>
    <row r="20" customFormat="false" ht="15" hidden="false" customHeight="true" outlineLevel="0" collapsed="false">
      <c r="B20" s="1" t="s">
        <v>1222</v>
      </c>
      <c r="C20" s="1" t="s">
        <v>1224</v>
      </c>
      <c r="D20" s="149"/>
      <c r="E20" s="149"/>
      <c r="F20" s="149"/>
      <c r="G20"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64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9" min="3" style="1" width="13.83"/>
    <col collapsed="false" customWidth="true" hidden="false" outlineLevel="0" max="10" min="10" style="1" width="34.83"/>
  </cols>
  <sheetData>
    <row r="2" customFormat="false" ht="33.75" hidden="false" customHeight="true" outlineLevel="0" collapsed="false">
      <c r="B2" s="2" t="s">
        <v>1225</v>
      </c>
      <c r="C2" s="2"/>
      <c r="D2" s="2"/>
      <c r="E2" s="2"/>
      <c r="F2" s="2"/>
      <c r="G2" s="2"/>
      <c r="H2" s="2"/>
      <c r="I2" s="2"/>
      <c r="J2" s="2"/>
    </row>
    <row r="3" customFormat="false" ht="30" hidden="false" customHeight="true" outlineLevel="0" collapsed="false">
      <c r="B3" s="241" t="s">
        <v>1062</v>
      </c>
    </row>
    <row r="5" customFormat="false" ht="15" hidden="false" customHeight="true" outlineLevel="0" collapsed="false">
      <c r="A5" s="1" t="s">
        <v>1226</v>
      </c>
      <c r="B5" s="1" t="s">
        <v>1227</v>
      </c>
    </row>
    <row r="6" customFormat="false" ht="15" hidden="false" customHeight="true" outlineLevel="0" collapsed="false">
      <c r="A6" s="1" t="s">
        <v>1228</v>
      </c>
      <c r="B6" s="1" t="s">
        <v>1229</v>
      </c>
    </row>
    <row r="7" customFormat="false" ht="15" hidden="false" customHeight="true" outlineLevel="0" collapsed="false">
      <c r="B7" s="1" t="s">
        <v>1230</v>
      </c>
    </row>
    <row r="9" customFormat="false" ht="24" hidden="false" customHeight="true" outlineLevel="0" collapsed="false">
      <c r="B9" s="257" t="s">
        <v>1231</v>
      </c>
    </row>
    <row r="11" customFormat="false" ht="16.5" hidden="false" customHeight="true" outlineLevel="0" collapsed="false">
      <c r="B11" s="258" t="s">
        <v>1232</v>
      </c>
    </row>
    <row r="13" customFormat="false" ht="15" hidden="false" customHeight="true" outlineLevel="0" collapsed="false">
      <c r="B13" s="1" t="s">
        <v>1233</v>
      </c>
    </row>
    <row r="14" customFormat="false" ht="15" hidden="false" customHeight="true" outlineLevel="0" collapsed="false">
      <c r="B14" s="1" t="s">
        <v>1234</v>
      </c>
    </row>
    <row r="15" customFormat="false" ht="15" hidden="false" customHeight="true" outlineLevel="0" collapsed="false">
      <c r="B15" s="1" t="s">
        <v>1235</v>
      </c>
    </row>
    <row r="17" customFormat="false" ht="16.5" hidden="false" customHeight="true" outlineLevel="0" collapsed="false">
      <c r="B17" s="258" t="s">
        <v>1236</v>
      </c>
    </row>
    <row r="19" customFormat="false" ht="15" hidden="false" customHeight="true" outlineLevel="0" collapsed="false">
      <c r="B19" s="1" t="s">
        <v>1237</v>
      </c>
    </row>
    <row r="20" customFormat="false" ht="15" hidden="false" customHeight="true" outlineLevel="0" collapsed="false">
      <c r="B20" s="1" t="s">
        <v>1238</v>
      </c>
    </row>
    <row r="21" customFormat="false" ht="15" hidden="false" customHeight="true" outlineLevel="0" collapsed="false">
      <c r="B21" s="1" t="s">
        <v>1239</v>
      </c>
    </row>
    <row r="22" customFormat="false" ht="15" hidden="false" customHeight="true" outlineLevel="0" collapsed="false">
      <c r="B22" s="1" t="s">
        <v>1240</v>
      </c>
    </row>
    <row r="23" customFormat="false" ht="15" hidden="false" customHeight="true" outlineLevel="0" collapsed="false">
      <c r="B23" s="1" t="s">
        <v>1241</v>
      </c>
    </row>
    <row r="24" customFormat="false" ht="15" hidden="false" customHeight="true" outlineLevel="0" collapsed="false">
      <c r="B24" s="1" t="s">
        <v>1242</v>
      </c>
    </row>
    <row r="25" customFormat="false" ht="15" hidden="false" customHeight="true" outlineLevel="0" collapsed="false">
      <c r="B25" s="1" t="s">
        <v>1243</v>
      </c>
    </row>
    <row r="26" customFormat="false" ht="15" hidden="false" customHeight="true" outlineLevel="0" collapsed="false">
      <c r="B26" s="1" t="s">
        <v>1244</v>
      </c>
    </row>
    <row r="27" customFormat="false" ht="15" hidden="false" customHeight="true" outlineLevel="0" collapsed="false">
      <c r="B27" s="1" t="s">
        <v>1245</v>
      </c>
    </row>
    <row r="28" customFormat="false" ht="15" hidden="false" customHeight="true" outlineLevel="0" collapsed="false">
      <c r="B28" s="1" t="s">
        <v>1246</v>
      </c>
    </row>
    <row r="29" customFormat="false" ht="15" hidden="false" customHeight="true" outlineLevel="0" collapsed="false">
      <c r="B29" s="1" t="s">
        <v>1247</v>
      </c>
    </row>
    <row r="31" customFormat="false" ht="16.5" hidden="false" customHeight="true" outlineLevel="0" collapsed="false">
      <c r="B31" s="258" t="s">
        <v>1248</v>
      </c>
    </row>
    <row r="33" customFormat="false" ht="15" hidden="false" customHeight="true" outlineLevel="0" collapsed="false">
      <c r="B33" s="1" t="s">
        <v>1249</v>
      </c>
    </row>
    <row r="34" customFormat="false" ht="15" hidden="false" customHeight="true" outlineLevel="0" collapsed="false">
      <c r="B34" s="1" t="s">
        <v>1250</v>
      </c>
    </row>
    <row r="35" customFormat="false" ht="15" hidden="false" customHeight="true" outlineLevel="0" collapsed="false">
      <c r="B35" s="1" t="s">
        <v>1251</v>
      </c>
    </row>
    <row r="36" customFormat="false" ht="15" hidden="false" customHeight="true" outlineLevel="0" collapsed="false">
      <c r="B36" s="1" t="s">
        <v>1252</v>
      </c>
    </row>
    <row r="37" customFormat="false" ht="15" hidden="false" customHeight="true" outlineLevel="0" collapsed="false">
      <c r="B37" s="1" t="s">
        <v>1253</v>
      </c>
    </row>
    <row r="38" customFormat="false" ht="15" hidden="false" customHeight="true" outlineLevel="0" collapsed="false">
      <c r="B38" s="1" t="s">
        <v>1254</v>
      </c>
    </row>
    <row r="39" customFormat="false" ht="15" hidden="false" customHeight="true" outlineLevel="0" collapsed="false">
      <c r="B39" s="1" t="s">
        <v>1255</v>
      </c>
    </row>
    <row r="40" customFormat="false" ht="15" hidden="false" customHeight="true" outlineLevel="0" collapsed="false">
      <c r="B40" s="1" t="s">
        <v>1256</v>
      </c>
    </row>
    <row r="41" customFormat="false" ht="15" hidden="false" customHeight="true" outlineLevel="0" collapsed="false">
      <c r="B41" s="1" t="s">
        <v>1257</v>
      </c>
    </row>
    <row r="43" customFormat="false" ht="24" hidden="false" customHeight="true" outlineLevel="0" collapsed="false">
      <c r="B43" s="257" t="s">
        <v>1258</v>
      </c>
    </row>
    <row r="45" customFormat="false" ht="15" hidden="false" customHeight="true" outlineLevel="0" collapsed="false">
      <c r="B45" s="1" t="s">
        <v>1259</v>
      </c>
    </row>
    <row r="47" customFormat="false" ht="15" hidden="false" customHeight="true" outlineLevel="0" collapsed="false">
      <c r="B47" s="259" t="s">
        <v>1260</v>
      </c>
      <c r="C47" s="259" t="s">
        <v>1261</v>
      </c>
    </row>
    <row r="48" customFormat="false" ht="15" hidden="false" customHeight="true" outlineLevel="0" collapsed="false">
      <c r="B48" s="1" t="s">
        <v>1262</v>
      </c>
      <c r="C48" s="1" t="s">
        <v>1263</v>
      </c>
    </row>
    <row r="49" customFormat="false" ht="15" hidden="false" customHeight="true" outlineLevel="0" collapsed="false">
      <c r="B49" s="1" t="s">
        <v>1264</v>
      </c>
      <c r="C49" s="1" t="s">
        <v>1265</v>
      </c>
    </row>
    <row r="50" customFormat="false" ht="15" hidden="false" customHeight="true" outlineLevel="0" collapsed="false">
      <c r="B50" s="1" t="s">
        <v>1266</v>
      </c>
      <c r="C50" s="1" t="s">
        <v>1267</v>
      </c>
    </row>
    <row r="51" customFormat="false" ht="15" hidden="false" customHeight="true" outlineLevel="0" collapsed="false">
      <c r="B51" s="1" t="s">
        <v>1268</v>
      </c>
      <c r="C51" s="1" t="s">
        <v>1269</v>
      </c>
    </row>
    <row r="52" customFormat="false" ht="15" hidden="false" customHeight="true" outlineLevel="0" collapsed="false">
      <c r="B52" s="1" t="s">
        <v>1270</v>
      </c>
      <c r="C52" s="1" t="s">
        <v>1271</v>
      </c>
    </row>
    <row r="54" customFormat="false" ht="24" hidden="false" customHeight="true" outlineLevel="0" collapsed="false">
      <c r="B54" s="257" t="s">
        <v>1272</v>
      </c>
    </row>
    <row r="56" customFormat="false" ht="15" hidden="false" customHeight="true" outlineLevel="0" collapsed="false">
      <c r="B56" s="1" t="s">
        <v>1273</v>
      </c>
    </row>
    <row r="57" customFormat="false" ht="15" hidden="false" customHeight="true" outlineLevel="0" collapsed="false">
      <c r="B57" s="1" t="s">
        <v>1274</v>
      </c>
    </row>
    <row r="58" customFormat="false" ht="15" hidden="false" customHeight="true" outlineLevel="0" collapsed="false">
      <c r="B58" s="1" t="s">
        <v>1275</v>
      </c>
    </row>
    <row r="60" customFormat="false" ht="24" hidden="false" customHeight="true" outlineLevel="0" collapsed="false">
      <c r="B60" s="257" t="s">
        <v>1276</v>
      </c>
    </row>
    <row r="62" customFormat="false" ht="15" hidden="false" customHeight="true" outlineLevel="0" collapsed="false">
      <c r="B62" s="1" t="s">
        <v>1277</v>
      </c>
    </row>
    <row r="64" customFormat="false" ht="15" hidden="false" customHeight="true" outlineLevel="0" collapsed="false">
      <c r="B64" s="1" t="s">
        <v>1278</v>
      </c>
    </row>
    <row r="65" customFormat="false" ht="15" hidden="false" customHeight="true" outlineLevel="0" collapsed="false">
      <c r="B65" s="1" t="s">
        <v>1279</v>
      </c>
    </row>
    <row r="66" customFormat="false" ht="15" hidden="false" customHeight="true" outlineLevel="0" collapsed="false">
      <c r="B66" s="1" t="s">
        <v>1280</v>
      </c>
    </row>
    <row r="68" customFormat="false" ht="15" hidden="false" customHeight="true" outlineLevel="0" collapsed="false">
      <c r="B68" s="1" t="s">
        <v>1281</v>
      </c>
    </row>
    <row r="70" customFormat="false" ht="33.75" hidden="false" customHeight="true" outlineLevel="0" collapsed="false">
      <c r="B70" s="2" t="s">
        <v>1282</v>
      </c>
      <c r="C70" s="2"/>
      <c r="D70" s="2"/>
      <c r="E70" s="2"/>
      <c r="F70" s="2"/>
      <c r="G70" s="2"/>
      <c r="H70" s="2"/>
      <c r="I70" s="2"/>
      <c r="J70" s="2"/>
    </row>
    <row r="71" customFormat="false" ht="15" hidden="false" customHeight="true" outlineLevel="0" collapsed="false">
      <c r="B71" s="243" t="s">
        <v>2</v>
      </c>
      <c r="C71" s="243" t="s">
        <v>1283</v>
      </c>
      <c r="D71" s="243" t="s">
        <v>1284</v>
      </c>
      <c r="E71" s="243" t="s">
        <v>1284</v>
      </c>
      <c r="F71" s="243" t="s">
        <v>1285</v>
      </c>
      <c r="G71" s="243" t="s">
        <v>1286</v>
      </c>
      <c r="H71" s="243" t="s">
        <v>1286</v>
      </c>
      <c r="I71" s="243" t="s">
        <v>1286</v>
      </c>
      <c r="J71" s="243" t="s">
        <v>1287</v>
      </c>
    </row>
    <row r="72" customFormat="false" ht="15" hidden="false" customHeight="true" outlineLevel="0" collapsed="false">
      <c r="B72" s="243"/>
      <c r="C72" s="243"/>
      <c r="D72" s="243" t="s">
        <v>901</v>
      </c>
      <c r="E72" s="243" t="s">
        <v>902</v>
      </c>
      <c r="F72" s="243" t="s">
        <v>900</v>
      </c>
      <c r="G72" s="243" t="s">
        <v>901</v>
      </c>
      <c r="H72" s="243" t="s">
        <v>902</v>
      </c>
      <c r="I72" s="243" t="s">
        <v>900</v>
      </c>
      <c r="J72" s="243"/>
    </row>
    <row r="73" customFormat="false" ht="30" hidden="false" customHeight="true" outlineLevel="0" collapsed="false">
      <c r="B73" s="144" t="s">
        <v>1288</v>
      </c>
      <c r="C73" s="144" t="s">
        <v>1289</v>
      </c>
      <c r="D73" s="260" t="n">
        <v>500</v>
      </c>
      <c r="E73" s="260" t="n">
        <v>900</v>
      </c>
      <c r="F73" s="155" t="s">
        <v>907</v>
      </c>
      <c r="G73" s="260" t="n">
        <v>100</v>
      </c>
      <c r="H73" s="260" t="n">
        <v>200</v>
      </c>
      <c r="I73" s="261" t="s">
        <v>907</v>
      </c>
      <c r="J73" s="144" t="s">
        <v>1290</v>
      </c>
    </row>
    <row r="74" customFormat="false" ht="30" hidden="false" customHeight="true" outlineLevel="0" collapsed="false">
      <c r="B74" s="144" t="s">
        <v>1291</v>
      </c>
      <c r="C74" s="144" t="s">
        <v>1292</v>
      </c>
      <c r="D74" s="260" t="n">
        <v>900</v>
      </c>
      <c r="E74" s="260" t="n">
        <v>1500</v>
      </c>
      <c r="F74" s="155" t="s">
        <v>907</v>
      </c>
      <c r="G74" s="260" t="n">
        <v>150</v>
      </c>
      <c r="H74" s="260" t="n">
        <v>300</v>
      </c>
      <c r="I74" s="261" t="s">
        <v>907</v>
      </c>
      <c r="J74" s="144" t="s">
        <v>1293</v>
      </c>
    </row>
    <row r="75" customFormat="false" ht="30" hidden="false" customHeight="true" outlineLevel="0" collapsed="false">
      <c r="B75" s="144" t="s">
        <v>1294</v>
      </c>
      <c r="C75" s="144" t="s">
        <v>1295</v>
      </c>
      <c r="D75" s="260" t="n">
        <v>1500</v>
      </c>
      <c r="E75" s="260" t="n">
        <v>2500</v>
      </c>
      <c r="F75" s="155" t="s">
        <v>907</v>
      </c>
      <c r="G75" s="260" t="n">
        <v>300</v>
      </c>
      <c r="H75" s="260" t="n">
        <v>500</v>
      </c>
      <c r="I75" s="261" t="s">
        <v>907</v>
      </c>
      <c r="J75" s="144" t="s">
        <v>1296</v>
      </c>
    </row>
    <row r="76" customFormat="false" ht="30" hidden="false" customHeight="true" outlineLevel="0" collapsed="false">
      <c r="B76" s="244" t="s">
        <v>1297</v>
      </c>
      <c r="C76" s="244" t="s">
        <v>1298</v>
      </c>
      <c r="D76" s="262" t="n">
        <v>900</v>
      </c>
      <c r="E76" s="262" t="n">
        <v>1500</v>
      </c>
      <c r="F76" s="263" t="s">
        <v>1299</v>
      </c>
      <c r="G76" s="262" t="n">
        <v>150</v>
      </c>
      <c r="H76" s="262" t="n">
        <v>300</v>
      </c>
      <c r="I76" s="244" t="s">
        <v>1300</v>
      </c>
      <c r="J76" s="244" t="s">
        <v>1301</v>
      </c>
    </row>
    <row r="77" customFormat="false" ht="30" hidden="false" customHeight="true" outlineLevel="0" collapsed="false">
      <c r="B77" s="244" t="s">
        <v>1302</v>
      </c>
      <c r="C77" s="244" t="s">
        <v>1303</v>
      </c>
      <c r="D77" s="262" t="s">
        <v>907</v>
      </c>
      <c r="E77" s="262" t="s">
        <v>907</v>
      </c>
      <c r="F77" s="263" t="s">
        <v>907</v>
      </c>
      <c r="G77" s="263" t="s">
        <v>907</v>
      </c>
      <c r="H77" s="263" t="s">
        <v>907</v>
      </c>
      <c r="I77" s="264" t="s">
        <v>907</v>
      </c>
      <c r="J77" s="244" t="s">
        <v>1304</v>
      </c>
    </row>
    <row r="81" customFormat="false" ht="15" hidden="false" customHeight="true" outlineLevel="0" collapsed="false">
      <c r="A81" s="155" t="s">
        <v>1226</v>
      </c>
      <c r="B81" s="155" t="s">
        <v>1305</v>
      </c>
    </row>
    <row r="82" customFormat="false" ht="15" hidden="false" customHeight="true" outlineLevel="0" collapsed="false">
      <c r="A82" s="155" t="s">
        <v>1228</v>
      </c>
      <c r="B82" s="155" t="s">
        <v>1306</v>
      </c>
    </row>
    <row r="84" customFormat="false" ht="15" hidden="false" customHeight="true" outlineLevel="0" collapsed="false">
      <c r="B84" s="259" t="s">
        <v>1307</v>
      </c>
    </row>
    <row r="86" customFormat="false" ht="15" hidden="false" customHeight="true" outlineLevel="0" collapsed="false">
      <c r="B86" s="259" t="s">
        <v>1308</v>
      </c>
      <c r="C86" s="259" t="s">
        <v>251</v>
      </c>
    </row>
    <row r="87" customFormat="false" ht="15" hidden="false" customHeight="true" outlineLevel="0" collapsed="false">
      <c r="B87" s="155" t="s">
        <v>1309</v>
      </c>
      <c r="C87" s="155" t="s">
        <v>248</v>
      </c>
    </row>
    <row r="88" customFormat="false" ht="15" hidden="false" customHeight="true" outlineLevel="0" collapsed="false">
      <c r="B88" s="155" t="s">
        <v>1310</v>
      </c>
      <c r="C88" s="155" t="s">
        <v>505</v>
      </c>
    </row>
    <row r="89" customFormat="false" ht="15" hidden="false" customHeight="true" outlineLevel="0" collapsed="false">
      <c r="B89" s="155" t="s">
        <v>1311</v>
      </c>
      <c r="C89" s="155" t="s">
        <v>512</v>
      </c>
    </row>
    <row r="90" customFormat="false" ht="15" hidden="false" customHeight="true" outlineLevel="0" collapsed="false">
      <c r="B90" s="155" t="s">
        <v>1312</v>
      </c>
      <c r="C90" s="155" t="s">
        <v>519</v>
      </c>
    </row>
    <row r="91" customFormat="false" ht="15" hidden="false" customHeight="true" outlineLevel="0" collapsed="false">
      <c r="B91" s="155" t="s">
        <v>1313</v>
      </c>
      <c r="C91" s="155" t="s">
        <v>266</v>
      </c>
    </row>
    <row r="93" customFormat="false" ht="15" hidden="false" customHeight="true" outlineLevel="0" collapsed="false">
      <c r="B93" s="259" t="s">
        <v>1314</v>
      </c>
    </row>
    <row r="95" customFormat="false" ht="15" hidden="false" customHeight="true" outlineLevel="0" collapsed="false">
      <c r="B95" s="155" t="s">
        <v>1315</v>
      </c>
    </row>
    <row r="97" customFormat="false" ht="15" hidden="false" customHeight="true" outlineLevel="0" collapsed="false">
      <c r="B97" s="259" t="s">
        <v>1316</v>
      </c>
    </row>
    <row r="98" customFormat="false" ht="15" hidden="false" customHeight="true" outlineLevel="0" collapsed="false">
      <c r="B98" s="259" t="s">
        <v>1317</v>
      </c>
    </row>
    <row r="99" customFormat="false" ht="15" hidden="false" customHeight="true" outlineLevel="0" collapsed="false">
      <c r="B99" s="259" t="s">
        <v>1318</v>
      </c>
    </row>
    <row r="100" customFormat="false" ht="15" hidden="false" customHeight="true" outlineLevel="0" collapsed="false">
      <c r="B100" s="259" t="s">
        <v>1319</v>
      </c>
    </row>
    <row r="101" customFormat="false" ht="15" hidden="false" customHeight="true" outlineLevel="0" collapsed="false">
      <c r="B101" s="259" t="s">
        <v>1320</v>
      </c>
    </row>
    <row r="103" customFormat="false" ht="15" hidden="false" customHeight="true" outlineLevel="0" collapsed="false">
      <c r="B103" s="259" t="s">
        <v>1321</v>
      </c>
    </row>
    <row r="105" customFormat="false" ht="15" hidden="false" customHeight="true" outlineLevel="0" collapsed="false">
      <c r="B105" s="155" t="s">
        <v>1322</v>
      </c>
    </row>
    <row r="107" customFormat="false" ht="15" hidden="false" customHeight="true" outlineLevel="0" collapsed="false">
      <c r="B107" s="259" t="s">
        <v>1323</v>
      </c>
    </row>
    <row r="109" customFormat="false" ht="15" hidden="false" customHeight="true" outlineLevel="0" collapsed="false">
      <c r="B109" s="155" t="s">
        <v>1324</v>
      </c>
    </row>
    <row r="110" customFormat="false" ht="15" hidden="false" customHeight="true" outlineLevel="0" collapsed="false">
      <c r="B110" s="155" t="s">
        <v>1325</v>
      </c>
    </row>
    <row r="112" customFormat="false" ht="15" hidden="false" customHeight="true" outlineLevel="0" collapsed="false">
      <c r="B112" s="259" t="s">
        <v>1326</v>
      </c>
    </row>
    <row r="114" customFormat="false" ht="15" hidden="false" customHeight="true" outlineLevel="0" collapsed="false">
      <c r="B114" s="155" t="s">
        <v>1327</v>
      </c>
    </row>
    <row r="118" customFormat="false" ht="15" hidden="false" customHeight="true" outlineLevel="0" collapsed="false">
      <c r="B118" s="259" t="s">
        <v>1328</v>
      </c>
    </row>
    <row r="120" customFormat="false" ht="15" hidden="false" customHeight="true" outlineLevel="0" collapsed="false">
      <c r="B120" s="259" t="s">
        <v>231</v>
      </c>
      <c r="C120" s="259" t="s">
        <v>1329</v>
      </c>
      <c r="D120" s="259" t="s">
        <v>1330</v>
      </c>
      <c r="E120" s="259" t="s">
        <v>1331</v>
      </c>
      <c r="F120" s="259" t="s">
        <v>1332</v>
      </c>
    </row>
    <row r="121" customFormat="false" ht="15" hidden="false" customHeight="true" outlineLevel="0" collapsed="false">
      <c r="B121" s="155" t="s">
        <v>1333</v>
      </c>
      <c r="C121" s="146" t="s">
        <v>248</v>
      </c>
      <c r="D121" s="146" t="s">
        <v>505</v>
      </c>
      <c r="E121" s="146" t="s">
        <v>248</v>
      </c>
      <c r="F121" s="265" t="s">
        <v>505</v>
      </c>
      <c r="H121" s="266" t="s">
        <v>1334</v>
      </c>
    </row>
    <row r="122" customFormat="false" ht="15" hidden="false" customHeight="true" outlineLevel="0" collapsed="false">
      <c r="B122" s="155" t="s">
        <v>1335</v>
      </c>
      <c r="C122" s="267" t="n">
        <v>0</v>
      </c>
      <c r="D122" s="267" t="n">
        <v>0</v>
      </c>
      <c r="E122" s="267" t="n">
        <v>1</v>
      </c>
      <c r="F122" s="267" t="n">
        <v>0</v>
      </c>
    </row>
    <row r="123" customFormat="false" ht="15" hidden="false" customHeight="true" outlineLevel="0" collapsed="false">
      <c r="B123" s="155" t="s">
        <v>1336</v>
      </c>
      <c r="C123" s="267" t="n">
        <v>0</v>
      </c>
      <c r="D123" s="267" t="n">
        <v>1</v>
      </c>
      <c r="E123" s="267" t="n">
        <v>0</v>
      </c>
      <c r="F123" s="267" t="n">
        <v>1</v>
      </c>
    </row>
    <row r="124" customFormat="false" ht="15" hidden="false" customHeight="true" outlineLevel="0" collapsed="false">
      <c r="B124" s="155" t="s">
        <v>1337</v>
      </c>
      <c r="C124" s="267" t="n">
        <v>0</v>
      </c>
      <c r="D124" s="267" t="n">
        <v>0</v>
      </c>
      <c r="E124" s="267" t="n">
        <v>0</v>
      </c>
      <c r="F124" s="267" t="n">
        <v>1</v>
      </c>
    </row>
    <row r="125" customFormat="false" ht="15" hidden="false" customHeight="true" outlineLevel="0" collapsed="false">
      <c r="B125" s="155" t="s">
        <v>1338</v>
      </c>
      <c r="C125" s="267" t="n">
        <v>0</v>
      </c>
      <c r="D125" s="267" t="n">
        <v>1</v>
      </c>
      <c r="E125" s="267" t="n">
        <v>0</v>
      </c>
      <c r="F125" s="267" t="n">
        <v>1</v>
      </c>
    </row>
    <row r="126" customFormat="false" ht="15" hidden="false" customHeight="true" outlineLevel="0" collapsed="false">
      <c r="B126" s="155" t="s">
        <v>1339</v>
      </c>
      <c r="C126" s="267" t="n">
        <v>0</v>
      </c>
      <c r="D126" s="267" t="n">
        <v>0</v>
      </c>
      <c r="E126" s="267" t="n">
        <v>0</v>
      </c>
      <c r="F126" s="267" t="n">
        <v>0</v>
      </c>
    </row>
    <row r="127" customFormat="false" ht="15" hidden="false" customHeight="true" outlineLevel="0" collapsed="false">
      <c r="B127" s="155" t="s">
        <v>1340</v>
      </c>
      <c r="C127" s="146" t="s">
        <v>1341</v>
      </c>
      <c r="D127" s="146" t="s">
        <v>1342</v>
      </c>
      <c r="E127" s="146" t="s">
        <v>1343</v>
      </c>
      <c r="F127" s="146" t="s">
        <v>414</v>
      </c>
    </row>
    <row r="129" customFormat="false" ht="15" hidden="false" customHeight="true" outlineLevel="0" collapsed="false">
      <c r="B129" s="155" t="s">
        <v>1344</v>
      </c>
      <c r="F129" s="268"/>
    </row>
    <row r="178" customFormat="false" ht="15" hidden="false" customHeight="true" outlineLevel="0" collapsed="false">
      <c r="A178" s="155" t="s">
        <v>1226</v>
      </c>
      <c r="B178" s="155" t="s">
        <v>1345</v>
      </c>
    </row>
    <row r="179" customFormat="false" ht="15" hidden="false" customHeight="true" outlineLevel="0" collapsed="false">
      <c r="A179" s="155" t="s">
        <v>1228</v>
      </c>
      <c r="B179" s="155" t="s">
        <v>1346</v>
      </c>
    </row>
    <row r="181" customFormat="false" ht="24" hidden="false" customHeight="true" outlineLevel="0" collapsed="false">
      <c r="B181" s="257" t="s">
        <v>1347</v>
      </c>
    </row>
    <row r="183" customFormat="false" ht="15" hidden="false" customHeight="true" outlineLevel="0" collapsed="false">
      <c r="B183" s="155" t="s">
        <v>1348</v>
      </c>
    </row>
    <row r="185" customFormat="false" ht="15" hidden="false" customHeight="true" outlineLevel="0" collapsed="false">
      <c r="B185" s="259" t="s">
        <v>1349</v>
      </c>
    </row>
    <row r="186" customFormat="false" ht="15" hidden="false" customHeight="true" outlineLevel="0" collapsed="false">
      <c r="B186" s="259" t="s">
        <v>1350</v>
      </c>
    </row>
    <row r="187" customFormat="false" ht="15" hidden="false" customHeight="true" outlineLevel="0" collapsed="false">
      <c r="B187" s="259" t="s">
        <v>1351</v>
      </c>
    </row>
    <row r="188" customFormat="false" ht="15" hidden="false" customHeight="true" outlineLevel="0" collapsed="false">
      <c r="B188" s="259" t="s">
        <v>1352</v>
      </c>
    </row>
    <row r="190" customFormat="false" ht="15" hidden="false" customHeight="true" outlineLevel="0" collapsed="false">
      <c r="B190" s="155" t="s">
        <v>1353</v>
      </c>
    </row>
    <row r="192" customFormat="false" ht="24" hidden="false" customHeight="true" outlineLevel="0" collapsed="false">
      <c r="B192" s="257" t="s">
        <v>1354</v>
      </c>
    </row>
    <row r="194" customFormat="false" ht="15" hidden="false" customHeight="true" outlineLevel="0" collapsed="false">
      <c r="B194" s="155" t="s">
        <v>1355</v>
      </c>
    </row>
    <row r="195" customFormat="false" ht="15" hidden="false" customHeight="true" outlineLevel="0" collapsed="false">
      <c r="B195" s="269" t="s">
        <v>1356</v>
      </c>
    </row>
    <row r="196" customFormat="false" ht="15" hidden="false" customHeight="true" outlineLevel="0" collapsed="false">
      <c r="B196" s="155" t="s">
        <v>1357</v>
      </c>
    </row>
    <row r="197" customFormat="false" ht="15" hidden="false" customHeight="true" outlineLevel="0" collapsed="false">
      <c r="B197" s="155" t="s">
        <v>1358</v>
      </c>
    </row>
    <row r="199" customFormat="false" ht="24" hidden="false" customHeight="true" outlineLevel="0" collapsed="false">
      <c r="B199" s="257" t="s">
        <v>1359</v>
      </c>
    </row>
    <row r="201" customFormat="false" ht="15" hidden="false" customHeight="true" outlineLevel="0" collapsed="false">
      <c r="B201" s="155" t="s">
        <v>1360</v>
      </c>
    </row>
    <row r="202" customFormat="false" ht="15" hidden="false" customHeight="true" outlineLevel="0" collapsed="false">
      <c r="B202" s="259" t="s">
        <v>1361</v>
      </c>
    </row>
    <row r="203" customFormat="false" ht="15" hidden="false" customHeight="true" outlineLevel="0" collapsed="false">
      <c r="B203" s="259" t="s">
        <v>1362</v>
      </c>
    </row>
    <row r="204" customFormat="false" ht="15" hidden="false" customHeight="true" outlineLevel="0" collapsed="false">
      <c r="B204" s="259" t="s">
        <v>1363</v>
      </c>
    </row>
    <row r="206" customFormat="false" ht="24" hidden="false" customHeight="true" outlineLevel="0" collapsed="false">
      <c r="B206" s="257" t="s">
        <v>1364</v>
      </c>
    </row>
    <row r="208" customFormat="false" ht="15" hidden="false" customHeight="true" outlineLevel="0" collapsed="false">
      <c r="B208" s="155" t="s">
        <v>1365</v>
      </c>
    </row>
    <row r="209" customFormat="false" ht="15" hidden="false" customHeight="true" outlineLevel="0" collapsed="false">
      <c r="B209" s="259" t="s">
        <v>1366</v>
      </c>
    </row>
    <row r="210" customFormat="false" ht="15" hidden="false" customHeight="true" outlineLevel="0" collapsed="false">
      <c r="B210" s="259" t="s">
        <v>1367</v>
      </c>
    </row>
    <row r="211" customFormat="false" ht="15" hidden="false" customHeight="true" outlineLevel="0" collapsed="false">
      <c r="B211" s="259" t="s">
        <v>1368</v>
      </c>
    </row>
    <row r="213" customFormat="false" ht="24" hidden="false" customHeight="true" outlineLevel="0" collapsed="false">
      <c r="B213" s="257" t="s">
        <v>1369</v>
      </c>
    </row>
    <row r="215" customFormat="false" ht="15" hidden="false" customHeight="true" outlineLevel="0" collapsed="false">
      <c r="B215" s="155" t="s">
        <v>1370</v>
      </c>
    </row>
    <row r="216" customFormat="false" ht="15" hidden="false" customHeight="true" outlineLevel="0" collapsed="false">
      <c r="B216" s="269" t="s">
        <v>1371</v>
      </c>
    </row>
    <row r="218" customFormat="false" ht="24" hidden="false" customHeight="true" outlineLevel="0" collapsed="false">
      <c r="B218" s="257" t="s">
        <v>1372</v>
      </c>
    </row>
    <row r="220" customFormat="false" ht="15" hidden="false" customHeight="true" outlineLevel="0" collapsed="false">
      <c r="B220" s="259" t="s">
        <v>1373</v>
      </c>
    </row>
    <row r="221" customFormat="false" ht="15" hidden="false" customHeight="true" outlineLevel="0" collapsed="false">
      <c r="B221" s="259" t="s">
        <v>1374</v>
      </c>
    </row>
    <row r="222" customFormat="false" ht="15" hidden="false" customHeight="true" outlineLevel="0" collapsed="false">
      <c r="B222" s="259" t="s">
        <v>1375</v>
      </c>
    </row>
    <row r="224" customFormat="false" ht="24" hidden="false" customHeight="true" outlineLevel="0" collapsed="false">
      <c r="B224" s="257" t="s">
        <v>1376</v>
      </c>
    </row>
    <row r="226" customFormat="false" ht="15" hidden="false" customHeight="true" outlineLevel="0" collapsed="false">
      <c r="B226" s="155" t="s">
        <v>1377</v>
      </c>
    </row>
    <row r="227" customFormat="false" ht="15" hidden="false" customHeight="true" outlineLevel="0" collapsed="false">
      <c r="B227" s="270" t="s">
        <v>1378</v>
      </c>
    </row>
    <row r="228" customFormat="false" ht="15" hidden="false" customHeight="true" outlineLevel="0" collapsed="false">
      <c r="B228" s="155" t="s">
        <v>1379</v>
      </c>
    </row>
    <row r="231" customFormat="false" ht="15" hidden="false" customHeight="true" outlineLevel="0" collapsed="false">
      <c r="A231" s="155" t="s">
        <v>1226</v>
      </c>
      <c r="B231" s="155" t="s">
        <v>1380</v>
      </c>
    </row>
    <row r="232" customFormat="false" ht="15" hidden="false" customHeight="true" outlineLevel="0" collapsed="false">
      <c r="A232" s="155" t="s">
        <v>1228</v>
      </c>
      <c r="B232" s="155" t="s">
        <v>1381</v>
      </c>
    </row>
    <row r="234" customFormat="false" ht="15" hidden="false" customHeight="true" outlineLevel="0" collapsed="false">
      <c r="B234" s="155" t="s">
        <v>1382</v>
      </c>
    </row>
    <row r="235" customFormat="false" ht="15" hidden="false" customHeight="true" outlineLevel="0" collapsed="false">
      <c r="B235" s="259" t="s">
        <v>1383</v>
      </c>
    </row>
    <row r="236" customFormat="false" ht="15" hidden="false" customHeight="true" outlineLevel="0" collapsed="false">
      <c r="B236" s="259" t="s">
        <v>1384</v>
      </c>
    </row>
    <row r="237" customFormat="false" ht="15" hidden="false" customHeight="true" outlineLevel="0" collapsed="false">
      <c r="B237" s="155" t="s">
        <v>1385</v>
      </c>
    </row>
    <row r="239" customFormat="false" ht="15" hidden="false" customHeight="true" outlineLevel="0" collapsed="false">
      <c r="B239" s="155" t="s">
        <v>1386</v>
      </c>
    </row>
    <row r="242" customFormat="false" ht="15" hidden="false" customHeight="true" outlineLevel="0" collapsed="false">
      <c r="A242" s="155" t="s">
        <v>1226</v>
      </c>
      <c r="B242" s="155" t="s">
        <v>1387</v>
      </c>
    </row>
    <row r="243" customFormat="false" ht="15" hidden="false" customHeight="true" outlineLevel="0" collapsed="false">
      <c r="A243" s="155" t="s">
        <v>1228</v>
      </c>
      <c r="B243" s="155" t="s">
        <v>1388</v>
      </c>
    </row>
    <row r="245" customFormat="false" ht="15" hidden="false" customHeight="true" outlineLevel="0" collapsed="false">
      <c r="B245" s="259" t="s">
        <v>1389</v>
      </c>
    </row>
    <row r="246" customFormat="false" ht="15" hidden="false" customHeight="true" outlineLevel="0" collapsed="false">
      <c r="B246" s="259" t="s">
        <v>1390</v>
      </c>
    </row>
    <row r="248" customFormat="false" ht="15" hidden="false" customHeight="true" outlineLevel="0" collapsed="false">
      <c r="B248" s="155" t="s">
        <v>1391</v>
      </c>
    </row>
    <row r="249" customFormat="false" ht="15" hidden="false" customHeight="true" outlineLevel="0" collapsed="false">
      <c r="B249" s="259" t="s">
        <v>1392</v>
      </c>
    </row>
    <row r="250" customFormat="false" ht="15" hidden="false" customHeight="true" outlineLevel="0" collapsed="false">
      <c r="B250" s="259" t="s">
        <v>1393</v>
      </c>
    </row>
    <row r="252" customFormat="false" ht="15" hidden="false" customHeight="true" outlineLevel="0" collapsed="false">
      <c r="B252" s="259" t="s">
        <v>1394</v>
      </c>
    </row>
    <row r="253" customFormat="false" ht="15" hidden="false" customHeight="true" outlineLevel="0" collapsed="false">
      <c r="B253" s="259" t="s">
        <v>1395</v>
      </c>
    </row>
    <row r="254" customFormat="false" ht="15" hidden="false" customHeight="true" outlineLevel="0" collapsed="false">
      <c r="B254" s="259" t="s">
        <v>1396</v>
      </c>
    </row>
    <row r="255" customFormat="false" ht="15" hidden="false" customHeight="true" outlineLevel="0" collapsed="false">
      <c r="B255" s="259" t="s">
        <v>1397</v>
      </c>
    </row>
    <row r="258" customFormat="false" ht="15" hidden="false" customHeight="true" outlineLevel="0" collapsed="false">
      <c r="A258" s="155" t="s">
        <v>1226</v>
      </c>
      <c r="B258" s="155" t="s">
        <v>1398</v>
      </c>
    </row>
    <row r="259" customFormat="false" ht="15" hidden="false" customHeight="true" outlineLevel="0" collapsed="false">
      <c r="A259" s="155" t="s">
        <v>1228</v>
      </c>
      <c r="B259" s="155" t="s">
        <v>1399</v>
      </c>
    </row>
    <row r="263" customFormat="false" ht="24" hidden="false" customHeight="true" outlineLevel="0" collapsed="false">
      <c r="B263" s="257" t="s">
        <v>1400</v>
      </c>
    </row>
    <row r="265" customFormat="false" ht="15" hidden="false" customHeight="true" outlineLevel="0" collapsed="false">
      <c r="B265" s="155" t="s">
        <v>1401</v>
      </c>
    </row>
    <row r="266" customFormat="false" ht="15" hidden="false" customHeight="true" outlineLevel="0" collapsed="false">
      <c r="B266" s="155" t="s">
        <v>1402</v>
      </c>
    </row>
    <row r="267" customFormat="false" ht="15" hidden="false" customHeight="true" outlineLevel="0" collapsed="false">
      <c r="B267" s="155" t="s">
        <v>1403</v>
      </c>
    </row>
    <row r="269" customFormat="false" ht="24" hidden="false" customHeight="true" outlineLevel="0" collapsed="false">
      <c r="B269" s="257" t="s">
        <v>1404</v>
      </c>
    </row>
    <row r="271" customFormat="false" ht="15" hidden="false" customHeight="true" outlineLevel="0" collapsed="false">
      <c r="B271" s="259" t="s">
        <v>1405</v>
      </c>
    </row>
    <row r="272" customFormat="false" ht="15" hidden="false" customHeight="true" outlineLevel="0" collapsed="false">
      <c r="B272" s="269" t="s">
        <v>1406</v>
      </c>
    </row>
    <row r="273" customFormat="false" ht="15" hidden="false" customHeight="true" outlineLevel="0" collapsed="false">
      <c r="B273" s="155" t="s">
        <v>1407</v>
      </c>
    </row>
    <row r="275" customFormat="false" ht="15" hidden="false" customHeight="true" outlineLevel="0" collapsed="false">
      <c r="B275" s="259" t="s">
        <v>1408</v>
      </c>
    </row>
    <row r="277" customFormat="false" ht="15" hidden="false" customHeight="true" outlineLevel="0" collapsed="false">
      <c r="B277" s="155" t="s">
        <v>1409</v>
      </c>
    </row>
    <row r="279" customFormat="false" ht="15" hidden="false" customHeight="true" outlineLevel="0" collapsed="false">
      <c r="B279" s="259" t="s">
        <v>1410</v>
      </c>
      <c r="C279" s="259" t="s">
        <v>1411</v>
      </c>
      <c r="D279" s="259" t="s">
        <v>1412</v>
      </c>
    </row>
    <row r="280" customFormat="false" ht="15" hidden="false" customHeight="true" outlineLevel="0" collapsed="false">
      <c r="B280" s="155" t="s">
        <v>1413</v>
      </c>
      <c r="C280" s="155" t="s">
        <v>1414</v>
      </c>
      <c r="D280" s="155" t="s">
        <v>1415</v>
      </c>
    </row>
    <row r="281" customFormat="false" ht="15" hidden="false" customHeight="true" outlineLevel="0" collapsed="false">
      <c r="B281" s="155" t="s">
        <v>1416</v>
      </c>
      <c r="C281" s="155" t="s">
        <v>1417</v>
      </c>
      <c r="D281" s="155" t="s">
        <v>1418</v>
      </c>
    </row>
    <row r="282" customFormat="false" ht="15" hidden="false" customHeight="true" outlineLevel="0" collapsed="false">
      <c r="B282" s="155" t="s">
        <v>1419</v>
      </c>
      <c r="C282" s="155" t="s">
        <v>1420</v>
      </c>
      <c r="D282" s="155" t="s">
        <v>1421</v>
      </c>
    </row>
    <row r="283" customFormat="false" ht="15" hidden="false" customHeight="true" outlineLevel="0" collapsed="false">
      <c r="B283" s="155" t="s">
        <v>1422</v>
      </c>
      <c r="C283" s="155" t="s">
        <v>1423</v>
      </c>
      <c r="D283" s="155" t="s">
        <v>1424</v>
      </c>
    </row>
    <row r="284" customFormat="false" ht="15" hidden="false" customHeight="true" outlineLevel="0" collapsed="false">
      <c r="B284" s="155" t="s">
        <v>1425</v>
      </c>
      <c r="C284" s="155" t="s">
        <v>1426</v>
      </c>
      <c r="D284" s="155" t="s">
        <v>1427</v>
      </c>
    </row>
    <row r="287" customFormat="false" ht="24" hidden="false" customHeight="true" outlineLevel="0" collapsed="false">
      <c r="B287" s="257" t="s">
        <v>1428</v>
      </c>
    </row>
    <row r="289" customFormat="false" ht="15" hidden="false" customHeight="true" outlineLevel="0" collapsed="false">
      <c r="B289" s="155" t="s">
        <v>1429</v>
      </c>
    </row>
    <row r="291" customFormat="false" ht="15" hidden="false" customHeight="true" outlineLevel="0" collapsed="false">
      <c r="B291" s="259" t="s">
        <v>1430</v>
      </c>
    </row>
    <row r="292" customFormat="false" ht="15" hidden="false" customHeight="true" outlineLevel="0" collapsed="false">
      <c r="B292" s="271" t="s">
        <v>1431</v>
      </c>
    </row>
    <row r="293" customFormat="false" ht="15" hidden="false" customHeight="true" outlineLevel="0" collapsed="false">
      <c r="B293" s="155" t="s">
        <v>1432</v>
      </c>
    </row>
    <row r="294" customFormat="false" ht="15" hidden="false" customHeight="true" outlineLevel="0" collapsed="false">
      <c r="B294" s="155" t="s">
        <v>1433</v>
      </c>
    </row>
    <row r="295" customFormat="false" ht="15" hidden="false" customHeight="true" outlineLevel="0" collapsed="false">
      <c r="B295" s="155" t="s">
        <v>1434</v>
      </c>
    </row>
    <row r="296" customFormat="false" ht="15" hidden="false" customHeight="true" outlineLevel="0" collapsed="false">
      <c r="B296" s="269" t="s">
        <v>1435</v>
      </c>
    </row>
    <row r="297" customFormat="false" ht="15" hidden="false" customHeight="true" outlineLevel="0" collapsed="false">
      <c r="B297" s="155" t="s">
        <v>1436</v>
      </c>
    </row>
    <row r="300" customFormat="false" ht="24" hidden="false" customHeight="true" outlineLevel="0" collapsed="false">
      <c r="B300" s="257" t="s">
        <v>1437</v>
      </c>
    </row>
    <row r="302" customFormat="false" ht="15" hidden="false" customHeight="true" outlineLevel="0" collapsed="false">
      <c r="B302" s="155" t="s">
        <v>1438</v>
      </c>
    </row>
    <row r="304" customFormat="false" ht="15" hidden="false" customHeight="true" outlineLevel="0" collapsed="false">
      <c r="B304" s="259" t="s">
        <v>1439</v>
      </c>
    </row>
    <row r="305" customFormat="false" ht="15" hidden="false" customHeight="true" outlineLevel="0" collapsed="false">
      <c r="B305" s="259" t="s">
        <v>1440</v>
      </c>
    </row>
    <row r="306" customFormat="false" ht="15" hidden="false" customHeight="true" outlineLevel="0" collapsed="false">
      <c r="B306" s="259" t="s">
        <v>1441</v>
      </c>
    </row>
    <row r="307" customFormat="false" ht="15" hidden="false" customHeight="true" outlineLevel="0" collapsed="false">
      <c r="B307" s="155" t="s">
        <v>1442</v>
      </c>
    </row>
    <row r="309" customFormat="false" ht="15" hidden="false" customHeight="true" outlineLevel="0" collapsed="false">
      <c r="B309" s="155" t="s">
        <v>1443</v>
      </c>
    </row>
    <row r="313" customFormat="false" ht="15" hidden="false" customHeight="true" outlineLevel="0" collapsed="false">
      <c r="A313" s="155" t="s">
        <v>1226</v>
      </c>
      <c r="B313" s="155" t="s">
        <v>1444</v>
      </c>
    </row>
    <row r="314" customFormat="false" ht="15" hidden="false" customHeight="true" outlineLevel="0" collapsed="false">
      <c r="A314" s="155" t="s">
        <v>1228</v>
      </c>
      <c r="B314" s="155" t="s">
        <v>1445</v>
      </c>
    </row>
    <row r="317" customFormat="false" ht="24" hidden="false" customHeight="true" outlineLevel="0" collapsed="false">
      <c r="B317" s="257" t="s">
        <v>1446</v>
      </c>
    </row>
    <row r="319" customFormat="false" ht="15" hidden="false" customHeight="true" outlineLevel="0" collapsed="false">
      <c r="B319" s="155" t="s">
        <v>1447</v>
      </c>
    </row>
    <row r="320" customFormat="false" ht="15" hidden="false" customHeight="true" outlineLevel="0" collapsed="false">
      <c r="B320" s="155" t="s">
        <v>1448</v>
      </c>
    </row>
    <row r="321" customFormat="false" ht="15" hidden="false" customHeight="true" outlineLevel="0" collapsed="false">
      <c r="B321" s="155" t="s">
        <v>1449</v>
      </c>
    </row>
    <row r="322" customFormat="false" ht="15" hidden="false" customHeight="true" outlineLevel="0" collapsed="false">
      <c r="B322" s="155" t="s">
        <v>1450</v>
      </c>
    </row>
    <row r="323" customFormat="false" ht="15" hidden="false" customHeight="true" outlineLevel="0" collapsed="false">
      <c r="B323" s="155" t="s">
        <v>1451</v>
      </c>
    </row>
    <row r="325" customFormat="false" ht="15" hidden="false" customHeight="true" outlineLevel="0" collapsed="false">
      <c r="B325" s="155" t="s">
        <v>1452</v>
      </c>
    </row>
    <row r="326" customFormat="false" ht="15" hidden="false" customHeight="true" outlineLevel="0" collapsed="false">
      <c r="B326" s="269" t="s">
        <v>1453</v>
      </c>
    </row>
    <row r="329" customFormat="false" ht="15" hidden="false" customHeight="true" outlineLevel="0" collapsed="false">
      <c r="B329" s="155" t="s">
        <v>1454</v>
      </c>
    </row>
    <row r="330" customFormat="false" ht="15" hidden="false" customHeight="true" outlineLevel="0" collapsed="false">
      <c r="B330" s="259" t="s">
        <v>1455</v>
      </c>
    </row>
    <row r="331" customFormat="false" ht="15" hidden="false" customHeight="true" outlineLevel="0" collapsed="false">
      <c r="B331" s="259" t="s">
        <v>1456</v>
      </c>
    </row>
    <row r="332" customFormat="false" ht="15" hidden="false" customHeight="true" outlineLevel="0" collapsed="false">
      <c r="B332" s="259" t="s">
        <v>1457</v>
      </c>
    </row>
    <row r="333" customFormat="false" ht="15" hidden="false" customHeight="true" outlineLevel="0" collapsed="false">
      <c r="B333" s="259" t="s">
        <v>1458</v>
      </c>
    </row>
    <row r="334" customFormat="false" ht="15" hidden="false" customHeight="true" outlineLevel="0" collapsed="false">
      <c r="B334" s="259" t="s">
        <v>1459</v>
      </c>
    </row>
    <row r="336" customFormat="false" ht="15" hidden="false" customHeight="true" outlineLevel="0" collapsed="false">
      <c r="B336" s="155" t="s">
        <v>1460</v>
      </c>
    </row>
    <row r="339" customFormat="false" ht="15" hidden="false" customHeight="true" outlineLevel="0" collapsed="false">
      <c r="A339" s="155" t="s">
        <v>1226</v>
      </c>
      <c r="B339" s="146" t="s">
        <v>1461</v>
      </c>
    </row>
    <row r="340" customFormat="false" ht="15" hidden="false" customHeight="true" outlineLevel="0" collapsed="false">
      <c r="A340" s="155" t="s">
        <v>1228</v>
      </c>
      <c r="B340" s="155" t="s">
        <v>1462</v>
      </c>
    </row>
    <row r="342" customFormat="false" ht="15" hidden="false" customHeight="true" outlineLevel="0" collapsed="false">
      <c r="B342" s="155" t="s">
        <v>1463</v>
      </c>
    </row>
    <row r="345" customFormat="false" ht="18.75" hidden="false" customHeight="true" outlineLevel="0" collapsed="false">
      <c r="B345" s="272" t="s">
        <v>1464</v>
      </c>
    </row>
    <row r="347" customFormat="false" ht="15" hidden="false" customHeight="true" outlineLevel="0" collapsed="false">
      <c r="B347" s="155" t="s">
        <v>1465</v>
      </c>
    </row>
    <row r="348" customFormat="false" ht="15" hidden="false" customHeight="true" outlineLevel="0" collapsed="false">
      <c r="B348" s="155" t="s">
        <v>1466</v>
      </c>
    </row>
    <row r="349" customFormat="false" ht="15" hidden="false" customHeight="true" outlineLevel="0" collapsed="false">
      <c r="B349" s="155" t="s">
        <v>1467</v>
      </c>
    </row>
    <row r="350" customFormat="false" ht="15" hidden="false" customHeight="true" outlineLevel="0" collapsed="false">
      <c r="B350" s="155" t="s">
        <v>1468</v>
      </c>
    </row>
    <row r="351" customFormat="false" ht="15" hidden="false" customHeight="true" outlineLevel="0" collapsed="false">
      <c r="B351" s="155" t="s">
        <v>1469</v>
      </c>
    </row>
    <row r="352" customFormat="false" ht="15" hidden="false" customHeight="true" outlineLevel="0" collapsed="false">
      <c r="B352" s="155" t="s">
        <v>1470</v>
      </c>
    </row>
    <row r="354" customFormat="false" ht="15" hidden="false" customHeight="true" outlineLevel="0" collapsed="false">
      <c r="B354" s="155" t="s">
        <v>1471</v>
      </c>
    </row>
    <row r="356" customFormat="false" ht="15" hidden="false" customHeight="true" outlineLevel="0" collapsed="false">
      <c r="B356" s="259" t="s">
        <v>1472</v>
      </c>
    </row>
    <row r="357" customFormat="false" ht="15" hidden="false" customHeight="true" outlineLevel="0" collapsed="false">
      <c r="B357" s="155" t="s">
        <v>1473</v>
      </c>
    </row>
    <row r="358" customFormat="false" ht="15" hidden="false" customHeight="true" outlineLevel="0" collapsed="false">
      <c r="B358" s="155" t="s">
        <v>1474</v>
      </c>
    </row>
    <row r="359" customFormat="false" ht="15" hidden="false" customHeight="true" outlineLevel="0" collapsed="false">
      <c r="B359" s="155" t="s">
        <v>1473</v>
      </c>
    </row>
    <row r="360" customFormat="false" ht="15" hidden="false" customHeight="true" outlineLevel="0" collapsed="false">
      <c r="B360" s="155" t="s">
        <v>1475</v>
      </c>
    </row>
    <row r="361" customFormat="false" ht="15" hidden="false" customHeight="true" outlineLevel="0" collapsed="false">
      <c r="B361" s="155" t="s">
        <v>1473</v>
      </c>
    </row>
    <row r="362" customFormat="false" ht="15" hidden="false" customHeight="true" outlineLevel="0" collapsed="false">
      <c r="B362" s="155" t="s">
        <v>1476</v>
      </c>
    </row>
    <row r="363" customFormat="false" ht="15" hidden="false" customHeight="true" outlineLevel="0" collapsed="false">
      <c r="B363" s="155" t="s">
        <v>1473</v>
      </c>
    </row>
    <row r="364" customFormat="false" ht="15" hidden="false" customHeight="true" outlineLevel="0" collapsed="false">
      <c r="B364" s="155" t="s">
        <v>1477</v>
      </c>
    </row>
    <row r="365" customFormat="false" ht="15" hidden="false" customHeight="true" outlineLevel="0" collapsed="false">
      <c r="B365" s="155" t="s">
        <v>1473</v>
      </c>
    </row>
    <row r="366" customFormat="false" ht="15" hidden="false" customHeight="true" outlineLevel="0" collapsed="false">
      <c r="B366" s="155" t="s">
        <v>1478</v>
      </c>
    </row>
    <row r="369" customFormat="false" ht="18.75" hidden="false" customHeight="true" outlineLevel="0" collapsed="false">
      <c r="B369" s="272" t="s">
        <v>1479</v>
      </c>
    </row>
    <row r="371" customFormat="false" ht="15" hidden="false" customHeight="true" outlineLevel="0" collapsed="false">
      <c r="B371" s="155" t="s">
        <v>1480</v>
      </c>
    </row>
    <row r="372" customFormat="false" ht="15" hidden="false" customHeight="true" outlineLevel="0" collapsed="false">
      <c r="B372" s="155" t="s">
        <v>1471</v>
      </c>
    </row>
    <row r="373" customFormat="false" ht="15" hidden="false" customHeight="true" outlineLevel="0" collapsed="false">
      <c r="B373" s="155" t="s">
        <v>1481</v>
      </c>
    </row>
    <row r="374" customFormat="false" ht="15" hidden="false" customHeight="true" outlineLevel="0" collapsed="false">
      <c r="B374" s="155" t="s">
        <v>1473</v>
      </c>
    </row>
    <row r="375" customFormat="false" ht="15" hidden="false" customHeight="true" outlineLevel="0" collapsed="false">
      <c r="B375" s="155" t="s">
        <v>1482</v>
      </c>
    </row>
    <row r="376" customFormat="false" ht="15" hidden="false" customHeight="true" outlineLevel="0" collapsed="false">
      <c r="B376" s="155" t="s">
        <v>1483</v>
      </c>
    </row>
    <row r="377" customFormat="false" ht="15" hidden="false" customHeight="true" outlineLevel="0" collapsed="false">
      <c r="B377" s="155" t="s">
        <v>1484</v>
      </c>
    </row>
    <row r="378" customFormat="false" ht="15" hidden="false" customHeight="true" outlineLevel="0" collapsed="false">
      <c r="B378" s="155" t="s">
        <v>1485</v>
      </c>
    </row>
    <row r="379" customFormat="false" ht="15" hidden="false" customHeight="true" outlineLevel="0" collapsed="false">
      <c r="B379" s="155" t="s">
        <v>1486</v>
      </c>
    </row>
    <row r="380" customFormat="false" ht="15" hidden="false" customHeight="true" outlineLevel="0" collapsed="false">
      <c r="B380" s="155" t="s">
        <v>1487</v>
      </c>
    </row>
    <row r="382" customFormat="false" ht="15" hidden="false" customHeight="true" outlineLevel="0" collapsed="false">
      <c r="B382" s="155" t="s">
        <v>1473</v>
      </c>
    </row>
    <row r="383" customFormat="false" ht="15" hidden="false" customHeight="true" outlineLevel="0" collapsed="false">
      <c r="B383" s="155" t="s">
        <v>1488</v>
      </c>
    </row>
    <row r="384" customFormat="false" ht="15" hidden="false" customHeight="true" outlineLevel="0" collapsed="false">
      <c r="B384" s="155" t="s">
        <v>1489</v>
      </c>
    </row>
    <row r="385" customFormat="false" ht="15" hidden="false" customHeight="true" outlineLevel="0" collapsed="false">
      <c r="B385" s="155" t="s">
        <v>1490</v>
      </c>
    </row>
    <row r="386" customFormat="false" ht="15" hidden="false" customHeight="true" outlineLevel="0" collapsed="false">
      <c r="B386" s="155" t="s">
        <v>1491</v>
      </c>
    </row>
    <row r="387" customFormat="false" ht="15" hidden="false" customHeight="true" outlineLevel="0" collapsed="false">
      <c r="B387" s="155" t="s">
        <v>1492</v>
      </c>
    </row>
    <row r="388" customFormat="false" ht="15" hidden="false" customHeight="true" outlineLevel="0" collapsed="false">
      <c r="B388" s="155" t="s">
        <v>1493</v>
      </c>
    </row>
    <row r="390" customFormat="false" ht="15" hidden="false" customHeight="true" outlineLevel="0" collapsed="false">
      <c r="B390" s="155" t="s">
        <v>1494</v>
      </c>
    </row>
    <row r="393" customFormat="false" ht="18.75" hidden="false" customHeight="true" outlineLevel="0" collapsed="false">
      <c r="B393" s="272" t="s">
        <v>1495</v>
      </c>
    </row>
    <row r="395" customFormat="false" ht="15" hidden="false" customHeight="true" outlineLevel="0" collapsed="false">
      <c r="B395" s="155" t="s">
        <v>1496</v>
      </c>
    </row>
    <row r="396" customFormat="false" ht="15" hidden="false" customHeight="true" outlineLevel="0" collapsed="false">
      <c r="B396" s="155" t="s">
        <v>1497</v>
      </c>
    </row>
    <row r="397" customFormat="false" ht="15" hidden="false" customHeight="true" outlineLevel="0" collapsed="false">
      <c r="B397" s="155" t="s">
        <v>1498</v>
      </c>
    </row>
    <row r="398" customFormat="false" ht="15" hidden="false" customHeight="true" outlineLevel="0" collapsed="false">
      <c r="B398" s="155" t="s">
        <v>1499</v>
      </c>
    </row>
    <row r="399" customFormat="false" ht="15" hidden="false" customHeight="true" outlineLevel="0" collapsed="false">
      <c r="B399" s="271" t="s">
        <v>1500</v>
      </c>
    </row>
    <row r="400" customFormat="false" ht="15" hidden="false" customHeight="true" outlineLevel="0" collapsed="false">
      <c r="B400" s="271" t="s">
        <v>1501</v>
      </c>
    </row>
    <row r="401" customFormat="false" ht="15" hidden="false" customHeight="true" outlineLevel="0" collapsed="false">
      <c r="B401" s="271" t="s">
        <v>1502</v>
      </c>
    </row>
    <row r="402" customFormat="false" ht="15" hidden="false" customHeight="true" outlineLevel="0" collapsed="false">
      <c r="B402" s="271" t="s">
        <v>1503</v>
      </c>
    </row>
    <row r="403" customFormat="false" ht="15" hidden="false" customHeight="true" outlineLevel="0" collapsed="false">
      <c r="B403" s="271" t="s">
        <v>1504</v>
      </c>
    </row>
    <row r="404" customFormat="false" ht="15" hidden="false" customHeight="true" outlineLevel="0" collapsed="false">
      <c r="B404" s="271" t="s">
        <v>1505</v>
      </c>
    </row>
    <row r="405" customFormat="false" ht="15" hidden="false" customHeight="true" outlineLevel="0" collapsed="false">
      <c r="B405" s="271" t="s">
        <v>1506</v>
      </c>
    </row>
    <row r="406" customFormat="false" ht="15" hidden="false" customHeight="true" outlineLevel="0" collapsed="false">
      <c r="B406" s="155" t="s">
        <v>1507</v>
      </c>
    </row>
    <row r="409" customFormat="false" ht="15" hidden="false" customHeight="true" outlineLevel="0" collapsed="false">
      <c r="B409" s="272" t="s">
        <v>1508</v>
      </c>
    </row>
    <row r="410" customFormat="false" ht="15" hidden="false" customHeight="true" outlineLevel="0" collapsed="false">
      <c r="B410" s="272"/>
    </row>
    <row r="411" customFormat="false" ht="15" hidden="false" customHeight="true" outlineLevel="0" collapsed="false">
      <c r="B411" s="155" t="s">
        <v>1509</v>
      </c>
    </row>
    <row r="412" customFormat="false" ht="15" hidden="false" customHeight="true" outlineLevel="0" collapsed="false">
      <c r="B412" s="155" t="s">
        <v>1510</v>
      </c>
    </row>
    <row r="413" customFormat="false" ht="15" hidden="false" customHeight="true" outlineLevel="0" collapsed="false">
      <c r="B413" s="155" t="s">
        <v>1511</v>
      </c>
    </row>
    <row r="414" customFormat="false" ht="15" hidden="false" customHeight="true" outlineLevel="0" collapsed="false">
      <c r="B414" s="155" t="s">
        <v>1512</v>
      </c>
    </row>
    <row r="415" customFormat="false" ht="15" hidden="false" customHeight="true" outlineLevel="0" collapsed="false">
      <c r="B415" s="155" t="s">
        <v>1513</v>
      </c>
    </row>
    <row r="416" customFormat="false" ht="15" hidden="false" customHeight="true" outlineLevel="0" collapsed="false">
      <c r="B416" s="155" t="s">
        <v>1514</v>
      </c>
    </row>
    <row r="417" customFormat="false" ht="15" hidden="false" customHeight="true" outlineLevel="0" collapsed="false">
      <c r="B417" s="155" t="s">
        <v>1515</v>
      </c>
    </row>
    <row r="418" customFormat="false" ht="15" hidden="false" customHeight="true" outlineLevel="0" collapsed="false">
      <c r="B418" s="155" t="s">
        <v>1516</v>
      </c>
    </row>
    <row r="419" customFormat="false" ht="15" hidden="false" customHeight="true" outlineLevel="0" collapsed="false">
      <c r="B419" s="155" t="s">
        <v>1517</v>
      </c>
    </row>
    <row r="422" customFormat="false" ht="15" hidden="false" customHeight="true" outlineLevel="0" collapsed="false">
      <c r="B422" s="272" t="s">
        <v>1518</v>
      </c>
    </row>
    <row r="423" customFormat="false" ht="15" hidden="false" customHeight="true" outlineLevel="0" collapsed="false">
      <c r="B423" s="272"/>
    </row>
    <row r="424" customFormat="false" ht="15" hidden="false" customHeight="true" outlineLevel="0" collapsed="false">
      <c r="B424" s="155" t="s">
        <v>1519</v>
      </c>
    </row>
    <row r="425" customFormat="false" ht="15" hidden="false" customHeight="true" outlineLevel="0" collapsed="false">
      <c r="B425" s="259" t="s">
        <v>1520</v>
      </c>
    </row>
    <row r="426" customFormat="false" ht="15" hidden="false" customHeight="true" outlineLevel="0" collapsed="false">
      <c r="B426" s="155" t="s">
        <v>1521</v>
      </c>
    </row>
    <row r="427" customFormat="false" ht="15" hidden="false" customHeight="true" outlineLevel="0" collapsed="false">
      <c r="B427" s="155" t="s">
        <v>1522</v>
      </c>
    </row>
    <row r="428" customFormat="false" ht="15" hidden="false" customHeight="true" outlineLevel="0" collapsed="false">
      <c r="B428" s="155" t="s">
        <v>1523</v>
      </c>
    </row>
    <row r="429" customFormat="false" ht="15" hidden="false" customHeight="true" outlineLevel="0" collapsed="false">
      <c r="B429" s="155" t="s">
        <v>1524</v>
      </c>
    </row>
    <row r="430" customFormat="false" ht="15" hidden="false" customHeight="true" outlineLevel="0" collapsed="false">
      <c r="B430" s="155" t="s">
        <v>1525</v>
      </c>
    </row>
    <row r="431" customFormat="false" ht="15" hidden="false" customHeight="true" outlineLevel="0" collapsed="false">
      <c r="B431" s="259" t="s">
        <v>1526</v>
      </c>
    </row>
    <row r="432" customFormat="false" ht="15" hidden="false" customHeight="true" outlineLevel="0" collapsed="false">
      <c r="B432" s="155" t="s">
        <v>1527</v>
      </c>
    </row>
    <row r="433" customFormat="false" ht="15" hidden="false" customHeight="true" outlineLevel="0" collapsed="false">
      <c r="B433" s="155" t="s">
        <v>1528</v>
      </c>
    </row>
    <row r="434" customFormat="false" ht="15" hidden="false" customHeight="true" outlineLevel="0" collapsed="false">
      <c r="B434" s="155" t="s">
        <v>1529</v>
      </c>
    </row>
    <row r="435" customFormat="false" ht="15" hidden="false" customHeight="true" outlineLevel="0" collapsed="false">
      <c r="B435" s="155" t="s">
        <v>1530</v>
      </c>
    </row>
    <row r="436" customFormat="false" ht="15" hidden="false" customHeight="true" outlineLevel="0" collapsed="false">
      <c r="B436" s="155" t="s">
        <v>1531</v>
      </c>
    </row>
    <row r="439" customFormat="false" ht="18.75" hidden="false" customHeight="true" outlineLevel="0" collapsed="false">
      <c r="B439" s="272" t="s">
        <v>1532</v>
      </c>
    </row>
    <row r="441" customFormat="false" ht="15" hidden="false" customHeight="true" outlineLevel="0" collapsed="false">
      <c r="B441" s="155" t="s">
        <v>1533</v>
      </c>
    </row>
    <row r="442" customFormat="false" ht="15" hidden="false" customHeight="true" outlineLevel="0" collapsed="false">
      <c r="B442" s="155" t="s">
        <v>1534</v>
      </c>
    </row>
    <row r="443" customFormat="false" ht="15" hidden="false" customHeight="true" outlineLevel="0" collapsed="false">
      <c r="B443" s="155" t="s">
        <v>1535</v>
      </c>
    </row>
    <row r="444" customFormat="false" ht="15" hidden="false" customHeight="true" outlineLevel="0" collapsed="false">
      <c r="B444" s="155" t="s">
        <v>1536</v>
      </c>
    </row>
    <row r="445" customFormat="false" ht="15" hidden="false" customHeight="true" outlineLevel="0" collapsed="false">
      <c r="B445" s="155" t="s">
        <v>1537</v>
      </c>
    </row>
    <row r="446" customFormat="false" ht="15" hidden="false" customHeight="true" outlineLevel="0" collapsed="false">
      <c r="B446" s="155" t="s">
        <v>1538</v>
      </c>
    </row>
    <row r="447" customFormat="false" ht="15" hidden="false" customHeight="true" outlineLevel="0" collapsed="false">
      <c r="B447" s="155" t="s">
        <v>1539</v>
      </c>
    </row>
    <row r="448" customFormat="false" ht="15" hidden="false" customHeight="true" outlineLevel="0" collapsed="false">
      <c r="B448" s="155" t="s">
        <v>1540</v>
      </c>
    </row>
    <row r="449" customFormat="false" ht="15" hidden="false" customHeight="true" outlineLevel="0" collapsed="false">
      <c r="B449" s="155" t="s">
        <v>1541</v>
      </c>
    </row>
    <row r="452" customFormat="false" ht="18.75" hidden="false" customHeight="true" outlineLevel="0" collapsed="false">
      <c r="B452" s="272" t="s">
        <v>1542</v>
      </c>
    </row>
    <row r="454" customFormat="false" ht="15" hidden="false" customHeight="true" outlineLevel="0" collapsed="false">
      <c r="B454" s="155" t="s">
        <v>1543</v>
      </c>
    </row>
    <row r="456" customFormat="false" ht="15" hidden="false" customHeight="true" outlineLevel="0" collapsed="false">
      <c r="B456" s="271" t="s">
        <v>1544</v>
      </c>
    </row>
    <row r="457" customFormat="false" ht="15" hidden="false" customHeight="true" outlineLevel="0" collapsed="false">
      <c r="B457" s="271" t="s">
        <v>1545</v>
      </c>
    </row>
    <row r="458" customFormat="false" ht="15" hidden="false" customHeight="true" outlineLevel="0" collapsed="false">
      <c r="B458" s="271" t="s">
        <v>1546</v>
      </c>
    </row>
    <row r="459" customFormat="false" ht="15" hidden="false" customHeight="true" outlineLevel="0" collapsed="false">
      <c r="B459" s="271" t="s">
        <v>1547</v>
      </c>
    </row>
    <row r="460" customFormat="false" ht="15" hidden="false" customHeight="true" outlineLevel="0" collapsed="false">
      <c r="B460" s="271" t="s">
        <v>1548</v>
      </c>
    </row>
    <row r="461" customFormat="false" ht="15" hidden="false" customHeight="true" outlineLevel="0" collapsed="false">
      <c r="B461" s="271" t="s">
        <v>1545</v>
      </c>
    </row>
    <row r="462" customFormat="false" ht="15" hidden="false" customHeight="true" outlineLevel="0" collapsed="false">
      <c r="B462" s="271" t="s">
        <v>1546</v>
      </c>
    </row>
    <row r="463" customFormat="false" ht="15" hidden="false" customHeight="true" outlineLevel="0" collapsed="false">
      <c r="B463" s="271" t="s">
        <v>1549</v>
      </c>
    </row>
    <row r="464" customFormat="false" ht="15" hidden="false" customHeight="true" outlineLevel="0" collapsed="false">
      <c r="B464" s="271" t="s">
        <v>1545</v>
      </c>
    </row>
    <row r="465" customFormat="false" ht="15" hidden="false" customHeight="true" outlineLevel="0" collapsed="false">
      <c r="B465" s="271" t="s">
        <v>1550</v>
      </c>
    </row>
    <row r="466" customFormat="false" ht="15" hidden="false" customHeight="true" outlineLevel="0" collapsed="false">
      <c r="B466" s="271" t="s">
        <v>1551</v>
      </c>
    </row>
    <row r="467" customFormat="false" ht="15" hidden="false" customHeight="true" outlineLevel="0" collapsed="false">
      <c r="B467" s="271" t="s">
        <v>1552</v>
      </c>
    </row>
    <row r="468" customFormat="false" ht="15" hidden="false" customHeight="true" outlineLevel="0" collapsed="false">
      <c r="B468" s="271" t="s">
        <v>1553</v>
      </c>
    </row>
    <row r="469" customFormat="false" ht="15" hidden="false" customHeight="true" outlineLevel="0" collapsed="false">
      <c r="B469" s="271" t="s">
        <v>1554</v>
      </c>
    </row>
    <row r="470" customFormat="false" ht="15.75" hidden="false" customHeight="true" outlineLevel="0" collapsed="false">
      <c r="B470" s="271" t="s">
        <v>1555</v>
      </c>
    </row>
    <row r="472" customFormat="false" ht="15" hidden="false" customHeight="true" outlineLevel="0" collapsed="false">
      <c r="B472" s="155" t="s">
        <v>1556</v>
      </c>
    </row>
    <row r="475" customFormat="false" ht="18.75" hidden="false" customHeight="true" outlineLevel="0" collapsed="false">
      <c r="B475" s="272" t="s">
        <v>1557</v>
      </c>
    </row>
    <row r="477" customFormat="false" ht="15" hidden="false" customHeight="true" outlineLevel="0" collapsed="false">
      <c r="B477" s="155" t="s">
        <v>1558</v>
      </c>
    </row>
    <row r="478" customFormat="false" ht="15" hidden="false" customHeight="true" outlineLevel="0" collapsed="false">
      <c r="B478" s="155" t="s">
        <v>1559</v>
      </c>
    </row>
    <row r="479" customFormat="false" ht="15" hidden="false" customHeight="true" outlineLevel="0" collapsed="false">
      <c r="B479" s="259" t="s">
        <v>1560</v>
      </c>
    </row>
    <row r="480" customFormat="false" ht="15" hidden="false" customHeight="true" outlineLevel="0" collapsed="false">
      <c r="B480" s="259" t="s">
        <v>1561</v>
      </c>
    </row>
    <row r="481" customFormat="false" ht="15" hidden="false" customHeight="true" outlineLevel="0" collapsed="false">
      <c r="B481" s="259" t="s">
        <v>1562</v>
      </c>
    </row>
    <row r="482" customFormat="false" ht="15" hidden="false" customHeight="true" outlineLevel="0" collapsed="false">
      <c r="B482" s="259" t="s">
        <v>1563</v>
      </c>
    </row>
    <row r="483" customFormat="false" ht="15" hidden="false" customHeight="true" outlineLevel="0" collapsed="false">
      <c r="B483" s="259" t="s">
        <v>1564</v>
      </c>
    </row>
    <row r="485" customFormat="false" ht="15" hidden="false" customHeight="true" outlineLevel="0" collapsed="false">
      <c r="B485" s="155" t="s">
        <v>1565</v>
      </c>
    </row>
    <row r="486" customFormat="false" ht="21" hidden="false" customHeight="true" outlineLevel="0" collapsed="false"/>
    <row r="487" customFormat="false" ht="21" hidden="false" customHeight="true" outlineLevel="0" collapsed="false">
      <c r="A487" s="1" t="s">
        <v>1226</v>
      </c>
      <c r="B487" s="146" t="s">
        <v>1566</v>
      </c>
    </row>
    <row r="488" customFormat="false" ht="15" hidden="false" customHeight="true" outlineLevel="0" collapsed="false">
      <c r="A488" s="1" t="s">
        <v>1228</v>
      </c>
      <c r="B488" s="1" t="s">
        <v>1567</v>
      </c>
    </row>
    <row r="489" customFormat="false" ht="21" hidden="false" customHeight="true" outlineLevel="0" collapsed="false"/>
    <row r="490" customFormat="false" ht="16.5" hidden="false" customHeight="true" outlineLevel="0" collapsed="false">
      <c r="B490" s="258" t="s">
        <v>1568</v>
      </c>
    </row>
    <row r="491" customFormat="false" ht="21" hidden="false" customHeight="true" outlineLevel="0" collapsed="false"/>
    <row r="492" customFormat="false" ht="21" hidden="false" customHeight="true" outlineLevel="0" collapsed="false">
      <c r="B492" s="1" t="s">
        <v>1569</v>
      </c>
    </row>
    <row r="493" customFormat="false" ht="15" hidden="false" customHeight="true" outlineLevel="0" collapsed="false">
      <c r="B493" s="1" t="s">
        <v>1570</v>
      </c>
    </row>
    <row r="494" customFormat="false" ht="21" hidden="false" customHeight="true" outlineLevel="0" collapsed="false"/>
    <row r="495" customFormat="false" ht="15" hidden="false" customHeight="true" outlineLevel="0" collapsed="false">
      <c r="B495" s="259" t="s">
        <v>1571</v>
      </c>
    </row>
    <row r="496" customFormat="false" ht="21" hidden="false" customHeight="true" outlineLevel="0" collapsed="false"/>
    <row r="497" customFormat="false" ht="21" hidden="false" customHeight="true" outlineLevel="0" collapsed="false">
      <c r="B497" s="1" t="s">
        <v>1572</v>
      </c>
    </row>
    <row r="498" customFormat="false" ht="21" hidden="false" customHeight="true" outlineLevel="0" collapsed="false">
      <c r="B498" s="271" t="s">
        <v>1573</v>
      </c>
    </row>
    <row r="499" customFormat="false" ht="15" hidden="false" customHeight="true" outlineLevel="0" collapsed="false">
      <c r="B499" s="1" t="s">
        <v>1574</v>
      </c>
    </row>
    <row r="500" customFormat="false" ht="21" hidden="false" customHeight="true" outlineLevel="0" collapsed="false"/>
    <row r="501" customFormat="false" ht="15" hidden="false" customHeight="true" outlineLevel="0" collapsed="false">
      <c r="B501" s="1" t="s">
        <v>1575</v>
      </c>
    </row>
    <row r="502" customFormat="false" ht="21" hidden="false" customHeight="true" outlineLevel="0" collapsed="false"/>
    <row r="503" customFormat="false" ht="21" hidden="false" customHeight="true" outlineLevel="0" collapsed="false">
      <c r="B503" s="259" t="s">
        <v>1576</v>
      </c>
      <c r="C503" s="259" t="s">
        <v>1577</v>
      </c>
    </row>
    <row r="504" customFormat="false" ht="21" hidden="false" customHeight="true" outlineLevel="0" collapsed="false">
      <c r="B504" s="1" t="s">
        <v>1578</v>
      </c>
      <c r="C504" s="1" t="s">
        <v>505</v>
      </c>
    </row>
    <row r="505" customFormat="false" ht="21" hidden="false" customHeight="true" outlineLevel="0" collapsed="false">
      <c r="B505" s="1" t="s">
        <v>1579</v>
      </c>
      <c r="C505" s="1" t="s">
        <v>1580</v>
      </c>
    </row>
    <row r="506" customFormat="false" ht="21" hidden="false" customHeight="true" outlineLevel="0" collapsed="false">
      <c r="B506" s="1" t="s">
        <v>1581</v>
      </c>
      <c r="C506" s="1" t="s">
        <v>512</v>
      </c>
    </row>
    <row r="507" customFormat="false" ht="21" hidden="false" customHeight="true" outlineLevel="0" collapsed="false">
      <c r="B507" s="1" t="s">
        <v>1582</v>
      </c>
      <c r="C507" s="1" t="s">
        <v>512</v>
      </c>
    </row>
    <row r="508" customFormat="false" ht="21" hidden="false" customHeight="true" outlineLevel="0" collapsed="false">
      <c r="B508" s="1" t="s">
        <v>1583</v>
      </c>
      <c r="C508" s="1" t="s">
        <v>519</v>
      </c>
    </row>
    <row r="509" customFormat="false" ht="15" hidden="false" customHeight="true" outlineLevel="0" collapsed="false">
      <c r="B509" s="1" t="s">
        <v>1584</v>
      </c>
      <c r="C509" s="1" t="s">
        <v>266</v>
      </c>
    </row>
    <row r="510" customFormat="false" ht="21" hidden="false" customHeight="true" outlineLevel="0" collapsed="false"/>
    <row r="511" customFormat="false" ht="15" hidden="false" customHeight="true" outlineLevel="0" collapsed="false">
      <c r="B511" s="1" t="s">
        <v>1585</v>
      </c>
    </row>
    <row r="513" customFormat="false" ht="21" hidden="false" customHeight="true" outlineLevel="0" collapsed="false"/>
    <row r="514" customFormat="false" ht="16.5" hidden="false" customHeight="true" outlineLevel="0" collapsed="false">
      <c r="B514" s="258" t="s">
        <v>1586</v>
      </c>
    </row>
    <row r="515" customFormat="false" ht="21" hidden="false" customHeight="true" outlineLevel="0" collapsed="false"/>
    <row r="516" customFormat="false" ht="15" hidden="false" customHeight="true" outlineLevel="0" collapsed="false">
      <c r="B516" s="1" t="s">
        <v>1587</v>
      </c>
    </row>
    <row r="517" s="273" customFormat="true" ht="21" hidden="false" customHeight="true" outlineLevel="0" collapsed="false"/>
    <row r="518" customFormat="false" ht="16.5" hidden="false" customHeight="true" outlineLevel="0" collapsed="false">
      <c r="B518" s="274" t="s">
        <v>524</v>
      </c>
    </row>
    <row r="519" customFormat="false" ht="21" hidden="false" customHeight="true" outlineLevel="0" collapsed="false"/>
    <row r="520" customFormat="false" ht="21" hidden="false" customHeight="true" outlineLevel="0" collapsed="false">
      <c r="B520" s="1" t="s">
        <v>1588</v>
      </c>
    </row>
    <row r="521" customFormat="false" ht="21" hidden="false" customHeight="true" outlineLevel="0" collapsed="false">
      <c r="B521" s="1" t="s">
        <v>1589</v>
      </c>
    </row>
    <row r="522" customFormat="false" ht="21" hidden="false" customHeight="true" outlineLevel="0" collapsed="false">
      <c r="B522" s="1" t="s">
        <v>1590</v>
      </c>
    </row>
    <row r="523" customFormat="false" ht="21" hidden="false" customHeight="true" outlineLevel="0" collapsed="false">
      <c r="B523" s="1" t="s">
        <v>1591</v>
      </c>
    </row>
    <row r="524" customFormat="false" ht="21" hidden="false" customHeight="true" outlineLevel="0" collapsed="false">
      <c r="B524" s="1" t="s">
        <v>1592</v>
      </c>
    </row>
    <row r="525" customFormat="false" ht="21" hidden="false" customHeight="true" outlineLevel="0" collapsed="false">
      <c r="B525" s="1" t="s">
        <v>1593</v>
      </c>
    </row>
    <row r="526" customFormat="false" ht="21" hidden="false" customHeight="true" outlineLevel="0" collapsed="false">
      <c r="B526" s="1" t="s">
        <v>1594</v>
      </c>
    </row>
    <row r="527" customFormat="false" ht="21" hidden="false" customHeight="true" outlineLevel="0" collapsed="false">
      <c r="B527" s="1" t="s">
        <v>1595</v>
      </c>
    </row>
    <row r="528" customFormat="false" ht="21" hidden="false" customHeight="true" outlineLevel="0" collapsed="false">
      <c r="B528" s="1" t="s">
        <v>1596</v>
      </c>
    </row>
    <row r="529" customFormat="false" ht="15" hidden="false" customHeight="true" outlineLevel="0" collapsed="false">
      <c r="B529" s="1" t="s">
        <v>1597</v>
      </c>
    </row>
    <row r="530" customFormat="false" ht="21" hidden="false" customHeight="true" outlineLevel="0" collapsed="false"/>
    <row r="531" customFormat="false" ht="21" hidden="false" customHeight="true" outlineLevel="0" collapsed="false">
      <c r="B531" s="1" t="s">
        <v>1598</v>
      </c>
    </row>
    <row r="532" customFormat="false" ht="15" hidden="false" customHeight="true" outlineLevel="0" collapsed="false">
      <c r="B532" s="1" t="s">
        <v>1599</v>
      </c>
    </row>
    <row r="533" customFormat="false" ht="21" hidden="false" customHeight="true" outlineLevel="0" collapsed="false"/>
    <row r="534" customFormat="false" ht="15" hidden="false" customHeight="true" outlineLevel="0" collapsed="false">
      <c r="B534" s="1" t="s">
        <v>1600</v>
      </c>
    </row>
    <row r="535" s="273" customFormat="true" ht="21" hidden="false" customHeight="true" outlineLevel="0" collapsed="false"/>
    <row r="536" customFormat="false" ht="21" hidden="false" customHeight="true" outlineLevel="0" collapsed="false">
      <c r="B536" s="258" t="s">
        <v>238</v>
      </c>
      <c r="C536" s="258" t="s">
        <v>239</v>
      </c>
    </row>
    <row r="537" customFormat="false" ht="21" hidden="false" customHeight="true" outlineLevel="0" collapsed="false">
      <c r="B537" s="275" t="s">
        <v>244</v>
      </c>
      <c r="C537" s="275" t="s">
        <v>245</v>
      </c>
      <c r="F537" s="273"/>
      <c r="G537" s="273"/>
    </row>
    <row r="538" customFormat="false" ht="21" hidden="false" customHeight="true" outlineLevel="0" collapsed="false">
      <c r="B538" s="276" t="s">
        <v>252</v>
      </c>
      <c r="C538" s="276" t="s">
        <v>253</v>
      </c>
      <c r="F538" s="273"/>
      <c r="G538" s="273"/>
    </row>
    <row r="539" customFormat="false" ht="21" hidden="false" customHeight="true" outlineLevel="0" collapsed="false">
      <c r="B539" s="277" t="s">
        <v>259</v>
      </c>
      <c r="C539" s="277" t="s">
        <v>260</v>
      </c>
      <c r="F539" s="273"/>
      <c r="G539" s="273"/>
    </row>
    <row r="540" customFormat="false" ht="21" hidden="false" customHeight="true" outlineLevel="0" collapsed="false">
      <c r="B540" s="278" t="s">
        <v>263</v>
      </c>
      <c r="C540" s="278" t="s">
        <v>264</v>
      </c>
      <c r="F540" s="273"/>
      <c r="G540" s="273"/>
    </row>
    <row r="541" customFormat="false" ht="16.5" hidden="false" customHeight="true" outlineLevel="0" collapsed="false">
      <c r="B541" s="279" t="s">
        <v>272</v>
      </c>
      <c r="C541" s="279" t="s">
        <v>273</v>
      </c>
      <c r="F541" s="273"/>
      <c r="G541" s="273"/>
    </row>
    <row r="542" customFormat="false" ht="21" hidden="false" customHeight="true" outlineLevel="0" collapsed="false">
      <c r="F542" s="273"/>
      <c r="G542" s="273"/>
    </row>
    <row r="543" customFormat="false" ht="15" hidden="false" customHeight="true" outlineLevel="0" collapsed="false">
      <c r="B543" s="1" t="s">
        <v>1601</v>
      </c>
    </row>
    <row r="545" customFormat="false" ht="21" hidden="false" customHeight="true" outlineLevel="0" collapsed="false"/>
    <row r="546" customFormat="false" ht="16.5" hidden="false" customHeight="true" outlineLevel="0" collapsed="false">
      <c r="B546" s="258" t="s">
        <v>1602</v>
      </c>
    </row>
    <row r="547" customFormat="false" ht="21" hidden="false" customHeight="true" outlineLevel="0" collapsed="false"/>
    <row r="548" customFormat="false" ht="21" hidden="false" customHeight="true" outlineLevel="0" collapsed="false">
      <c r="B548" s="1" t="s">
        <v>1603</v>
      </c>
    </row>
    <row r="549" customFormat="false" ht="21" hidden="false" customHeight="true" outlineLevel="0" collapsed="false">
      <c r="B549" s="1" t="s">
        <v>1604</v>
      </c>
    </row>
    <row r="550" customFormat="false" ht="21" hidden="false" customHeight="true" outlineLevel="0" collapsed="false">
      <c r="B550" s="1" t="s">
        <v>1605</v>
      </c>
    </row>
    <row r="551" customFormat="false" ht="21" hidden="false" customHeight="true" outlineLevel="0" collapsed="false">
      <c r="B551" s="1" t="s">
        <v>1606</v>
      </c>
    </row>
    <row r="552" customFormat="false" ht="21" hidden="false" customHeight="true" outlineLevel="0" collapsed="false">
      <c r="B552" s="1" t="s">
        <v>1607</v>
      </c>
    </row>
    <row r="553" customFormat="false" ht="21" hidden="false" customHeight="true" outlineLevel="0" collapsed="false">
      <c r="B553" s="1" t="s">
        <v>1608</v>
      </c>
    </row>
    <row r="554" customFormat="false" ht="21" hidden="false" customHeight="true" outlineLevel="0" collapsed="false">
      <c r="B554" s="1" t="s">
        <v>1609</v>
      </c>
    </row>
    <row r="555" customFormat="false" ht="15" hidden="false" customHeight="true" outlineLevel="0" collapsed="false">
      <c r="B555" s="1" t="s">
        <v>1610</v>
      </c>
    </row>
    <row r="556" customFormat="false" ht="21" hidden="false" customHeight="true" outlineLevel="0" collapsed="false"/>
    <row r="557" customFormat="false" ht="21" hidden="false" customHeight="true" outlineLevel="0" collapsed="false">
      <c r="B557" s="1" t="s">
        <v>1611</v>
      </c>
    </row>
    <row r="558" customFormat="false" ht="21" hidden="false" customHeight="true" outlineLevel="0" collapsed="false">
      <c r="B558" s="271" t="s">
        <v>1612</v>
      </c>
    </row>
    <row r="559" customFormat="false" ht="21" hidden="false" customHeight="true" outlineLevel="0" collapsed="false">
      <c r="B559" s="271" t="s">
        <v>1613</v>
      </c>
    </row>
    <row r="560" customFormat="false" ht="21" hidden="false" customHeight="true" outlineLevel="0" collapsed="false">
      <c r="B560" s="271" t="s">
        <v>1614</v>
      </c>
    </row>
    <row r="561" customFormat="false" ht="15.75" hidden="false" customHeight="true" outlineLevel="0" collapsed="false">
      <c r="B561" s="271" t="s">
        <v>1615</v>
      </c>
    </row>
    <row r="562" customFormat="false" ht="21" hidden="false" customHeight="true" outlineLevel="0" collapsed="false"/>
    <row r="563" customFormat="false" ht="15" hidden="false" customHeight="true" outlineLevel="0" collapsed="false">
      <c r="B563" s="1" t="s">
        <v>1616</v>
      </c>
    </row>
    <row r="564" customFormat="false" ht="21" hidden="false" customHeight="true" outlineLevel="0" collapsed="false"/>
    <row r="565" customFormat="false" ht="21" hidden="false" customHeight="true" outlineLevel="0" collapsed="false">
      <c r="B565" s="259" t="s">
        <v>1617</v>
      </c>
      <c r="C565" s="259" t="s">
        <v>657</v>
      </c>
    </row>
    <row r="566" customFormat="false" ht="21" hidden="false" customHeight="true" outlineLevel="0" collapsed="false">
      <c r="B566" s="1" t="s">
        <v>1618</v>
      </c>
      <c r="C566" s="1" t="s">
        <v>1619</v>
      </c>
    </row>
    <row r="567" customFormat="false" ht="21" hidden="false" customHeight="true" outlineLevel="0" collapsed="false">
      <c r="B567" s="1" t="s">
        <v>1620</v>
      </c>
      <c r="C567" s="1" t="s">
        <v>1621</v>
      </c>
    </row>
    <row r="568" customFormat="false" ht="21" hidden="false" customHeight="true" outlineLevel="0" collapsed="false">
      <c r="B568" s="1" t="s">
        <v>1622</v>
      </c>
      <c r="C568" s="1" t="s">
        <v>1623</v>
      </c>
    </row>
    <row r="569" customFormat="false" ht="15" hidden="false" customHeight="true" outlineLevel="0" collapsed="false">
      <c r="B569" s="1" t="s">
        <v>1624</v>
      </c>
      <c r="C569" s="1" t="s">
        <v>1625</v>
      </c>
    </row>
    <row r="570" customFormat="false" ht="21" hidden="false" customHeight="true" outlineLevel="0" collapsed="false"/>
    <row r="571" customFormat="false" ht="21" hidden="false" customHeight="true" outlineLevel="0" collapsed="false">
      <c r="B571" s="1" t="s">
        <v>1626</v>
      </c>
    </row>
    <row r="572" customFormat="false" ht="15.75" hidden="false" customHeight="true" outlineLevel="0" collapsed="false">
      <c r="B572" s="271" t="s">
        <v>1627</v>
      </c>
    </row>
    <row r="573" customFormat="false" ht="21" hidden="false" customHeight="true" outlineLevel="0" collapsed="false"/>
    <row r="574" customFormat="false" ht="21" hidden="false" customHeight="true" outlineLevel="0" collapsed="false">
      <c r="B574" s="1" t="s">
        <v>1628</v>
      </c>
    </row>
    <row r="575" customFormat="false" ht="15" hidden="false" customHeight="true" outlineLevel="0" collapsed="false">
      <c r="B575" s="1" t="s">
        <v>1629</v>
      </c>
    </row>
    <row r="576" customFormat="false" ht="21" hidden="false" customHeight="true" outlineLevel="0" collapsed="false"/>
    <row r="577" customFormat="false" ht="15" hidden="false" customHeight="true" outlineLevel="0" collapsed="false">
      <c r="B577" s="1" t="s">
        <v>1630</v>
      </c>
    </row>
    <row r="578" customFormat="false" ht="21" hidden="false" customHeight="true" outlineLevel="0" collapsed="false"/>
    <row r="579" customFormat="false" ht="21" hidden="false" customHeight="true" outlineLevel="0" collapsed="false">
      <c r="B579" s="271" t="s">
        <v>1631</v>
      </c>
    </row>
    <row r="580" customFormat="false" ht="21" hidden="false" customHeight="true" outlineLevel="0" collapsed="false">
      <c r="B580" s="271" t="s">
        <v>1632</v>
      </c>
    </row>
    <row r="581" customFormat="false" ht="21" hidden="false" customHeight="true" outlineLevel="0" collapsed="false">
      <c r="B581" s="271" t="s">
        <v>1633</v>
      </c>
    </row>
    <row r="582" customFormat="false" ht="15.75" hidden="false" customHeight="true" outlineLevel="0" collapsed="false">
      <c r="B582" s="271" t="s">
        <v>1634</v>
      </c>
    </row>
    <row r="583" customFormat="false" ht="21" hidden="false" customHeight="true" outlineLevel="0" collapsed="false"/>
    <row r="584" customFormat="false" ht="15" hidden="false" customHeight="true" outlineLevel="0" collapsed="false">
      <c r="B584" s="1" t="s">
        <v>1635</v>
      </c>
    </row>
    <row r="585" customFormat="false" ht="21" hidden="false" customHeight="true" outlineLevel="0" collapsed="false"/>
    <row r="586" customFormat="false" ht="21" hidden="false" customHeight="true" outlineLevel="0" collapsed="false">
      <c r="B586" s="271" t="s">
        <v>1636</v>
      </c>
    </row>
    <row r="587" customFormat="false" ht="21" hidden="false" customHeight="true" outlineLevel="0" collapsed="false">
      <c r="B587" s="271" t="s">
        <v>1637</v>
      </c>
    </row>
    <row r="588" customFormat="false" ht="15.75" hidden="false" customHeight="true" outlineLevel="0" collapsed="false">
      <c r="B588" s="271" t="s">
        <v>1638</v>
      </c>
    </row>
    <row r="590" customFormat="false" ht="15" hidden="false" customHeight="true" outlineLevel="0" collapsed="false">
      <c r="A590" s="155" t="s">
        <v>1226</v>
      </c>
      <c r="B590" s="146" t="s">
        <v>1639</v>
      </c>
    </row>
    <row r="591" customFormat="false" ht="15" hidden="false" customHeight="true" outlineLevel="0" collapsed="false">
      <c r="A591" s="155" t="s">
        <v>1228</v>
      </c>
      <c r="B591" s="155" t="s">
        <v>1640</v>
      </c>
    </row>
    <row r="593" customFormat="false" ht="24" hidden="false" customHeight="true" outlineLevel="0" collapsed="false">
      <c r="B593" s="257" t="s">
        <v>1641</v>
      </c>
    </row>
    <row r="595" customFormat="false" ht="15" hidden="false" customHeight="true" outlineLevel="0" collapsed="false">
      <c r="B595" s="155" t="s">
        <v>1642</v>
      </c>
    </row>
    <row r="597" customFormat="false" ht="15" hidden="false" customHeight="true" outlineLevel="0" collapsed="false">
      <c r="B597" s="259" t="s">
        <v>1643</v>
      </c>
    </row>
    <row r="598" customFormat="false" ht="15" hidden="false" customHeight="true" outlineLevel="0" collapsed="false">
      <c r="B598" s="259" t="s">
        <v>1644</v>
      </c>
    </row>
    <row r="599" customFormat="false" ht="15" hidden="false" customHeight="true" outlineLevel="0" collapsed="false">
      <c r="B599" s="259" t="s">
        <v>1645</v>
      </c>
    </row>
    <row r="600" customFormat="false" ht="15" hidden="false" customHeight="true" outlineLevel="0" collapsed="false">
      <c r="B600" s="259" t="s">
        <v>1646</v>
      </c>
    </row>
    <row r="602" customFormat="false" ht="15" hidden="false" customHeight="true" outlineLevel="0" collapsed="false">
      <c r="B602" s="155" t="s">
        <v>1647</v>
      </c>
    </row>
    <row r="604" customFormat="false" ht="15" hidden="false" customHeight="true" outlineLevel="0" collapsed="false">
      <c r="B604" s="155" t="s">
        <v>1648</v>
      </c>
    </row>
    <row r="606" customFormat="false" ht="15" hidden="false" customHeight="true" outlineLevel="0" collapsed="false">
      <c r="B606" s="155" t="s">
        <v>1649</v>
      </c>
    </row>
    <row r="608" customFormat="false" ht="15" hidden="false" customHeight="true" outlineLevel="0" collapsed="false">
      <c r="B608" s="259" t="s">
        <v>1650</v>
      </c>
    </row>
    <row r="609" customFormat="false" ht="15" hidden="false" customHeight="true" outlineLevel="0" collapsed="false">
      <c r="B609" s="259" t="s">
        <v>1651</v>
      </c>
    </row>
    <row r="611" customFormat="false" ht="24" hidden="false" customHeight="true" outlineLevel="0" collapsed="false">
      <c r="B611" s="257" t="s">
        <v>1652</v>
      </c>
    </row>
    <row r="613" customFormat="false" ht="15" hidden="false" customHeight="true" outlineLevel="0" collapsed="false">
      <c r="B613" s="155" t="s">
        <v>1653</v>
      </c>
    </row>
    <row r="615" customFormat="false" ht="15" hidden="false" customHeight="true" outlineLevel="0" collapsed="false">
      <c r="B615" s="155" t="s">
        <v>1654</v>
      </c>
    </row>
    <row r="617" customFormat="false" ht="15" hidden="false" customHeight="true" outlineLevel="0" collapsed="false">
      <c r="B617" s="155" t="s">
        <v>1655</v>
      </c>
    </row>
    <row r="619" customFormat="false" ht="15" hidden="false" customHeight="true" outlineLevel="0" collapsed="false">
      <c r="B619" s="259" t="s">
        <v>1656</v>
      </c>
    </row>
    <row r="620" customFormat="false" ht="15" hidden="false" customHeight="true" outlineLevel="0" collapsed="false">
      <c r="B620" s="259" t="s">
        <v>1657</v>
      </c>
    </row>
    <row r="621" customFormat="false" ht="15" hidden="false" customHeight="true" outlineLevel="0" collapsed="false">
      <c r="B621" s="259" t="s">
        <v>1658</v>
      </c>
    </row>
    <row r="623" customFormat="false" ht="15" hidden="false" customHeight="true" outlineLevel="0" collapsed="false">
      <c r="B623" s="155" t="s">
        <v>1659</v>
      </c>
    </row>
    <row r="625" customFormat="false" ht="24" hidden="false" customHeight="true" outlineLevel="0" collapsed="false">
      <c r="B625" s="257" t="s">
        <v>1660</v>
      </c>
    </row>
    <row r="627" customFormat="false" ht="15" hidden="false" customHeight="true" outlineLevel="0" collapsed="false">
      <c r="B627" s="155" t="s">
        <v>1661</v>
      </c>
    </row>
    <row r="629" customFormat="false" ht="15" hidden="false" customHeight="true" outlineLevel="0" collapsed="false">
      <c r="B629" s="259" t="s">
        <v>1662</v>
      </c>
    </row>
    <row r="630" customFormat="false" ht="15" hidden="false" customHeight="true" outlineLevel="0" collapsed="false">
      <c r="B630" s="259" t="s">
        <v>1663</v>
      </c>
    </row>
    <row r="632" customFormat="false" ht="15" hidden="false" customHeight="true" outlineLevel="0" collapsed="false">
      <c r="B632" s="155" t="s">
        <v>1664</v>
      </c>
    </row>
    <row r="634" customFormat="false" ht="15" hidden="false" customHeight="true" outlineLevel="0" collapsed="false">
      <c r="B634" s="155" t="s">
        <v>1665</v>
      </c>
    </row>
    <row r="638" customFormat="false" ht="15" hidden="false" customHeight="true" outlineLevel="0" collapsed="false">
      <c r="B638" s="155" t="s">
        <v>1666</v>
      </c>
    </row>
    <row r="640" customFormat="false" ht="15" hidden="false" customHeight="true" outlineLevel="0" collapsed="false">
      <c r="B640" s="259" t="s">
        <v>1667</v>
      </c>
    </row>
    <row r="641" customFormat="false" ht="15" hidden="false" customHeight="true" outlineLevel="0" collapsed="false">
      <c r="B641" s="259" t="s">
        <v>1668</v>
      </c>
    </row>
    <row r="643" customFormat="false" ht="15" hidden="false" customHeight="true" outlineLevel="0" collapsed="false">
      <c r="B643" s="155" t="s">
        <v>1669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2026-09-21T12:48:24Z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