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ecision Log" sheetId="2" state="visible" r:id="rId4"/>
    <sheet name="Risk Register" sheetId="3" state="visible" r:id="rId5"/>
    <sheet name="At a Gla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<sst xmlns="http://schemas.openxmlformats.org/spreadsheetml/2006/main" count="176" uniqueCount="127">
  <si>
    <t xml:space="preserve">Decision Log + Risk Register</t>
  </si>
  <si>
    <t xml:space="preserve">One workbook used across the entire project to capture key decisions and risks. Add entries as they happen — not at end of phase. Saves hours of "why did we decide X?" discussions later and is gold during retrospectives.</t>
  </si>
  <si>
    <t xml:space="preserve">When to add an entry</t>
  </si>
  <si>
    <t xml:space="preserve">Sheet</t>
  </si>
  <si>
    <t xml:space="preserve">When to use</t>
  </si>
  <si>
    <t xml:space="preserve">Decision Log</t>
  </si>
  <si>
    <t xml:space="preserve">Add a row when: scope is locked, package upgrade chosen, AI boundary set, human-only task agreed, key tool chosen, payment terms agreed, anything where you'd later wish you'd written it down.</t>
  </si>
  <si>
    <t xml:space="preserve">Risk Register</t>
  </si>
  <si>
    <t xml:space="preserve">Add a row when: a risk surfaces during discovery, a test fails in a worrying pattern, a security concern emerges, a client behaviour signals trouble, a dependency on a third party becomes visible.</t>
  </si>
  <si>
    <t xml:space="preserve">At a Glance</t>
  </si>
  <si>
    <t xml:space="preserve">Auto-computed summary. Open this when planning the next phase or preparing for monthly review — shows open decisions/risks needing attention.</t>
  </si>
  <si>
    <t xml:space="preserve">Tip — entry hygiene</t>
  </si>
  <si>
    <t xml:space="preserve">Decisions: write what was decided AND why. The "why" is what saves you 3 months later.</t>
  </si>
  <si>
    <t xml:space="preserve">Risks: be specific. "AI may misclassify sensitive messages" is useful; "AI quality" is not.</t>
  </si>
  <si>
    <t xml:space="preserve">Update status when reality changes. A risk that becomes a real defect → mark Realised + cross-link to Defect Log.</t>
  </si>
  <si>
    <t xml:space="preserve">Reversibility on decisions matters most. One-way decisions deserve careful framing in the Context column.</t>
  </si>
  <si>
    <t xml:space="preserve">Add a row each time a key project decision is made. ID, Date, Phase, Decision, and Context are the minimum — others can be filled in later.</t>
  </si>
  <si>
    <t xml:space="preserve">ID</t>
  </si>
  <si>
    <t xml:space="preserve">Date</t>
  </si>
  <si>
    <t xml:space="preserve">Phase</t>
  </si>
  <si>
    <t xml:space="preserve">Topic</t>
  </si>
  <si>
    <t xml:space="preserve">Decision (what was decided)</t>
  </si>
  <si>
    <t xml:space="preserve">Context / Reasoning</t>
  </si>
  <si>
    <t xml:space="preserve">Decided by</t>
  </si>
  <si>
    <t xml:space="preserve">Reversibility</t>
  </si>
  <si>
    <t xml:space="preserve">Status</t>
  </si>
  <si>
    <t xml:space="preserve">Notes</t>
  </si>
  <si>
    <t xml:space="preserve">D-001</t>
  </si>
  <si>
    <t xml:space="preserve">2026-08-25</t>
  </si>
  <si>
    <t xml:space="preserve">Phase 1</t>
  </si>
  <si>
    <t xml:space="preserve">AI auto-send boundary</t>
  </si>
  <si>
    <t xml:space="preserve">AI may draft replies but NEVER auto-send. Human approval required for every outbound message.</t>
  </si>
  <si>
    <t xml:space="preserve">Client is risk-averse and operates in regulated (health) context. Approval workflow lowers risk and matches client comfort level (Q9 in Pre-Interview).</t>
  </si>
  <si>
    <t xml:space="preserve">Client + PM</t>
  </si>
  <si>
    <t xml:space="preserve">Costly to reverse</t>
  </si>
  <si>
    <t xml:space="preserve">Active</t>
  </si>
  <si>
    <t xml:space="preserve">Re-evaluate after 3 months of operation.</t>
  </si>
  <si>
    <t xml:space="preserve">D-002</t>
  </si>
  <si>
    <t xml:space="preserve">2026-09-10</t>
  </si>
  <si>
    <t xml:space="preserve">Phase 2</t>
  </si>
  <si>
    <t xml:space="preserve">MVP excludes Instagram channel</t>
  </si>
  <si>
    <t xml:space="preserve">Defer Instagram DM intake to Phase 2 (next iteration). MVP covers email + website form only.</t>
  </si>
  <si>
    <t xml:space="preserve">Instagram API access requires additional setup the client cannot complete in MVP timeline. Email + form already cover 80% of inbound volume.</t>
  </si>
  <si>
    <t xml:space="preserve">Reversible</t>
  </si>
  <si>
    <t xml:space="preserve">Add to Improvement Backlog as candidate for managed-service expansion.</t>
  </si>
  <si>
    <t xml:space="preserve">D-003</t>
  </si>
  <si>
    <t xml:space="preserve">2026-09-01</t>
  </si>
  <si>
    <t xml:space="preserve">Document extraction error tolerance</t>
  </si>
  <si>
    <t xml:space="preserve">AI extraction accepted only if all required fields are present; any mismatch routes to human review before posting.</t>
  </si>
  <si>
    <t xml:space="preserve">Document automation can introduce financial errors if unchecked data is posted. Human confirmation step protects data integrity.</t>
  </si>
  <si>
    <t xml:space="preserve">PM</t>
  </si>
  <si>
    <t xml:space="preserve">Re-evaluate per document type after 1 month of operation.</t>
  </si>
  <si>
    <t xml:space="preserve">D-004</t>
  </si>
  <si>
    <t xml:space="preserve">2026-09-05</t>
  </si>
  <si>
    <t xml:space="preserve">Content automation — human approval mandatory before publish</t>
  </si>
  <si>
    <t xml:space="preserve">No content automation may publish to any channel without explicit human approval of every draft.</t>
  </si>
  <si>
    <t xml:space="preserve">Auto-publishing risks brand damage and incorrect messaging. Approval gate is non-negotiable across all content automation types.</t>
  </si>
  <si>
    <t xml:space="preserve">PM + Client</t>
  </si>
  <si>
    <t xml:space="preserve">Review after 2 months; consider conditional auto-publish for pre-approved content types only.</t>
  </si>
  <si>
    <t xml:space="preserve">Add a row when a risk surfaces. Risk Level is auto-calculated from Likelihood × Impact: Low/Low = Low; High/High = Critical; mixed = Medium or High.</t>
  </si>
  <si>
    <t xml:space="preserve">Risk description</t>
  </si>
  <si>
    <t xml:space="preserve">Likelihood</t>
  </si>
  <si>
    <t xml:space="preserve">Impact</t>
  </si>
  <si>
    <t xml:space="preserve">Risk Level (AUTO)</t>
  </si>
  <si>
    <t xml:space="preserve">Mitigation</t>
  </si>
  <si>
    <t xml:space="preserve">Owner</t>
  </si>
  <si>
    <t xml:space="preserve">Notes / cross-ref</t>
  </si>
  <si>
    <t xml:space="preserve">R-001</t>
  </si>
  <si>
    <t xml:space="preserve">AI misclassifies sensitive health inquiry as routine, sending generic auto-reply</t>
  </si>
  <si>
    <t xml:space="preserve">Medium</t>
  </si>
  <si>
    <t xml:space="preserve">High</t>
  </si>
  <si>
    <t xml:space="preserve">Human approval workflow on ALL outbound replies; no auto-send in MVP; sensitive-keyword fallback to human review folder</t>
  </si>
  <si>
    <t xml:space="preserve">Mitigated</t>
  </si>
  <si>
    <t xml:space="preserve">Cross-ref: D-001 (no auto-send)</t>
  </si>
  <si>
    <t xml:space="preserve">R-002</t>
  </si>
  <si>
    <t xml:space="preserve">2026-09-15</t>
  </si>
  <si>
    <t xml:space="preserve">Phase 3</t>
  </si>
  <si>
    <t xml:space="preserve">Client doesn't grant OAuth access to Gmail by build start, delaying Phase 4</t>
  </si>
  <si>
    <t xml:space="preserve">Send OAuth instructions 1 week before build start; offer to walk through together; escalate if no response within 3 days</t>
  </si>
  <si>
    <t xml:space="preserve">Open</t>
  </si>
  <si>
    <t xml:space="preserve">Check by 2026-09-20</t>
  </si>
  <si>
    <t xml:space="preserve">R-003</t>
  </si>
  <si>
    <t xml:space="preserve">AI extracts incorrect invoice amount or supplier; automation posts unvalidated data to accounting system</t>
  </si>
  <si>
    <t xml:space="preserve">Human confirmation required before any write to accounting; validation module checks all required fields; error route on any mismatch.</t>
  </si>
  <si>
    <t xml:space="preserve">Cross-ref: D-003</t>
  </si>
  <si>
    <t xml:space="preserve">R-004</t>
  </si>
  <si>
    <t xml:space="preserve">Content automation publishes incorrect or off-brand post to client social channels without human approval</t>
  </si>
  <si>
    <t xml:space="preserve">Low</t>
  </si>
  <si>
    <t xml:space="preserve">Approval gate mandatory before every publish action; no auto-publish path in workflow; post-publish alert to owner.</t>
  </si>
  <si>
    <t xml:space="preserve">Cross-ref: D-004</t>
  </si>
  <si>
    <t xml:space="preserve">At a Glance (auto-computed)</t>
  </si>
  <si>
    <t xml:space="preserve">Open this when planning a phase or preparing a monthly review. Counts come from the Decision Log and Risk Register sheets — keep those up to date.</t>
  </si>
  <si>
    <t xml:space="preserve">Decision Log — by Status</t>
  </si>
  <si>
    <t xml:space="preserve">Category</t>
  </si>
  <si>
    <t xml:space="preserve">Meaning</t>
  </si>
  <si>
    <t xml:space="preserve">Count</t>
  </si>
  <si>
    <t xml:space="preserve">Currently in force.</t>
  </si>
  <si>
    <t xml:space="preserve">Superseded</t>
  </si>
  <si>
    <t xml:space="preserve">Replaced by later decision.</t>
  </si>
  <si>
    <t xml:space="preserve">Reversed</t>
  </si>
  <si>
    <t xml:space="preserve">Decision was undone.</t>
  </si>
  <si>
    <t xml:space="preserve">Under Review</t>
  </si>
  <si>
    <t xml:space="preserve">Being reconsidered.</t>
  </si>
  <si>
    <t xml:space="preserve">Total recorded</t>
  </si>
  <si>
    <t xml:space="preserve">All decisions logged.</t>
  </si>
  <si>
    <t xml:space="preserve">Decision Log — by Reversibility (Active only)</t>
  </si>
  <si>
    <t xml:space="preserve">Easy to change.</t>
  </si>
  <si>
    <t xml:space="preserve">Possible but expensive.</t>
  </si>
  <si>
    <t xml:space="preserve">One-way (irreversible)</t>
  </si>
  <si>
    <t xml:space="preserve">Cannot undo.</t>
  </si>
  <si>
    <t xml:space="preserve">Risk Register — by Status</t>
  </si>
  <si>
    <t xml:space="preserve">Risk active, no mitigation.</t>
  </si>
  <si>
    <t xml:space="preserve">Mitigation in place.</t>
  </si>
  <si>
    <t xml:space="preserve">Realised</t>
  </si>
  <si>
    <t xml:space="preserve">Risk became real issue.</t>
  </si>
  <si>
    <t xml:space="preserve">Closed</t>
  </si>
  <si>
    <t xml:space="preserve">No longer relevant.</t>
  </si>
  <si>
    <t xml:space="preserve">Accepted</t>
  </si>
  <si>
    <t xml:space="preserve">Risk accepted, no mitigation.</t>
  </si>
  <si>
    <t xml:space="preserve">All risks logged.</t>
  </si>
  <si>
    <t xml:space="preserve">Risk Register — by Risk Level (Open + Accepted only)</t>
  </si>
  <si>
    <t xml:space="preserve">Critical</t>
  </si>
  <si>
    <t xml:space="preserve">Highest priority.</t>
  </si>
  <si>
    <t xml:space="preserve">Watch closely.</t>
  </si>
  <si>
    <t xml:space="preserve">Manage normally.</t>
  </si>
  <si>
    <t xml:space="preserve">Routine.</t>
  </si>
  <si>
    <t xml:space="preserve">Healthy project signal: Critical and High risks should be ZERO or actively mitigated. Any Open Critical risk is a stop-and-discuss signal.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</si>
</sst>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E7E6E6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000000"/>
        <bgColor rgb="FF003300"/>
      </patternFill>
    </fill>
    <fill>
      <patternFill patternType="solid">
        <fgColor rgb="FFD9EAF7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0"/>
    <col collapsed="false" customWidth="true" hidden="false" outlineLevel="0" max="3" min="3" style="1" width="30"/>
  </cols>
  <sheetData>
    <row r="1" customFormat="false" ht="24" hidden="false" customHeight="true" outlineLevel="0" collapsed="false">
      <c r="A1" s="2" t="s">
        <v>0</v>
      </c>
      <c r="B1" s="2"/>
      <c r="C1" s="2"/>
    </row>
    <row r="2" customFormat="false" ht="45" hidden="false" customHeight="true" outlineLevel="0" collapsed="false">
      <c r="A2" s="3" t="s">
        <v>1</v>
      </c>
      <c r="B2" s="3"/>
      <c r="C2" s="3"/>
    </row>
    <row r="4" customFormat="false" ht="21.75" hidden="false" customHeight="true" outlineLevel="0" collapsed="false">
      <c r="A4" s="4" t="s">
        <v>2</v>
      </c>
      <c r="B4" s="4"/>
      <c r="C4" s="4"/>
    </row>
    <row r="5" customFormat="false" ht="21.75" hidden="false" customHeight="true" outlineLevel="0" collapsed="false">
      <c r="A5" s="5" t="s">
        <v>3</v>
      </c>
      <c r="B5" s="5" t="s">
        <v>4</v>
      </c>
    </row>
    <row r="6" customFormat="false" ht="45" hidden="false" customHeight="true" outlineLevel="0" collapsed="false">
      <c r="A6" s="6" t="s">
        <v>5</v>
      </c>
      <c r="B6" s="7" t="s">
        <v>6</v>
      </c>
      <c r="C6" s="7"/>
    </row>
    <row r="7" customFormat="false" ht="45" hidden="false" customHeight="true" outlineLevel="0" collapsed="false">
      <c r="A7" s="6" t="s">
        <v>7</v>
      </c>
      <c r="B7" s="7" t="s">
        <v>8</v>
      </c>
      <c r="C7" s="7"/>
    </row>
    <row r="8" customFormat="false" ht="45" hidden="false" customHeight="true" outlineLevel="0" collapsed="false">
      <c r="A8" s="6" t="s">
        <v>9</v>
      </c>
      <c r="B8" s="7" t="s">
        <v>10</v>
      </c>
      <c r="C8" s="7"/>
    </row>
    <row r="10" customFormat="false" ht="21.75" hidden="false" customHeight="true" outlineLevel="0" collapsed="false">
      <c r="A10" s="4" t="s">
        <v>11</v>
      </c>
      <c r="B10" s="4"/>
      <c r="C10" s="4"/>
    </row>
    <row r="11" customFormat="false" ht="27.75" hidden="false" customHeight="true" outlineLevel="0" collapsed="false">
      <c r="A11" s="3" t="s">
        <v>12</v>
      </c>
      <c r="B11" s="3"/>
      <c r="C11" s="3"/>
    </row>
    <row r="12" customFormat="false" ht="27.75" hidden="false" customHeight="true" outlineLevel="0" collapsed="false">
      <c r="A12" s="3" t="s">
        <v>13</v>
      </c>
      <c r="B12" s="3"/>
      <c r="C12" s="3"/>
    </row>
    <row r="13" customFormat="false" ht="27.75" hidden="false" customHeight="true" outlineLevel="0" collapsed="false">
      <c r="A13" s="3" t="s">
        <v>14</v>
      </c>
      <c r="B13" s="3"/>
      <c r="C13" s="3"/>
    </row>
    <row r="14" customFormat="false" ht="27.75" hidden="false" customHeight="true" outlineLevel="0" collapsed="false">
      <c r="A14" s="3" t="s">
        <v>15</v>
      </c>
      <c r="B14" s="3"/>
      <c r="C14" s="3"/>
    </row>
  </sheetData>
  <mergeCells count="11">
    <mergeCell ref="A1:C1"/>
    <mergeCell ref="A2:C2"/>
    <mergeCell ref="A4:C4"/>
    <mergeCell ref="B6:C6"/>
    <mergeCell ref="B7:C7"/>
    <mergeCell ref="B8:C8"/>
    <mergeCell ref="A10:C10"/>
    <mergeCell ref="A11:C11"/>
    <mergeCell ref="A12:C12"/>
    <mergeCell ref="A13:C13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25"/>
    <col collapsed="false" customWidth="true" hidden="false" outlineLevel="0" max="5" min="5" style="1" width="35"/>
    <col collapsed="false" customWidth="true" hidden="false" outlineLevel="0" max="6" min="6" style="1" width="40"/>
    <col collapsed="false" customWidth="true" hidden="false" outlineLevel="0" max="8" min="7" style="1" width="18"/>
    <col collapsed="false" customWidth="true" hidden="false" outlineLevel="0" max="9" min="9" style="1" width="15"/>
    <col collapsed="false" customWidth="true" hidden="false" outlineLevel="0" max="10" min="10" style="1" width="25"/>
  </cols>
  <sheetData>
    <row r="1" customFormat="false" ht="24" hidden="false" customHeight="true" outlineLevel="0" collapsed="false">
      <c r="A1" s="2" t="s">
        <v>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0" hidden="false" customHeight="true" outlineLevel="0" collapsed="false">
      <c r="A2" s="3" t="s">
        <v>16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4" hidden="false" customHeight="tru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25</v>
      </c>
      <c r="J4" s="8" t="s">
        <v>26</v>
      </c>
    </row>
    <row r="5" customFormat="false" ht="48" hidden="false" customHeight="true" outlineLevel="0" collapsed="false">
      <c r="A5" s="9" t="s">
        <v>27</v>
      </c>
      <c r="B5" s="9" t="s">
        <v>28</v>
      </c>
      <c r="C5" s="9" t="s">
        <v>29</v>
      </c>
      <c r="D5" s="7" t="s">
        <v>30</v>
      </c>
      <c r="E5" s="10" t="s">
        <v>31</v>
      </c>
      <c r="F5" s="10" t="s">
        <v>32</v>
      </c>
      <c r="G5" s="11" t="s">
        <v>33</v>
      </c>
      <c r="H5" s="11" t="s">
        <v>34</v>
      </c>
      <c r="I5" s="11" t="s">
        <v>35</v>
      </c>
      <c r="J5" s="10" t="s">
        <v>36</v>
      </c>
    </row>
    <row r="6" customFormat="false" ht="48" hidden="false" customHeight="true" outlineLevel="0" collapsed="false">
      <c r="A6" s="9" t="s">
        <v>37</v>
      </c>
      <c r="B6" s="9" t="s">
        <v>38</v>
      </c>
      <c r="C6" s="9" t="s">
        <v>39</v>
      </c>
      <c r="D6" s="7" t="s">
        <v>40</v>
      </c>
      <c r="E6" s="10" t="s">
        <v>41</v>
      </c>
      <c r="F6" s="10" t="s">
        <v>42</v>
      </c>
      <c r="G6" s="11" t="s">
        <v>33</v>
      </c>
      <c r="H6" s="11" t="s">
        <v>43</v>
      </c>
      <c r="I6" s="11" t="s">
        <v>35</v>
      </c>
      <c r="J6" s="10" t="s">
        <v>44</v>
      </c>
    </row>
    <row r="7" customFormat="false" ht="50.25" hidden="false" customHeight="true" outlineLevel="0" collapsed="false">
      <c r="A7" s="12" t="s">
        <v>45</v>
      </c>
      <c r="B7" s="12" t="s">
        <v>46</v>
      </c>
      <c r="C7" s="12" t="s">
        <v>39</v>
      </c>
      <c r="D7" s="12" t="s">
        <v>47</v>
      </c>
      <c r="E7" s="12" t="s">
        <v>48</v>
      </c>
      <c r="F7" s="12" t="s">
        <v>49</v>
      </c>
      <c r="G7" s="12" t="s">
        <v>50</v>
      </c>
      <c r="H7" s="12" t="s">
        <v>43</v>
      </c>
      <c r="I7" s="12" t="s">
        <v>35</v>
      </c>
      <c r="J7" s="12" t="s">
        <v>51</v>
      </c>
    </row>
    <row r="8" customFormat="false" ht="50.25" hidden="false" customHeight="true" outlineLevel="0" collapsed="false">
      <c r="A8" s="12" t="s">
        <v>52</v>
      </c>
      <c r="B8" s="12" t="s">
        <v>53</v>
      </c>
      <c r="C8" s="12" t="s">
        <v>39</v>
      </c>
      <c r="D8" s="12" t="s">
        <v>54</v>
      </c>
      <c r="E8" s="12" t="s">
        <v>55</v>
      </c>
      <c r="F8" s="12" t="s">
        <v>56</v>
      </c>
      <c r="G8" s="12" t="s">
        <v>57</v>
      </c>
      <c r="H8" s="12" t="s">
        <v>34</v>
      </c>
      <c r="I8" s="12" t="s">
        <v>35</v>
      </c>
      <c r="J8" s="12" t="s">
        <v>58</v>
      </c>
    </row>
    <row r="9" customFormat="false" ht="36" hidden="false" customHeight="true" outlineLevel="0" collapsed="false">
      <c r="A9" s="9"/>
      <c r="B9" s="9"/>
      <c r="C9" s="9"/>
      <c r="D9" s="7"/>
      <c r="E9" s="10"/>
      <c r="F9" s="10"/>
      <c r="G9" s="11"/>
      <c r="H9" s="11"/>
      <c r="I9" s="11"/>
      <c r="J9" s="10"/>
    </row>
    <row r="10" customFormat="false" ht="36" hidden="false" customHeight="true" outlineLevel="0" collapsed="false">
      <c r="A10" s="9"/>
      <c r="B10" s="9"/>
      <c r="C10" s="9"/>
      <c r="D10" s="7"/>
      <c r="E10" s="10"/>
      <c r="F10" s="10"/>
      <c r="G10" s="11"/>
      <c r="H10" s="11"/>
      <c r="I10" s="11"/>
      <c r="J10" s="10"/>
    </row>
    <row r="11" customFormat="false" ht="36" hidden="false" customHeight="true" outlineLevel="0" collapsed="false">
      <c r="A11" s="9"/>
      <c r="B11" s="9"/>
      <c r="C11" s="9"/>
      <c r="D11" s="7"/>
      <c r="E11" s="10"/>
      <c r="F11" s="10"/>
      <c r="G11" s="11"/>
      <c r="H11" s="11"/>
      <c r="I11" s="11"/>
      <c r="J11" s="10"/>
    </row>
    <row r="12" customFormat="false" ht="36" hidden="false" customHeight="true" outlineLevel="0" collapsed="false">
      <c r="A12" s="9"/>
      <c r="B12" s="9"/>
      <c r="C12" s="9"/>
      <c r="D12" s="7"/>
      <c r="E12" s="10"/>
      <c r="F12" s="10"/>
      <c r="G12" s="11"/>
      <c r="H12" s="11"/>
      <c r="I12" s="11"/>
      <c r="J12" s="10"/>
    </row>
    <row r="13" customFormat="false" ht="36" hidden="false" customHeight="true" outlineLevel="0" collapsed="false">
      <c r="A13" s="9"/>
      <c r="B13" s="9"/>
      <c r="C13" s="9"/>
      <c r="D13" s="7"/>
      <c r="E13" s="10"/>
      <c r="F13" s="10"/>
      <c r="G13" s="11"/>
      <c r="H13" s="11"/>
      <c r="I13" s="11"/>
      <c r="J13" s="10"/>
    </row>
    <row r="14" customFormat="false" ht="36" hidden="false" customHeight="true" outlineLevel="0" collapsed="false">
      <c r="A14" s="9"/>
      <c r="B14" s="9"/>
      <c r="C14" s="9"/>
      <c r="D14" s="7"/>
      <c r="E14" s="10"/>
      <c r="F14" s="10"/>
      <c r="G14" s="11"/>
      <c r="H14" s="11"/>
      <c r="I14" s="11"/>
      <c r="J14" s="10"/>
    </row>
    <row r="15" customFormat="false" ht="36" hidden="false" customHeight="true" outlineLevel="0" collapsed="false">
      <c r="A15" s="9"/>
      <c r="B15" s="9"/>
      <c r="C15" s="9"/>
      <c r="D15" s="7"/>
      <c r="E15" s="10"/>
      <c r="F15" s="10"/>
      <c r="G15" s="11"/>
      <c r="H15" s="11"/>
      <c r="I15" s="11"/>
      <c r="J15" s="10"/>
    </row>
    <row r="16" customFormat="false" ht="36" hidden="false" customHeight="true" outlineLevel="0" collapsed="false">
      <c r="A16" s="9"/>
      <c r="B16" s="9"/>
      <c r="C16" s="9"/>
      <c r="D16" s="7"/>
      <c r="E16" s="10"/>
      <c r="F16" s="10"/>
      <c r="G16" s="11"/>
      <c r="H16" s="11"/>
      <c r="I16" s="11"/>
      <c r="J16" s="10"/>
    </row>
    <row r="17" customFormat="false" ht="36" hidden="false" customHeight="true" outlineLevel="0" collapsed="false">
      <c r="A17" s="9"/>
      <c r="B17" s="9"/>
      <c r="C17" s="9"/>
      <c r="D17" s="7"/>
      <c r="E17" s="10"/>
      <c r="F17" s="10"/>
      <c r="G17" s="11"/>
      <c r="H17" s="11"/>
      <c r="I17" s="11"/>
      <c r="J17" s="10"/>
    </row>
    <row r="18" customFormat="false" ht="36" hidden="false" customHeight="true" outlineLevel="0" collapsed="false">
      <c r="A18" s="9"/>
      <c r="B18" s="9"/>
      <c r="C18" s="9"/>
      <c r="D18" s="7"/>
      <c r="E18" s="10"/>
      <c r="F18" s="10"/>
      <c r="G18" s="11"/>
      <c r="H18" s="11"/>
      <c r="I18" s="11"/>
      <c r="J18" s="10"/>
    </row>
    <row r="19" customFormat="false" ht="36" hidden="false" customHeight="true" outlineLevel="0" collapsed="false">
      <c r="A19" s="9"/>
      <c r="B19" s="9"/>
      <c r="C19" s="9"/>
      <c r="D19" s="7"/>
      <c r="E19" s="10"/>
      <c r="F19" s="10"/>
      <c r="G19" s="11"/>
      <c r="H19" s="11"/>
      <c r="I19" s="11"/>
      <c r="J19" s="10"/>
    </row>
    <row r="20" customFormat="false" ht="36" hidden="false" customHeight="true" outlineLevel="0" collapsed="false">
      <c r="A20" s="9"/>
      <c r="B20" s="9"/>
      <c r="C20" s="9"/>
      <c r="D20" s="7"/>
      <c r="E20" s="10"/>
      <c r="F20" s="10"/>
      <c r="G20" s="11"/>
      <c r="H20" s="11"/>
      <c r="I20" s="11"/>
      <c r="J20" s="10"/>
    </row>
    <row r="21" customFormat="false" ht="36" hidden="false" customHeight="true" outlineLevel="0" collapsed="false">
      <c r="A21" s="9"/>
      <c r="B21" s="9"/>
      <c r="C21" s="9"/>
      <c r="D21" s="7"/>
      <c r="E21" s="10"/>
      <c r="F21" s="10"/>
      <c r="G21" s="11"/>
      <c r="H21" s="11"/>
      <c r="I21" s="11"/>
      <c r="J21" s="10"/>
    </row>
    <row r="22" customFormat="false" ht="36" hidden="false" customHeight="true" outlineLevel="0" collapsed="false">
      <c r="A22" s="9"/>
      <c r="B22" s="9"/>
      <c r="C22" s="9"/>
      <c r="D22" s="7"/>
      <c r="E22" s="10"/>
      <c r="F22" s="10"/>
      <c r="G22" s="11"/>
      <c r="H22" s="11"/>
      <c r="I22" s="11"/>
      <c r="J22" s="10"/>
    </row>
    <row r="23" customFormat="false" ht="36" hidden="false" customHeight="true" outlineLevel="0" collapsed="false">
      <c r="A23" s="9"/>
      <c r="B23" s="9"/>
      <c r="C23" s="9"/>
      <c r="D23" s="7"/>
      <c r="E23" s="10"/>
      <c r="F23" s="10"/>
      <c r="G23" s="11"/>
      <c r="H23" s="11"/>
      <c r="I23" s="11"/>
      <c r="J23" s="10"/>
    </row>
    <row r="24" customFormat="false" ht="36" hidden="false" customHeight="true" outlineLevel="0" collapsed="false">
      <c r="A24" s="9"/>
      <c r="B24" s="9"/>
      <c r="C24" s="9"/>
      <c r="D24" s="7"/>
      <c r="E24" s="10"/>
      <c r="F24" s="10"/>
      <c r="G24" s="11"/>
      <c r="H24" s="11"/>
      <c r="I24" s="11"/>
      <c r="J24" s="10"/>
    </row>
    <row r="25" customFormat="false" ht="36" hidden="false" customHeight="true" outlineLevel="0" collapsed="false">
      <c r="A25" s="9"/>
      <c r="B25" s="9"/>
      <c r="C25" s="9"/>
      <c r="D25" s="7"/>
      <c r="E25" s="10"/>
      <c r="F25" s="10"/>
      <c r="G25" s="11"/>
      <c r="H25" s="11"/>
      <c r="I25" s="11"/>
      <c r="J25" s="10"/>
    </row>
    <row r="26" customFormat="false" ht="36" hidden="false" customHeight="true" outlineLevel="0" collapsed="false">
      <c r="A26" s="9"/>
      <c r="B26" s="9"/>
      <c r="C26" s="9"/>
      <c r="D26" s="7"/>
      <c r="E26" s="10"/>
      <c r="F26" s="10"/>
      <c r="G26" s="11"/>
      <c r="H26" s="11"/>
      <c r="I26" s="11"/>
      <c r="J26" s="10"/>
    </row>
    <row r="27" customFormat="false" ht="36" hidden="false" customHeight="true" outlineLevel="0" collapsed="false">
      <c r="A27" s="9"/>
      <c r="B27" s="9"/>
      <c r="C27" s="9"/>
      <c r="D27" s="7"/>
      <c r="E27" s="10"/>
      <c r="F27" s="10"/>
      <c r="G27" s="11"/>
      <c r="H27" s="11"/>
      <c r="I27" s="11"/>
      <c r="J27" s="10"/>
    </row>
    <row r="28" customFormat="false" ht="36" hidden="false" customHeight="true" outlineLevel="0" collapsed="false">
      <c r="A28" s="9"/>
      <c r="B28" s="9"/>
      <c r="C28" s="9"/>
      <c r="D28" s="7"/>
      <c r="E28" s="10"/>
      <c r="F28" s="10"/>
      <c r="G28" s="11"/>
      <c r="H28" s="11"/>
      <c r="I28" s="11"/>
      <c r="J28" s="10"/>
    </row>
    <row r="29" customFormat="false" ht="36" hidden="false" customHeight="true" outlineLevel="0" collapsed="false">
      <c r="A29" s="9"/>
      <c r="B29" s="9"/>
      <c r="C29" s="9"/>
      <c r="D29" s="7"/>
      <c r="E29" s="10"/>
      <c r="F29" s="10"/>
      <c r="G29" s="11"/>
      <c r="H29" s="11"/>
      <c r="I29" s="11"/>
      <c r="J29" s="10"/>
    </row>
    <row r="30" customFormat="false" ht="36" hidden="false" customHeight="true" outlineLevel="0" collapsed="false">
      <c r="A30" s="9"/>
      <c r="B30" s="9"/>
      <c r="C30" s="9"/>
      <c r="D30" s="7"/>
      <c r="E30" s="10"/>
      <c r="F30" s="10"/>
      <c r="G30" s="11"/>
      <c r="H30" s="11"/>
      <c r="I30" s="11"/>
      <c r="J30" s="10"/>
    </row>
    <row r="31" customFormat="false" ht="36" hidden="false" customHeight="true" outlineLevel="0" collapsed="false">
      <c r="A31" s="9"/>
      <c r="B31" s="9"/>
      <c r="C31" s="9"/>
      <c r="D31" s="7"/>
      <c r="E31" s="10"/>
      <c r="F31" s="10"/>
      <c r="G31" s="11"/>
      <c r="H31" s="11"/>
      <c r="I31" s="11"/>
      <c r="J31" s="10"/>
    </row>
    <row r="32" customFormat="false" ht="36" hidden="false" customHeight="true" outlineLevel="0" collapsed="false">
      <c r="A32" s="9"/>
      <c r="B32" s="9"/>
      <c r="C32" s="9"/>
      <c r="D32" s="7"/>
      <c r="E32" s="10"/>
      <c r="F32" s="10"/>
      <c r="G32" s="11"/>
      <c r="H32" s="11"/>
      <c r="I32" s="11"/>
      <c r="J32" s="10"/>
    </row>
    <row r="33" customFormat="false" ht="36" hidden="false" customHeight="true" outlineLevel="0" collapsed="false">
      <c r="A33" s="9"/>
      <c r="B33" s="9"/>
      <c r="C33" s="9"/>
      <c r="D33" s="7"/>
      <c r="E33" s="10"/>
      <c r="F33" s="10"/>
      <c r="G33" s="11"/>
      <c r="H33" s="11"/>
      <c r="I33" s="11"/>
      <c r="J33" s="10"/>
    </row>
    <row r="34" customFormat="false" ht="36" hidden="false" customHeight="true" outlineLevel="0" collapsed="false">
      <c r="A34" s="9"/>
      <c r="B34" s="9"/>
      <c r="C34" s="9"/>
      <c r="D34" s="7"/>
      <c r="E34" s="10"/>
      <c r="F34" s="10"/>
      <c r="G34" s="11"/>
      <c r="H34" s="11"/>
      <c r="I34" s="11"/>
      <c r="J34" s="10"/>
    </row>
    <row r="35" customFormat="false" ht="36" hidden="false" customHeight="true" outlineLevel="0" collapsed="false">
      <c r="A35" s="9"/>
      <c r="B35" s="9"/>
      <c r="C35" s="9"/>
      <c r="D35" s="7"/>
      <c r="E35" s="10"/>
      <c r="F35" s="10"/>
      <c r="G35" s="11"/>
      <c r="H35" s="11"/>
      <c r="I35" s="11"/>
      <c r="J35" s="10"/>
    </row>
    <row r="36" customFormat="false" ht="36" hidden="false" customHeight="true" outlineLevel="0" collapsed="false">
      <c r="A36" s="9"/>
      <c r="B36" s="9"/>
      <c r="C36" s="9"/>
      <c r="D36" s="7"/>
      <c r="E36" s="10"/>
      <c r="F36" s="10"/>
      <c r="G36" s="11"/>
      <c r="H36" s="11"/>
      <c r="I36" s="11"/>
      <c r="J36" s="10"/>
    </row>
    <row r="37" customFormat="false" ht="36" hidden="false" customHeight="true" outlineLevel="0" collapsed="false">
      <c r="A37" s="9"/>
      <c r="B37" s="9"/>
      <c r="C37" s="9"/>
      <c r="D37" s="7"/>
      <c r="E37" s="10"/>
      <c r="F37" s="10"/>
      <c r="G37" s="11"/>
      <c r="H37" s="11"/>
      <c r="I37" s="11"/>
      <c r="J37" s="10"/>
    </row>
    <row r="38" customFormat="false" ht="36" hidden="false" customHeight="true" outlineLevel="0" collapsed="false">
      <c r="A38" s="9"/>
      <c r="B38" s="9"/>
      <c r="C38" s="9"/>
      <c r="D38" s="7"/>
      <c r="E38" s="10"/>
      <c r="F38" s="10"/>
      <c r="G38" s="11"/>
      <c r="H38" s="11"/>
      <c r="I38" s="11"/>
      <c r="J38" s="10"/>
    </row>
    <row r="39" customFormat="false" ht="36" hidden="false" customHeight="true" outlineLevel="0" collapsed="false">
      <c r="A39" s="9"/>
      <c r="B39" s="9"/>
      <c r="C39" s="9"/>
      <c r="D39" s="7"/>
      <c r="E39" s="10"/>
      <c r="F39" s="10"/>
      <c r="G39" s="11"/>
      <c r="H39" s="11"/>
      <c r="I39" s="11"/>
      <c r="J39" s="10"/>
    </row>
    <row r="40" customFormat="false" ht="36" hidden="false" customHeight="true" outlineLevel="0" collapsed="false">
      <c r="A40" s="9"/>
      <c r="B40" s="9"/>
      <c r="C40" s="9"/>
      <c r="D40" s="7"/>
      <c r="E40" s="10"/>
      <c r="F40" s="10"/>
      <c r="G40" s="11"/>
      <c r="H40" s="11"/>
      <c r="I40" s="11"/>
      <c r="J40" s="10"/>
    </row>
    <row r="41" customFormat="false" ht="36" hidden="false" customHeight="true" outlineLevel="0" collapsed="false">
      <c r="A41" s="9"/>
      <c r="B41" s="9"/>
      <c r="C41" s="9"/>
      <c r="D41" s="7"/>
      <c r="E41" s="10"/>
      <c r="F41" s="10"/>
      <c r="G41" s="11"/>
      <c r="H41" s="11"/>
      <c r="I41" s="11"/>
      <c r="J41" s="10"/>
    </row>
    <row r="42" customFormat="false" ht="36" hidden="false" customHeight="true" outlineLevel="0" collapsed="false">
      <c r="A42" s="9"/>
      <c r="B42" s="9"/>
      <c r="C42" s="9"/>
      <c r="D42" s="7"/>
      <c r="E42" s="10"/>
      <c r="F42" s="10"/>
      <c r="G42" s="11"/>
      <c r="H42" s="11"/>
      <c r="I42" s="11"/>
      <c r="J42" s="10"/>
    </row>
    <row r="43" customFormat="false" ht="36" hidden="false" customHeight="true" outlineLevel="0" collapsed="false">
      <c r="A43" s="9"/>
      <c r="B43" s="9"/>
      <c r="C43" s="9"/>
      <c r="D43" s="7"/>
      <c r="E43" s="10"/>
      <c r="F43" s="10"/>
      <c r="G43" s="11"/>
      <c r="H43" s="11"/>
      <c r="I43" s="11"/>
      <c r="J43" s="10"/>
    </row>
    <row r="44" customFormat="false" ht="36" hidden="false" customHeight="true" outlineLevel="0" collapsed="false">
      <c r="A44" s="9"/>
      <c r="B44" s="9"/>
      <c r="C44" s="9"/>
      <c r="D44" s="7"/>
      <c r="E44" s="10"/>
      <c r="F44" s="10"/>
      <c r="G44" s="11"/>
      <c r="H44" s="11"/>
      <c r="I44" s="11"/>
      <c r="J44" s="10"/>
    </row>
    <row r="45" customFormat="false" ht="36" hidden="false" customHeight="true" outlineLevel="0" collapsed="false">
      <c r="A45" s="9"/>
      <c r="B45" s="9"/>
      <c r="C45" s="9"/>
      <c r="D45" s="7"/>
      <c r="E45" s="10"/>
      <c r="F45" s="10"/>
      <c r="G45" s="11"/>
      <c r="H45" s="11"/>
      <c r="I45" s="11"/>
      <c r="J45" s="10"/>
    </row>
    <row r="46" customFormat="false" ht="36" hidden="false" customHeight="true" outlineLevel="0" collapsed="false">
      <c r="A46" s="9"/>
      <c r="B46" s="9"/>
      <c r="C46" s="9"/>
      <c r="D46" s="7"/>
      <c r="E46" s="10"/>
      <c r="F46" s="10"/>
      <c r="G46" s="11"/>
      <c r="H46" s="11"/>
      <c r="I46" s="11"/>
      <c r="J46" s="10"/>
    </row>
    <row r="47" customFormat="false" ht="36" hidden="false" customHeight="true" outlineLevel="0" collapsed="false">
      <c r="A47" s="9"/>
      <c r="B47" s="9"/>
      <c r="C47" s="9"/>
      <c r="D47" s="7"/>
      <c r="E47" s="10"/>
      <c r="F47" s="10"/>
      <c r="G47" s="11"/>
      <c r="H47" s="11"/>
      <c r="I47" s="11"/>
      <c r="J47" s="10"/>
    </row>
    <row r="48" customFormat="false" ht="36" hidden="false" customHeight="true" outlineLevel="0" collapsed="false">
      <c r="A48" s="9"/>
      <c r="B48" s="9"/>
      <c r="C48" s="9"/>
      <c r="D48" s="7"/>
      <c r="E48" s="10"/>
      <c r="F48" s="10"/>
      <c r="G48" s="11"/>
      <c r="H48" s="11"/>
      <c r="I48" s="11"/>
      <c r="J48" s="10"/>
    </row>
    <row r="49" customFormat="false" ht="36" hidden="false" customHeight="true" outlineLevel="0" collapsed="false">
      <c r="A49" s="9"/>
      <c r="B49" s="9"/>
      <c r="C49" s="9"/>
      <c r="D49" s="7"/>
      <c r="E49" s="10"/>
      <c r="F49" s="10"/>
      <c r="G49" s="11"/>
      <c r="H49" s="11"/>
      <c r="I49" s="11"/>
      <c r="J49" s="10"/>
    </row>
    <row r="50" customFormat="false" ht="36" hidden="false" customHeight="true" outlineLevel="0" collapsed="false">
      <c r="A50" s="9"/>
      <c r="B50" s="9"/>
      <c r="C50" s="9"/>
      <c r="D50" s="7"/>
      <c r="E50" s="10"/>
      <c r="F50" s="10"/>
      <c r="G50" s="11"/>
      <c r="H50" s="11"/>
      <c r="I50" s="11"/>
      <c r="J50" s="10"/>
    </row>
    <row r="51" customFormat="false" ht="36" hidden="false" customHeight="true" outlineLevel="0" collapsed="false">
      <c r="A51" s="9"/>
      <c r="B51" s="9"/>
      <c r="C51" s="9"/>
      <c r="D51" s="7"/>
      <c r="E51" s="10"/>
      <c r="F51" s="10"/>
      <c r="G51" s="11"/>
      <c r="H51" s="11"/>
      <c r="I51" s="11"/>
      <c r="J51" s="10"/>
    </row>
    <row r="52" customFormat="false" ht="36" hidden="false" customHeight="true" outlineLevel="0" collapsed="false">
      <c r="A52" s="9"/>
      <c r="B52" s="9"/>
      <c r="C52" s="9"/>
      <c r="D52" s="7"/>
      <c r="E52" s="10"/>
      <c r="F52" s="10"/>
      <c r="G52" s="11"/>
      <c r="H52" s="11"/>
      <c r="I52" s="11"/>
      <c r="J52" s="10"/>
    </row>
    <row r="53" customFormat="false" ht="36" hidden="false" customHeight="true" outlineLevel="0" collapsed="false">
      <c r="A53" s="9"/>
      <c r="B53" s="9"/>
      <c r="C53" s="9"/>
      <c r="D53" s="7"/>
      <c r="E53" s="10"/>
      <c r="F53" s="10"/>
      <c r="G53" s="11"/>
      <c r="H53" s="11"/>
      <c r="I53" s="11"/>
      <c r="J53" s="10"/>
    </row>
    <row r="54" customFormat="false" ht="36" hidden="false" customHeight="true" outlineLevel="0" collapsed="false">
      <c r="A54" s="9"/>
      <c r="B54" s="9"/>
      <c r="C54" s="9"/>
      <c r="D54" s="7"/>
      <c r="E54" s="10"/>
      <c r="F54" s="10"/>
      <c r="G54" s="11"/>
      <c r="H54" s="11"/>
      <c r="I54" s="11"/>
      <c r="J54" s="10"/>
    </row>
    <row r="55" customFormat="false" ht="36" hidden="false" customHeight="true" outlineLevel="0" collapsed="false">
      <c r="A55" s="9"/>
      <c r="B55" s="9"/>
      <c r="C55" s="9"/>
      <c r="D55" s="7"/>
      <c r="E55" s="10"/>
      <c r="F55" s="10"/>
      <c r="G55" s="11"/>
      <c r="H55" s="11"/>
      <c r="I55" s="11"/>
      <c r="J55" s="10"/>
    </row>
    <row r="56" customFormat="false" ht="36" hidden="false" customHeight="true" outlineLevel="0" collapsed="false">
      <c r="A56" s="9"/>
      <c r="B56" s="9"/>
      <c r="C56" s="9"/>
      <c r="D56" s="7"/>
      <c r="E56" s="10"/>
      <c r="F56" s="10"/>
      <c r="G56" s="11"/>
      <c r="H56" s="11"/>
      <c r="I56" s="11"/>
      <c r="J56" s="10"/>
    </row>
    <row r="57" customFormat="false" ht="36" hidden="false" customHeight="true" outlineLevel="0" collapsed="false">
      <c r="A57" s="9"/>
      <c r="B57" s="9"/>
      <c r="C57" s="9"/>
      <c r="D57" s="7"/>
      <c r="E57" s="10"/>
      <c r="F57" s="10"/>
      <c r="G57" s="11"/>
      <c r="H57" s="11"/>
      <c r="I57" s="11"/>
      <c r="J57" s="10"/>
    </row>
    <row r="58" customFormat="false" ht="36" hidden="false" customHeight="true" outlineLevel="0" collapsed="false">
      <c r="A58" s="9"/>
      <c r="B58" s="9"/>
      <c r="C58" s="9"/>
      <c r="D58" s="7"/>
      <c r="E58" s="10"/>
      <c r="F58" s="10"/>
      <c r="G58" s="11"/>
      <c r="H58" s="11"/>
      <c r="I58" s="11"/>
      <c r="J58" s="10"/>
    </row>
    <row r="59" customFormat="false" ht="36" hidden="false" customHeight="true" outlineLevel="0" collapsed="false">
      <c r="A59" s="9"/>
      <c r="B59" s="9"/>
      <c r="C59" s="9"/>
      <c r="D59" s="7"/>
      <c r="E59" s="10"/>
      <c r="F59" s="10"/>
      <c r="G59" s="11"/>
      <c r="H59" s="11"/>
      <c r="I59" s="11"/>
      <c r="J59" s="10"/>
    </row>
    <row r="60" customFormat="false" ht="36" hidden="false" customHeight="true" outlineLevel="0" collapsed="false">
      <c r="A60" s="9"/>
      <c r="B60" s="9"/>
      <c r="C60" s="9"/>
      <c r="D60" s="7"/>
      <c r="E60" s="10"/>
      <c r="F60" s="10"/>
      <c r="G60" s="11"/>
      <c r="H60" s="11"/>
      <c r="I60" s="11"/>
      <c r="J60" s="10"/>
    </row>
    <row r="61" customFormat="false" ht="36" hidden="false" customHeight="true" outlineLevel="0" collapsed="false">
      <c r="A61" s="9"/>
      <c r="B61" s="9"/>
      <c r="C61" s="9"/>
      <c r="D61" s="7"/>
      <c r="E61" s="10"/>
      <c r="F61" s="10"/>
      <c r="G61" s="11"/>
      <c r="H61" s="11"/>
      <c r="I61" s="11"/>
      <c r="J61" s="10"/>
    </row>
    <row r="62" customFormat="false" ht="36" hidden="false" customHeight="true" outlineLevel="0" collapsed="false">
      <c r="A62" s="9"/>
      <c r="B62" s="9"/>
      <c r="C62" s="9"/>
      <c r="D62" s="7"/>
      <c r="E62" s="10"/>
      <c r="F62" s="10"/>
      <c r="G62" s="11"/>
      <c r="H62" s="11"/>
      <c r="I62" s="11"/>
      <c r="J62" s="10"/>
    </row>
    <row r="63" customFormat="false" ht="36" hidden="false" customHeight="true" outlineLevel="0" collapsed="false">
      <c r="A63" s="9"/>
      <c r="B63" s="9"/>
      <c r="C63" s="9"/>
      <c r="D63" s="7"/>
      <c r="E63" s="10"/>
      <c r="F63" s="10"/>
      <c r="G63" s="11"/>
      <c r="H63" s="11"/>
      <c r="I63" s="11"/>
      <c r="J63" s="10"/>
    </row>
    <row r="64" customFormat="false" ht="36" hidden="false" customHeight="true" outlineLevel="0" collapsed="false">
      <c r="A64" s="9"/>
      <c r="B64" s="9"/>
      <c r="C64" s="9"/>
      <c r="D64" s="7"/>
      <c r="E64" s="10"/>
      <c r="F64" s="10"/>
      <c r="G64" s="11"/>
      <c r="H64" s="11"/>
      <c r="I64" s="11"/>
      <c r="J64" s="10"/>
    </row>
    <row r="65" customFormat="false" ht="36" hidden="false" customHeight="true" outlineLevel="0" collapsed="false">
      <c r="A65" s="9"/>
      <c r="B65" s="9"/>
      <c r="C65" s="9"/>
      <c r="D65" s="7"/>
      <c r="E65" s="10"/>
      <c r="F65" s="10"/>
      <c r="G65" s="11"/>
      <c r="H65" s="11"/>
      <c r="I65" s="11"/>
      <c r="J65" s="10"/>
    </row>
    <row r="66" customFormat="false" ht="36" hidden="false" customHeight="true" outlineLevel="0" collapsed="false">
      <c r="A66" s="9"/>
      <c r="B66" s="9"/>
      <c r="C66" s="9"/>
      <c r="D66" s="7"/>
      <c r="E66" s="10"/>
      <c r="F66" s="10"/>
      <c r="G66" s="11"/>
      <c r="H66" s="11"/>
      <c r="I66" s="11"/>
      <c r="J66" s="10"/>
    </row>
    <row r="67" customFormat="false" ht="36" hidden="false" customHeight="true" outlineLevel="0" collapsed="false">
      <c r="A67" s="9"/>
      <c r="B67" s="9"/>
      <c r="C67" s="9"/>
      <c r="D67" s="7"/>
      <c r="E67" s="10"/>
      <c r="F67" s="10"/>
      <c r="G67" s="11"/>
      <c r="H67" s="11"/>
      <c r="I67" s="11"/>
      <c r="J67" s="10"/>
    </row>
    <row r="68" customFormat="false" ht="36" hidden="false" customHeight="true" outlineLevel="0" collapsed="false">
      <c r="A68" s="9"/>
      <c r="B68" s="9"/>
      <c r="C68" s="9"/>
      <c r="D68" s="7"/>
      <c r="E68" s="10"/>
      <c r="F68" s="10"/>
      <c r="G68" s="11"/>
      <c r="H68" s="11"/>
      <c r="I68" s="11"/>
      <c r="J68" s="10"/>
    </row>
    <row r="69" customFormat="false" ht="36" hidden="false" customHeight="true" outlineLevel="0" collapsed="false">
      <c r="A69" s="9"/>
      <c r="B69" s="9"/>
      <c r="C69" s="9"/>
      <c r="D69" s="7"/>
      <c r="E69" s="10"/>
      <c r="F69" s="10"/>
      <c r="G69" s="11"/>
      <c r="H69" s="11"/>
      <c r="I69" s="11"/>
      <c r="J69" s="10"/>
    </row>
    <row r="70" customFormat="false" ht="36" hidden="false" customHeight="true" outlineLevel="0" collapsed="false">
      <c r="A70" s="9"/>
      <c r="B70" s="9"/>
      <c r="C70" s="9"/>
      <c r="D70" s="7"/>
      <c r="E70" s="10"/>
      <c r="F70" s="10"/>
      <c r="G70" s="11"/>
      <c r="H70" s="11"/>
      <c r="I70" s="11"/>
      <c r="J70" s="10"/>
    </row>
    <row r="71" customFormat="false" ht="36" hidden="false" customHeight="true" outlineLevel="0" collapsed="false">
      <c r="A71" s="9"/>
      <c r="B71" s="9"/>
      <c r="C71" s="9"/>
      <c r="D71" s="7"/>
      <c r="E71" s="10"/>
      <c r="F71" s="10"/>
      <c r="G71" s="11"/>
      <c r="H71" s="11"/>
      <c r="I71" s="11"/>
      <c r="J71" s="10"/>
    </row>
    <row r="72" customFormat="false" ht="36" hidden="false" customHeight="true" outlineLevel="0" collapsed="false">
      <c r="A72" s="9"/>
      <c r="B72" s="9"/>
      <c r="C72" s="9"/>
      <c r="D72" s="7"/>
      <c r="E72" s="10"/>
      <c r="F72" s="10"/>
      <c r="G72" s="11"/>
      <c r="H72" s="11"/>
      <c r="I72" s="11"/>
      <c r="J72" s="10"/>
    </row>
    <row r="73" customFormat="false" ht="36" hidden="false" customHeight="true" outlineLevel="0" collapsed="false">
      <c r="A73" s="9"/>
      <c r="B73" s="9"/>
      <c r="C73" s="9"/>
      <c r="D73" s="7"/>
      <c r="E73" s="10"/>
      <c r="F73" s="10"/>
      <c r="G73" s="11"/>
      <c r="H73" s="11"/>
      <c r="I73" s="11"/>
      <c r="J73" s="10"/>
    </row>
    <row r="74" customFormat="false" ht="36" hidden="false" customHeight="true" outlineLevel="0" collapsed="false">
      <c r="A74" s="9"/>
      <c r="B74" s="9"/>
      <c r="C74" s="9"/>
      <c r="D74" s="7"/>
      <c r="E74" s="10"/>
      <c r="F74" s="10"/>
      <c r="G74" s="11"/>
      <c r="H74" s="11"/>
      <c r="I74" s="11"/>
      <c r="J74" s="10"/>
    </row>
    <row r="75" customFormat="false" ht="36" hidden="false" customHeight="true" outlineLevel="0" collapsed="false">
      <c r="A75" s="9"/>
      <c r="B75" s="9"/>
      <c r="C75" s="9"/>
      <c r="D75" s="7"/>
      <c r="E75" s="10"/>
      <c r="F75" s="10"/>
      <c r="G75" s="11"/>
      <c r="H75" s="11"/>
      <c r="I75" s="11"/>
      <c r="J75" s="10"/>
    </row>
    <row r="76" customFormat="false" ht="36" hidden="false" customHeight="true" outlineLevel="0" collapsed="false">
      <c r="A76" s="9"/>
      <c r="B76" s="9"/>
      <c r="C76" s="9"/>
      <c r="D76" s="7"/>
      <c r="E76" s="10"/>
      <c r="F76" s="10"/>
      <c r="G76" s="11"/>
      <c r="H76" s="11"/>
      <c r="I76" s="11"/>
      <c r="J76" s="10"/>
    </row>
    <row r="77" customFormat="false" ht="36" hidden="false" customHeight="true" outlineLevel="0" collapsed="false">
      <c r="A77" s="9"/>
      <c r="B77" s="9"/>
      <c r="C77" s="9"/>
      <c r="D77" s="7"/>
      <c r="E77" s="10"/>
      <c r="F77" s="10"/>
      <c r="G77" s="11"/>
      <c r="H77" s="11"/>
      <c r="I77" s="11"/>
      <c r="J77" s="10"/>
    </row>
    <row r="78" customFormat="false" ht="36" hidden="false" customHeight="true" outlineLevel="0" collapsed="false">
      <c r="A78" s="9"/>
      <c r="B78" s="9"/>
      <c r="C78" s="9"/>
      <c r="D78" s="7"/>
      <c r="E78" s="10"/>
      <c r="F78" s="10"/>
      <c r="G78" s="11"/>
      <c r="H78" s="11"/>
      <c r="I78" s="11"/>
      <c r="J78" s="10"/>
    </row>
    <row r="79" customFormat="false" ht="36" hidden="false" customHeight="true" outlineLevel="0" collapsed="false">
      <c r="A79" s="9"/>
      <c r="B79" s="9"/>
      <c r="C79" s="9"/>
      <c r="D79" s="7"/>
      <c r="E79" s="10"/>
      <c r="F79" s="10"/>
      <c r="G79" s="11"/>
      <c r="H79" s="11"/>
      <c r="I79" s="11"/>
      <c r="J79" s="10"/>
    </row>
    <row r="80" customFormat="false" ht="36" hidden="false" customHeight="true" outlineLevel="0" collapsed="false">
      <c r="A80" s="9"/>
      <c r="B80" s="9"/>
      <c r="C80" s="9"/>
      <c r="D80" s="7"/>
      <c r="E80" s="10"/>
      <c r="F80" s="10"/>
      <c r="G80" s="11"/>
      <c r="H80" s="11"/>
      <c r="I80" s="11"/>
      <c r="J80" s="10"/>
    </row>
  </sheetData>
  <mergeCells count="2">
    <mergeCell ref="A1:J1"/>
    <mergeCell ref="A2:J2"/>
  </mergeCells>
  <dataValidations count="3">
    <dataValidation allowBlank="true" errorStyle="stop" operator="between" showDropDown="false" showErrorMessage="false" showInputMessage="false" sqref="C5:C80" type="list">
      <formula1>"Pre-Discovery,Phase 1,Phase 2,Phase 3,Phase 4,Phase 5,Phase 6,Managed Service"</formula1>
      <formula2>0</formula2>
    </dataValidation>
    <dataValidation allowBlank="true" errorStyle="stop" operator="between" showDropDown="false" showErrorMessage="false" showInputMessage="false" sqref="H5:H80" type="list">
      <formula1>"Reversible,Costly to reverse,One-way (irreversible)"</formula1>
      <formula2>0</formula2>
    </dataValidation>
    <dataValidation allowBlank="true" errorStyle="stop" operator="between" showDropDown="false" showErrorMessage="false" showInputMessage="false" sqref="I5:I80" type="list">
      <formula1>"Active,Superseded,Reversed,Under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40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8" min="8" style="1" width="35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1" min="11" style="1" width="22"/>
  </cols>
  <sheetData>
    <row r="1" customFormat="false" ht="24" hidden="false" customHeight="true" outlineLevel="0" collapsed="false">
      <c r="A1" s="2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0" hidden="false" customHeight="true" outlineLevel="0" collapsed="false">
      <c r="A2" s="3" t="s">
        <v>59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4" hidden="false" customHeight="true" outlineLevel="0" collapsed="false">
      <c r="A4" s="5" t="s">
        <v>17</v>
      </c>
      <c r="B4" s="5" t="s">
        <v>18</v>
      </c>
      <c r="C4" s="5" t="s">
        <v>19</v>
      </c>
      <c r="D4" s="8" t="s">
        <v>60</v>
      </c>
      <c r="E4" s="8" t="s">
        <v>61</v>
      </c>
      <c r="F4" s="8" t="s">
        <v>62</v>
      </c>
      <c r="G4" s="13" t="s">
        <v>63</v>
      </c>
      <c r="H4" s="8" t="s">
        <v>64</v>
      </c>
      <c r="I4" s="8" t="s">
        <v>65</v>
      </c>
      <c r="J4" s="8" t="s">
        <v>25</v>
      </c>
      <c r="K4" s="8" t="s">
        <v>66</v>
      </c>
    </row>
    <row r="5" customFormat="false" ht="48" hidden="false" customHeight="true" outlineLevel="0" collapsed="false">
      <c r="A5" s="9" t="s">
        <v>67</v>
      </c>
      <c r="B5" s="9" t="s">
        <v>28</v>
      </c>
      <c r="C5" s="9" t="s">
        <v>29</v>
      </c>
      <c r="D5" s="10" t="s">
        <v>68</v>
      </c>
      <c r="E5" s="11" t="s">
        <v>69</v>
      </c>
      <c r="F5" s="11" t="s">
        <v>70</v>
      </c>
      <c r="G5" s="14" t="str">
        <f aca="false">IF(OR(E5="",F5=""),"",IF(AND(E5="High",F5="High"),"Critical",IF(OR(AND(E5="High",F5="Medium"),AND(E5="Medium",F5="High")),"High",IF(AND(E5="Medium",F5="Medium"),"High",IF(OR(AND(E5="High",F5="Low"),AND(E5="Low",F5="High")),"Medium",IF(OR(AND(E5="Medium",F5="Low"),AND(E5="Low",F5="Medium")),"Medium","Low"))))))</f>
        <v>High</v>
      </c>
      <c r="H5" s="10" t="s">
        <v>71</v>
      </c>
      <c r="I5" s="11" t="s">
        <v>50</v>
      </c>
      <c r="J5" s="11" t="s">
        <v>72</v>
      </c>
      <c r="K5" s="10" t="s">
        <v>73</v>
      </c>
    </row>
    <row r="6" customFormat="false" ht="48" hidden="false" customHeight="true" outlineLevel="0" collapsed="false">
      <c r="A6" s="9" t="s">
        <v>74</v>
      </c>
      <c r="B6" s="9" t="s">
        <v>75</v>
      </c>
      <c r="C6" s="9" t="s">
        <v>76</v>
      </c>
      <c r="D6" s="10" t="s">
        <v>77</v>
      </c>
      <c r="E6" s="11" t="s">
        <v>69</v>
      </c>
      <c r="F6" s="11" t="s">
        <v>69</v>
      </c>
      <c r="G6" s="14" t="str">
        <f aca="false">IF(OR(E6="",F6=""),"",IF(AND(E6="High",F6="High"),"Critical",IF(OR(AND(E6="High",F6="Medium"),AND(E6="Medium",F6="High")),"High",IF(AND(E6="Medium",F6="Medium"),"High",IF(OR(AND(E6="High",F6="Low"),AND(E6="Low",F6="High")),"Medium",IF(OR(AND(E6="Medium",F6="Low"),AND(E6="Low",F6="Medium")),"Medium","Low"))))))</f>
        <v>High</v>
      </c>
      <c r="H6" s="10" t="s">
        <v>78</v>
      </c>
      <c r="I6" s="11" t="s">
        <v>50</v>
      </c>
      <c r="J6" s="11" t="s">
        <v>79</v>
      </c>
      <c r="K6" s="10" t="s">
        <v>80</v>
      </c>
    </row>
    <row r="7" customFormat="false" ht="50.25" hidden="false" customHeight="true" outlineLevel="0" collapsed="false">
      <c r="A7" s="12" t="s">
        <v>81</v>
      </c>
      <c r="B7" s="12" t="s">
        <v>46</v>
      </c>
      <c r="C7" s="12" t="s">
        <v>76</v>
      </c>
      <c r="D7" s="12" t="s">
        <v>82</v>
      </c>
      <c r="E7" s="12" t="s">
        <v>69</v>
      </c>
      <c r="F7" s="12" t="s">
        <v>70</v>
      </c>
      <c r="G7" s="12"/>
      <c r="H7" s="12" t="s">
        <v>83</v>
      </c>
      <c r="I7" s="12" t="s">
        <v>50</v>
      </c>
      <c r="J7" s="12" t="s">
        <v>79</v>
      </c>
      <c r="K7" s="12" t="s">
        <v>84</v>
      </c>
    </row>
    <row r="8" customFormat="false" ht="50.25" hidden="false" customHeight="true" outlineLevel="0" collapsed="false">
      <c r="A8" s="12" t="s">
        <v>85</v>
      </c>
      <c r="B8" s="12" t="s">
        <v>53</v>
      </c>
      <c r="C8" s="12" t="s">
        <v>76</v>
      </c>
      <c r="D8" s="12" t="s">
        <v>86</v>
      </c>
      <c r="E8" s="12" t="s">
        <v>87</v>
      </c>
      <c r="F8" s="12" t="s">
        <v>70</v>
      </c>
      <c r="G8" s="12"/>
      <c r="H8" s="12" t="s">
        <v>88</v>
      </c>
      <c r="I8" s="12" t="s">
        <v>50</v>
      </c>
      <c r="J8" s="12" t="s">
        <v>72</v>
      </c>
      <c r="K8" s="12" t="s">
        <v>89</v>
      </c>
    </row>
    <row r="9" customFormat="false" ht="36" hidden="false" customHeight="true" outlineLevel="0" collapsed="false">
      <c r="A9" s="9"/>
      <c r="B9" s="9"/>
      <c r="C9" s="9"/>
      <c r="D9" s="10"/>
      <c r="E9" s="11"/>
      <c r="F9" s="11"/>
      <c r="G9" s="14" t="str">
        <f aca="false">IF(OR(E9="",F9=""),"",IF(AND(E9="High",F9="High"),"Critical",IF(OR(AND(E9="High",F9="Medium"),AND(E9="Medium",F9="High")),"High",IF(AND(E9="Medium",F9="Medium"),"High",IF(OR(AND(E9="High",F9="Low"),AND(E9="Low",F9="High")),"Medium",IF(OR(AND(E9="Medium",F9="Low"),AND(E9="Low",F9="Medium")),"Medium","Low"))))))</f>
        <v/>
      </c>
      <c r="H9" s="10"/>
      <c r="I9" s="11"/>
      <c r="J9" s="11"/>
      <c r="K9" s="10"/>
    </row>
    <row r="10" customFormat="false" ht="36" hidden="false" customHeight="true" outlineLevel="0" collapsed="false">
      <c r="A10" s="9"/>
      <c r="B10" s="9"/>
      <c r="C10" s="9"/>
      <c r="D10" s="10"/>
      <c r="E10" s="11"/>
      <c r="F10" s="11"/>
      <c r="G10" s="14" t="str">
        <f aca="false">IF(OR(E10="",F10=""),"",IF(AND(E10="High",F10="High"),"Critical",IF(OR(AND(E10="High",F10="Medium"),AND(E10="Medium",F10="High")),"High",IF(AND(E10="Medium",F10="Medium"),"High",IF(OR(AND(E10="High",F10="Low"),AND(E10="Low",F10="High")),"Medium",IF(OR(AND(E10="Medium",F10="Low"),AND(E10="Low",F10="Medium")),"Medium","Low"))))))</f>
        <v/>
      </c>
      <c r="H10" s="10"/>
      <c r="I10" s="11"/>
      <c r="J10" s="11"/>
      <c r="K10" s="10"/>
    </row>
    <row r="11" customFormat="false" ht="36" hidden="false" customHeight="true" outlineLevel="0" collapsed="false">
      <c r="A11" s="9"/>
      <c r="B11" s="9"/>
      <c r="C11" s="9"/>
      <c r="D11" s="10"/>
      <c r="E11" s="11"/>
      <c r="F11" s="11"/>
      <c r="G11" s="14" t="str">
        <f aca="false">IF(OR(E11="",F11=""),"",IF(AND(E11="High",F11="High"),"Critical",IF(OR(AND(E11="High",F11="Medium"),AND(E11="Medium",F11="High")),"High",IF(AND(E11="Medium",F11="Medium"),"High",IF(OR(AND(E11="High",F11="Low"),AND(E11="Low",F11="High")),"Medium",IF(OR(AND(E11="Medium",F11="Low"),AND(E11="Low",F11="Medium")),"Medium","Low"))))))</f>
        <v/>
      </c>
      <c r="H11" s="10"/>
      <c r="I11" s="11"/>
      <c r="J11" s="11"/>
      <c r="K11" s="10"/>
    </row>
    <row r="12" customFormat="false" ht="36" hidden="false" customHeight="true" outlineLevel="0" collapsed="false">
      <c r="A12" s="9"/>
      <c r="B12" s="9"/>
      <c r="C12" s="9"/>
      <c r="D12" s="10"/>
      <c r="E12" s="11"/>
      <c r="F12" s="11"/>
      <c r="G12" s="14" t="str">
        <f aca="false">IF(OR(E12="",F12=""),"",IF(AND(E12="High",F12="High"),"Critical",IF(OR(AND(E12="High",F12="Medium"),AND(E12="Medium",F12="High")),"High",IF(AND(E12="Medium",F12="Medium"),"High",IF(OR(AND(E12="High",F12="Low"),AND(E12="Low",F12="High")),"Medium",IF(OR(AND(E12="Medium",F12="Low"),AND(E12="Low",F12="Medium")),"Medium","Low"))))))</f>
        <v/>
      </c>
      <c r="H12" s="10"/>
      <c r="I12" s="11"/>
      <c r="J12" s="11"/>
      <c r="K12" s="10"/>
    </row>
    <row r="13" customFormat="false" ht="36" hidden="false" customHeight="true" outlineLevel="0" collapsed="false">
      <c r="A13" s="9"/>
      <c r="B13" s="9"/>
      <c r="C13" s="9"/>
      <c r="D13" s="10"/>
      <c r="E13" s="11"/>
      <c r="F13" s="11"/>
      <c r="G13" s="14" t="str">
        <f aca="false">IF(OR(E13="",F13=""),"",IF(AND(E13="High",F13="High"),"Critical",IF(OR(AND(E13="High",F13="Medium"),AND(E13="Medium",F13="High")),"High",IF(AND(E13="Medium",F13="Medium"),"High",IF(OR(AND(E13="High",F13="Low"),AND(E13="Low",F13="High")),"Medium",IF(OR(AND(E13="Medium",F13="Low"),AND(E13="Low",F13="Medium")),"Medium","Low"))))))</f>
        <v/>
      </c>
      <c r="H13" s="10"/>
      <c r="I13" s="11"/>
      <c r="J13" s="11"/>
      <c r="K13" s="10"/>
    </row>
    <row r="14" customFormat="false" ht="36" hidden="false" customHeight="true" outlineLevel="0" collapsed="false">
      <c r="A14" s="9"/>
      <c r="B14" s="9"/>
      <c r="C14" s="9"/>
      <c r="D14" s="10"/>
      <c r="E14" s="11"/>
      <c r="F14" s="11"/>
      <c r="G14" s="14" t="str">
        <f aca="false">IF(OR(E14="",F14=""),"",IF(AND(E14="High",F14="High"),"Critical",IF(OR(AND(E14="High",F14="Medium"),AND(E14="Medium",F14="High")),"High",IF(AND(E14="Medium",F14="Medium"),"High",IF(OR(AND(E14="High",F14="Low"),AND(E14="Low",F14="High")),"Medium",IF(OR(AND(E14="Medium",F14="Low"),AND(E14="Low",F14="Medium")),"Medium","Low"))))))</f>
        <v/>
      </c>
      <c r="H14" s="10"/>
      <c r="I14" s="11"/>
      <c r="J14" s="11"/>
      <c r="K14" s="10"/>
    </row>
    <row r="15" customFormat="false" ht="36" hidden="false" customHeight="true" outlineLevel="0" collapsed="false">
      <c r="A15" s="9"/>
      <c r="B15" s="9"/>
      <c r="C15" s="9"/>
      <c r="D15" s="10"/>
      <c r="E15" s="11"/>
      <c r="F15" s="11"/>
      <c r="G15" s="14" t="str">
        <f aca="false">IF(OR(E15="",F15=""),"",IF(AND(E15="High",F15="High"),"Critical",IF(OR(AND(E15="High",F15="Medium"),AND(E15="Medium",F15="High")),"High",IF(AND(E15="Medium",F15="Medium"),"High",IF(OR(AND(E15="High",F15="Low"),AND(E15="Low",F15="High")),"Medium",IF(OR(AND(E15="Medium",F15="Low"),AND(E15="Low",F15="Medium")),"Medium","Low"))))))</f>
        <v/>
      </c>
      <c r="H15" s="10"/>
      <c r="I15" s="11"/>
      <c r="J15" s="11"/>
      <c r="K15" s="10"/>
    </row>
    <row r="16" customFormat="false" ht="36" hidden="false" customHeight="true" outlineLevel="0" collapsed="false">
      <c r="A16" s="9"/>
      <c r="B16" s="9"/>
      <c r="C16" s="9"/>
      <c r="D16" s="10"/>
      <c r="E16" s="11"/>
      <c r="F16" s="11"/>
      <c r="G16" s="14" t="str">
        <f aca="false">IF(OR(E16="",F16=""),"",IF(AND(E16="High",F16="High"),"Critical",IF(OR(AND(E16="High",F16="Medium"),AND(E16="Medium",F16="High")),"High",IF(AND(E16="Medium",F16="Medium"),"High",IF(OR(AND(E16="High",F16="Low"),AND(E16="Low",F16="High")),"Medium",IF(OR(AND(E16="Medium",F16="Low"),AND(E16="Low",F16="Medium")),"Medium","Low"))))))</f>
        <v/>
      </c>
      <c r="H16" s="10"/>
      <c r="I16" s="11"/>
      <c r="J16" s="11"/>
      <c r="K16" s="10"/>
    </row>
    <row r="17" customFormat="false" ht="36" hidden="false" customHeight="true" outlineLevel="0" collapsed="false">
      <c r="A17" s="9"/>
      <c r="B17" s="9"/>
      <c r="C17" s="9"/>
      <c r="D17" s="10"/>
      <c r="E17" s="11"/>
      <c r="F17" s="11"/>
      <c r="G17" s="14" t="str">
        <f aca="false">IF(OR(E17="",F17=""),"",IF(AND(E17="High",F17="High"),"Critical",IF(OR(AND(E17="High",F17="Medium"),AND(E17="Medium",F17="High")),"High",IF(AND(E17="Medium",F17="Medium"),"High",IF(OR(AND(E17="High",F17="Low"),AND(E17="Low",F17="High")),"Medium",IF(OR(AND(E17="Medium",F17="Low"),AND(E17="Low",F17="Medium")),"Medium","Low"))))))</f>
        <v/>
      </c>
      <c r="H17" s="10"/>
      <c r="I17" s="11"/>
      <c r="J17" s="11"/>
      <c r="K17" s="10"/>
    </row>
    <row r="18" customFormat="false" ht="36" hidden="false" customHeight="true" outlineLevel="0" collapsed="false">
      <c r="A18" s="9"/>
      <c r="B18" s="9"/>
      <c r="C18" s="9"/>
      <c r="D18" s="10"/>
      <c r="E18" s="11"/>
      <c r="F18" s="11"/>
      <c r="G18" s="14" t="str">
        <f aca="false">IF(OR(E18="",F18=""),"",IF(AND(E18="High",F18="High"),"Critical",IF(OR(AND(E18="High",F18="Medium"),AND(E18="Medium",F18="High")),"High",IF(AND(E18="Medium",F18="Medium"),"High",IF(OR(AND(E18="High",F18="Low"),AND(E18="Low",F18="High")),"Medium",IF(OR(AND(E18="Medium",F18="Low"),AND(E18="Low",F18="Medium")),"Medium","Low"))))))</f>
        <v/>
      </c>
      <c r="H18" s="10"/>
      <c r="I18" s="11"/>
      <c r="J18" s="11"/>
      <c r="K18" s="10"/>
    </row>
    <row r="19" customFormat="false" ht="36" hidden="false" customHeight="true" outlineLevel="0" collapsed="false">
      <c r="A19" s="9"/>
      <c r="B19" s="9"/>
      <c r="C19" s="9"/>
      <c r="D19" s="10"/>
      <c r="E19" s="11"/>
      <c r="F19" s="11"/>
      <c r="G19" s="14" t="str">
        <f aca="false">IF(OR(E19="",F19=""),"",IF(AND(E19="High",F19="High"),"Critical",IF(OR(AND(E19="High",F19="Medium"),AND(E19="Medium",F19="High")),"High",IF(AND(E19="Medium",F19="Medium"),"High",IF(OR(AND(E19="High",F19="Low"),AND(E19="Low",F19="High")),"Medium",IF(OR(AND(E19="Medium",F19="Low"),AND(E19="Low",F19="Medium")),"Medium","Low"))))))</f>
        <v/>
      </c>
      <c r="H19" s="10"/>
      <c r="I19" s="11"/>
      <c r="J19" s="11"/>
      <c r="K19" s="10"/>
    </row>
    <row r="20" customFormat="false" ht="36" hidden="false" customHeight="true" outlineLevel="0" collapsed="false">
      <c r="A20" s="9"/>
      <c r="B20" s="9"/>
      <c r="C20" s="9"/>
      <c r="D20" s="10"/>
      <c r="E20" s="11"/>
      <c r="F20" s="11"/>
      <c r="G20" s="14" t="str">
        <f aca="false">IF(OR(E20="",F20=""),"",IF(AND(E20="High",F20="High"),"Critical",IF(OR(AND(E20="High",F20="Medium"),AND(E20="Medium",F20="High")),"High",IF(AND(E20="Medium",F20="Medium"),"High",IF(OR(AND(E20="High",F20="Low"),AND(E20="Low",F20="High")),"Medium",IF(OR(AND(E20="Medium",F20="Low"),AND(E20="Low",F20="Medium")),"Medium","Low"))))))</f>
        <v/>
      </c>
      <c r="H20" s="10"/>
      <c r="I20" s="11"/>
      <c r="J20" s="11"/>
      <c r="K20" s="10"/>
    </row>
    <row r="21" customFormat="false" ht="36" hidden="false" customHeight="true" outlineLevel="0" collapsed="false">
      <c r="A21" s="9"/>
      <c r="B21" s="9"/>
      <c r="C21" s="9"/>
      <c r="D21" s="10"/>
      <c r="E21" s="11"/>
      <c r="F21" s="11"/>
      <c r="G21" s="14" t="str">
        <f aca="false">IF(OR(E21="",F21=""),"",IF(AND(E21="High",F21="High"),"Critical",IF(OR(AND(E21="High",F21="Medium"),AND(E21="Medium",F21="High")),"High",IF(AND(E21="Medium",F21="Medium"),"High",IF(OR(AND(E21="High",F21="Low"),AND(E21="Low",F21="High")),"Medium",IF(OR(AND(E21="Medium",F21="Low"),AND(E21="Low",F21="Medium")),"Medium","Low"))))))</f>
        <v/>
      </c>
      <c r="H21" s="10"/>
      <c r="I21" s="11"/>
      <c r="J21" s="11"/>
      <c r="K21" s="10"/>
    </row>
    <row r="22" customFormat="false" ht="36" hidden="false" customHeight="true" outlineLevel="0" collapsed="false">
      <c r="A22" s="9"/>
      <c r="B22" s="9"/>
      <c r="C22" s="9"/>
      <c r="D22" s="10"/>
      <c r="E22" s="11"/>
      <c r="F22" s="11"/>
      <c r="G22" s="14" t="str">
        <f aca="false">IF(OR(E22="",F22=""),"",IF(AND(E22="High",F22="High"),"Critical",IF(OR(AND(E22="High",F22="Medium"),AND(E22="Medium",F22="High")),"High",IF(AND(E22="Medium",F22="Medium"),"High",IF(OR(AND(E22="High",F22="Low"),AND(E22="Low",F22="High")),"Medium",IF(OR(AND(E22="Medium",F22="Low"),AND(E22="Low",F22="Medium")),"Medium","Low"))))))</f>
        <v/>
      </c>
      <c r="H22" s="10"/>
      <c r="I22" s="11"/>
      <c r="J22" s="11"/>
      <c r="K22" s="10"/>
    </row>
    <row r="23" customFormat="false" ht="36" hidden="false" customHeight="true" outlineLevel="0" collapsed="false">
      <c r="A23" s="9"/>
      <c r="B23" s="9"/>
      <c r="C23" s="9"/>
      <c r="D23" s="10"/>
      <c r="E23" s="11"/>
      <c r="F23" s="11"/>
      <c r="G23" s="14" t="str">
        <f aca="false">IF(OR(E23="",F23=""),"",IF(AND(E23="High",F23="High"),"Critical",IF(OR(AND(E23="High",F23="Medium"),AND(E23="Medium",F23="High")),"High",IF(AND(E23="Medium",F23="Medium"),"High",IF(OR(AND(E23="High",F23="Low"),AND(E23="Low",F23="High")),"Medium",IF(OR(AND(E23="Medium",F23="Low"),AND(E23="Low",F23="Medium")),"Medium","Low"))))))</f>
        <v/>
      </c>
      <c r="H23" s="10"/>
      <c r="I23" s="11"/>
      <c r="J23" s="11"/>
      <c r="K23" s="10"/>
    </row>
    <row r="24" customFormat="false" ht="36" hidden="false" customHeight="true" outlineLevel="0" collapsed="false">
      <c r="A24" s="9"/>
      <c r="B24" s="9"/>
      <c r="C24" s="9"/>
      <c r="D24" s="10"/>
      <c r="E24" s="11"/>
      <c r="F24" s="11"/>
      <c r="G24" s="14" t="str">
        <f aca="false">IF(OR(E24="",F24=""),"",IF(AND(E24="High",F24="High"),"Critical",IF(OR(AND(E24="High",F24="Medium"),AND(E24="Medium",F24="High")),"High",IF(AND(E24="Medium",F24="Medium"),"High",IF(OR(AND(E24="High",F24="Low"),AND(E24="Low",F24="High")),"Medium",IF(OR(AND(E24="Medium",F24="Low"),AND(E24="Low",F24="Medium")),"Medium","Low"))))))</f>
        <v/>
      </c>
      <c r="H24" s="10"/>
      <c r="I24" s="11"/>
      <c r="J24" s="11"/>
      <c r="K24" s="10"/>
    </row>
    <row r="25" customFormat="false" ht="36" hidden="false" customHeight="true" outlineLevel="0" collapsed="false">
      <c r="A25" s="9"/>
      <c r="B25" s="9"/>
      <c r="C25" s="9"/>
      <c r="D25" s="10"/>
      <c r="E25" s="11"/>
      <c r="F25" s="11"/>
      <c r="G25" s="14" t="str">
        <f aca="false">IF(OR(E25="",F25=""),"",IF(AND(E25="High",F25="High"),"Critical",IF(OR(AND(E25="High",F25="Medium"),AND(E25="Medium",F25="High")),"High",IF(AND(E25="Medium",F25="Medium"),"High",IF(OR(AND(E25="High",F25="Low"),AND(E25="Low",F25="High")),"Medium",IF(OR(AND(E25="Medium",F25="Low"),AND(E25="Low",F25="Medium")),"Medium","Low"))))))</f>
        <v/>
      </c>
      <c r="H25" s="10"/>
      <c r="I25" s="11"/>
      <c r="J25" s="11"/>
      <c r="K25" s="10"/>
    </row>
    <row r="26" customFormat="false" ht="36" hidden="false" customHeight="true" outlineLevel="0" collapsed="false">
      <c r="A26" s="9"/>
      <c r="B26" s="9"/>
      <c r="C26" s="9"/>
      <c r="D26" s="10"/>
      <c r="E26" s="11"/>
      <c r="F26" s="11"/>
      <c r="G26" s="14" t="str">
        <f aca="false">IF(OR(E26="",F26=""),"",IF(AND(E26="High",F26="High"),"Critical",IF(OR(AND(E26="High",F26="Medium"),AND(E26="Medium",F26="High")),"High",IF(AND(E26="Medium",F26="Medium"),"High",IF(OR(AND(E26="High",F26="Low"),AND(E26="Low",F26="High")),"Medium",IF(OR(AND(E26="Medium",F26="Low"),AND(E26="Low",F26="Medium")),"Medium","Low"))))))</f>
        <v/>
      </c>
      <c r="H26" s="10"/>
      <c r="I26" s="11"/>
      <c r="J26" s="11"/>
      <c r="K26" s="10"/>
    </row>
    <row r="27" customFormat="false" ht="36" hidden="false" customHeight="true" outlineLevel="0" collapsed="false">
      <c r="A27" s="9"/>
      <c r="B27" s="9"/>
      <c r="C27" s="9"/>
      <c r="D27" s="10"/>
      <c r="E27" s="11"/>
      <c r="F27" s="11"/>
      <c r="G27" s="14" t="str">
        <f aca="false">IF(OR(E27="",F27=""),"",IF(AND(E27="High",F27="High"),"Critical",IF(OR(AND(E27="High",F27="Medium"),AND(E27="Medium",F27="High")),"High",IF(AND(E27="Medium",F27="Medium"),"High",IF(OR(AND(E27="High",F27="Low"),AND(E27="Low",F27="High")),"Medium",IF(OR(AND(E27="Medium",F27="Low"),AND(E27="Low",F27="Medium")),"Medium","Low"))))))</f>
        <v/>
      </c>
      <c r="H27" s="10"/>
      <c r="I27" s="11"/>
      <c r="J27" s="11"/>
      <c r="K27" s="10"/>
    </row>
    <row r="28" customFormat="false" ht="36" hidden="false" customHeight="true" outlineLevel="0" collapsed="false">
      <c r="A28" s="9"/>
      <c r="B28" s="9"/>
      <c r="C28" s="9"/>
      <c r="D28" s="10"/>
      <c r="E28" s="11"/>
      <c r="F28" s="11"/>
      <c r="G28" s="14" t="str">
        <f aca="false">IF(OR(E28="",F28=""),"",IF(AND(E28="High",F28="High"),"Critical",IF(OR(AND(E28="High",F28="Medium"),AND(E28="Medium",F28="High")),"High",IF(AND(E28="Medium",F28="Medium"),"High",IF(OR(AND(E28="High",F28="Low"),AND(E28="Low",F28="High")),"Medium",IF(OR(AND(E28="Medium",F28="Low"),AND(E28="Low",F28="Medium")),"Medium","Low"))))))</f>
        <v/>
      </c>
      <c r="H28" s="10"/>
      <c r="I28" s="11"/>
      <c r="J28" s="11"/>
      <c r="K28" s="10"/>
    </row>
    <row r="29" customFormat="false" ht="36" hidden="false" customHeight="true" outlineLevel="0" collapsed="false">
      <c r="A29" s="9"/>
      <c r="B29" s="9"/>
      <c r="C29" s="9"/>
      <c r="D29" s="10"/>
      <c r="E29" s="11"/>
      <c r="F29" s="11"/>
      <c r="G29" s="14" t="str">
        <f aca="false">IF(OR(E29="",F29=""),"",IF(AND(E29="High",F29="High"),"Critical",IF(OR(AND(E29="High",F29="Medium"),AND(E29="Medium",F29="High")),"High",IF(AND(E29="Medium",F29="Medium"),"High",IF(OR(AND(E29="High",F29="Low"),AND(E29="Low",F29="High")),"Medium",IF(OR(AND(E29="Medium",F29="Low"),AND(E29="Low",F29="Medium")),"Medium","Low"))))))</f>
        <v/>
      </c>
      <c r="H29" s="10"/>
      <c r="I29" s="11"/>
      <c r="J29" s="11"/>
      <c r="K29" s="10"/>
    </row>
    <row r="30" customFormat="false" ht="36" hidden="false" customHeight="true" outlineLevel="0" collapsed="false">
      <c r="A30" s="9"/>
      <c r="B30" s="9"/>
      <c r="C30" s="9"/>
      <c r="D30" s="10"/>
      <c r="E30" s="11"/>
      <c r="F30" s="11"/>
      <c r="G30" s="14" t="str">
        <f aca="false">IF(OR(E30="",F30=""),"",IF(AND(E30="High",F30="High"),"Critical",IF(OR(AND(E30="High",F30="Medium"),AND(E30="Medium",F30="High")),"High",IF(AND(E30="Medium",F30="Medium"),"High",IF(OR(AND(E30="High",F30="Low"),AND(E30="Low",F30="High")),"Medium",IF(OR(AND(E30="Medium",F30="Low"),AND(E30="Low",F30="Medium")),"Medium","Low"))))))</f>
        <v/>
      </c>
      <c r="H30" s="10"/>
      <c r="I30" s="11"/>
      <c r="J30" s="11"/>
      <c r="K30" s="10"/>
    </row>
    <row r="31" customFormat="false" ht="36" hidden="false" customHeight="true" outlineLevel="0" collapsed="false">
      <c r="A31" s="9"/>
      <c r="B31" s="9"/>
      <c r="C31" s="9"/>
      <c r="D31" s="10"/>
      <c r="E31" s="11"/>
      <c r="F31" s="11"/>
      <c r="G31" s="14" t="str">
        <f aca="false">IF(OR(E31="",F31=""),"",IF(AND(E31="High",F31="High"),"Critical",IF(OR(AND(E31="High",F31="Medium"),AND(E31="Medium",F31="High")),"High",IF(AND(E31="Medium",F31="Medium"),"High",IF(OR(AND(E31="High",F31="Low"),AND(E31="Low",F31="High")),"Medium",IF(OR(AND(E31="Medium",F31="Low"),AND(E31="Low",F31="Medium")),"Medium","Low"))))))</f>
        <v/>
      </c>
      <c r="H31" s="10"/>
      <c r="I31" s="11"/>
      <c r="J31" s="11"/>
      <c r="K31" s="10"/>
    </row>
    <row r="32" customFormat="false" ht="36" hidden="false" customHeight="true" outlineLevel="0" collapsed="false">
      <c r="A32" s="9"/>
      <c r="B32" s="9"/>
      <c r="C32" s="9"/>
      <c r="D32" s="10"/>
      <c r="E32" s="11"/>
      <c r="F32" s="11"/>
      <c r="G32" s="14" t="str">
        <f aca="false">IF(OR(E32="",F32=""),"",IF(AND(E32="High",F32="High"),"Critical",IF(OR(AND(E32="High",F32="Medium"),AND(E32="Medium",F32="High")),"High",IF(AND(E32="Medium",F32="Medium"),"High",IF(OR(AND(E32="High",F32="Low"),AND(E32="Low",F32="High")),"Medium",IF(OR(AND(E32="Medium",F32="Low"),AND(E32="Low",F32="Medium")),"Medium","Low"))))))</f>
        <v/>
      </c>
      <c r="H32" s="10"/>
      <c r="I32" s="11"/>
      <c r="J32" s="11"/>
      <c r="K32" s="10"/>
    </row>
    <row r="33" customFormat="false" ht="36" hidden="false" customHeight="true" outlineLevel="0" collapsed="false">
      <c r="A33" s="9"/>
      <c r="B33" s="9"/>
      <c r="C33" s="9"/>
      <c r="D33" s="10"/>
      <c r="E33" s="11"/>
      <c r="F33" s="11"/>
      <c r="G33" s="14" t="str">
        <f aca="false">IF(OR(E33="",F33=""),"",IF(AND(E33="High",F33="High"),"Critical",IF(OR(AND(E33="High",F33="Medium"),AND(E33="Medium",F33="High")),"High",IF(AND(E33="Medium",F33="Medium"),"High",IF(OR(AND(E33="High",F33="Low"),AND(E33="Low",F33="High")),"Medium",IF(OR(AND(E33="Medium",F33="Low"),AND(E33="Low",F33="Medium")),"Medium","Low"))))))</f>
        <v/>
      </c>
      <c r="H33" s="10"/>
      <c r="I33" s="11"/>
      <c r="J33" s="11"/>
      <c r="K33" s="10"/>
    </row>
    <row r="34" customFormat="false" ht="36" hidden="false" customHeight="true" outlineLevel="0" collapsed="false">
      <c r="A34" s="9"/>
      <c r="B34" s="9"/>
      <c r="C34" s="9"/>
      <c r="D34" s="10"/>
      <c r="E34" s="11"/>
      <c r="F34" s="11"/>
      <c r="G34" s="14" t="str">
        <f aca="false">IF(OR(E34="",F34=""),"",IF(AND(E34="High",F34="High"),"Critical",IF(OR(AND(E34="High",F34="Medium"),AND(E34="Medium",F34="High")),"High",IF(AND(E34="Medium",F34="Medium"),"High",IF(OR(AND(E34="High",F34="Low"),AND(E34="Low",F34="High")),"Medium",IF(OR(AND(E34="Medium",F34="Low"),AND(E34="Low",F34="Medium")),"Medium","Low"))))))</f>
        <v/>
      </c>
      <c r="H34" s="10"/>
      <c r="I34" s="11"/>
      <c r="J34" s="11"/>
      <c r="K34" s="10"/>
    </row>
    <row r="35" customFormat="false" ht="36" hidden="false" customHeight="true" outlineLevel="0" collapsed="false">
      <c r="A35" s="9"/>
      <c r="B35" s="9"/>
      <c r="C35" s="9"/>
      <c r="D35" s="10"/>
      <c r="E35" s="11"/>
      <c r="F35" s="11"/>
      <c r="G35" s="14" t="str">
        <f aca="false">IF(OR(E35="",F35=""),"",IF(AND(E35="High",F35="High"),"Critical",IF(OR(AND(E35="High",F35="Medium"),AND(E35="Medium",F35="High")),"High",IF(AND(E35="Medium",F35="Medium"),"High",IF(OR(AND(E35="High",F35="Low"),AND(E35="Low",F35="High")),"Medium",IF(OR(AND(E35="Medium",F35="Low"),AND(E35="Low",F35="Medium")),"Medium","Low"))))))</f>
        <v/>
      </c>
      <c r="H35" s="10"/>
      <c r="I35" s="11"/>
      <c r="J35" s="11"/>
      <c r="K35" s="10"/>
    </row>
    <row r="36" customFormat="false" ht="36" hidden="false" customHeight="true" outlineLevel="0" collapsed="false">
      <c r="A36" s="9"/>
      <c r="B36" s="9"/>
      <c r="C36" s="9"/>
      <c r="D36" s="10"/>
      <c r="E36" s="11"/>
      <c r="F36" s="11"/>
      <c r="G36" s="14" t="str">
        <f aca="false">IF(OR(E36="",F36=""),"",IF(AND(E36="High",F36="High"),"Critical",IF(OR(AND(E36="High",F36="Medium"),AND(E36="Medium",F36="High")),"High",IF(AND(E36="Medium",F36="Medium"),"High",IF(OR(AND(E36="High",F36="Low"),AND(E36="Low",F36="High")),"Medium",IF(OR(AND(E36="Medium",F36="Low"),AND(E36="Low",F36="Medium")),"Medium","Low"))))))</f>
        <v/>
      </c>
      <c r="H36" s="10"/>
      <c r="I36" s="11"/>
      <c r="J36" s="11"/>
      <c r="K36" s="10"/>
    </row>
    <row r="37" customFormat="false" ht="36" hidden="false" customHeight="true" outlineLevel="0" collapsed="false">
      <c r="A37" s="9"/>
      <c r="B37" s="9"/>
      <c r="C37" s="9"/>
      <c r="D37" s="10"/>
      <c r="E37" s="11"/>
      <c r="F37" s="11"/>
      <c r="G37" s="14" t="str">
        <f aca="false">IF(OR(E37="",F37=""),"",IF(AND(E37="High",F37="High"),"Critical",IF(OR(AND(E37="High",F37="Medium"),AND(E37="Medium",F37="High")),"High",IF(AND(E37="Medium",F37="Medium"),"High",IF(OR(AND(E37="High",F37="Low"),AND(E37="Low",F37="High")),"Medium",IF(OR(AND(E37="Medium",F37="Low"),AND(E37="Low",F37="Medium")),"Medium","Low"))))))</f>
        <v/>
      </c>
      <c r="H37" s="10"/>
      <c r="I37" s="11"/>
      <c r="J37" s="11"/>
      <c r="K37" s="10"/>
    </row>
    <row r="38" customFormat="false" ht="36" hidden="false" customHeight="true" outlineLevel="0" collapsed="false">
      <c r="A38" s="9"/>
      <c r="B38" s="9"/>
      <c r="C38" s="9"/>
      <c r="D38" s="10"/>
      <c r="E38" s="11"/>
      <c r="F38" s="11"/>
      <c r="G38" s="14" t="str">
        <f aca="false">IF(OR(E38="",F38=""),"",IF(AND(E38="High",F38="High"),"Critical",IF(OR(AND(E38="High",F38="Medium"),AND(E38="Medium",F38="High")),"High",IF(AND(E38="Medium",F38="Medium"),"High",IF(OR(AND(E38="High",F38="Low"),AND(E38="Low",F38="High")),"Medium",IF(OR(AND(E38="Medium",F38="Low"),AND(E38="Low",F38="Medium")),"Medium","Low"))))))</f>
        <v/>
      </c>
      <c r="H38" s="10"/>
      <c r="I38" s="11"/>
      <c r="J38" s="11"/>
      <c r="K38" s="10"/>
    </row>
    <row r="39" customFormat="false" ht="36" hidden="false" customHeight="true" outlineLevel="0" collapsed="false">
      <c r="A39" s="9"/>
      <c r="B39" s="9"/>
      <c r="C39" s="9"/>
      <c r="D39" s="10"/>
      <c r="E39" s="11"/>
      <c r="F39" s="11"/>
      <c r="G39" s="14" t="str">
        <f aca="false">IF(OR(E39="",F39=""),"",IF(AND(E39="High",F39="High"),"Critical",IF(OR(AND(E39="High",F39="Medium"),AND(E39="Medium",F39="High")),"High",IF(AND(E39="Medium",F39="Medium"),"High",IF(OR(AND(E39="High",F39="Low"),AND(E39="Low",F39="High")),"Medium",IF(OR(AND(E39="Medium",F39="Low"),AND(E39="Low",F39="Medium")),"Medium","Low"))))))</f>
        <v/>
      </c>
      <c r="H39" s="10"/>
      <c r="I39" s="11"/>
      <c r="J39" s="11"/>
      <c r="K39" s="10"/>
    </row>
    <row r="40" customFormat="false" ht="36" hidden="false" customHeight="true" outlineLevel="0" collapsed="false">
      <c r="A40" s="9"/>
      <c r="B40" s="9"/>
      <c r="C40" s="9"/>
      <c r="D40" s="10"/>
      <c r="E40" s="11"/>
      <c r="F40" s="11"/>
      <c r="G40" s="14" t="str">
        <f aca="false">IF(OR(E40="",F40=""),"",IF(AND(E40="High",F40="High"),"Critical",IF(OR(AND(E40="High",F40="Medium"),AND(E40="Medium",F40="High")),"High",IF(AND(E40="Medium",F40="Medium"),"High",IF(OR(AND(E40="High",F40="Low"),AND(E40="Low",F40="High")),"Medium",IF(OR(AND(E40="Medium",F40="Low"),AND(E40="Low",F40="Medium")),"Medium","Low"))))))</f>
        <v/>
      </c>
      <c r="H40" s="10"/>
      <c r="I40" s="11"/>
      <c r="J40" s="11"/>
      <c r="K40" s="10"/>
    </row>
    <row r="41" customFormat="false" ht="36" hidden="false" customHeight="true" outlineLevel="0" collapsed="false">
      <c r="A41" s="9"/>
      <c r="B41" s="9"/>
      <c r="C41" s="9"/>
      <c r="D41" s="10"/>
      <c r="E41" s="11"/>
      <c r="F41" s="11"/>
      <c r="G41" s="14" t="str">
        <f aca="false">IF(OR(E41="",F41=""),"",IF(AND(E41="High",F41="High"),"Critical",IF(OR(AND(E41="High",F41="Medium"),AND(E41="Medium",F41="High")),"High",IF(AND(E41="Medium",F41="Medium"),"High",IF(OR(AND(E41="High",F41="Low"),AND(E41="Low",F41="High")),"Medium",IF(OR(AND(E41="Medium",F41="Low"),AND(E41="Low",F41="Medium")),"Medium","Low"))))))</f>
        <v/>
      </c>
      <c r="H41" s="10"/>
      <c r="I41" s="11"/>
      <c r="J41" s="11"/>
      <c r="K41" s="10"/>
    </row>
    <row r="42" customFormat="false" ht="36" hidden="false" customHeight="true" outlineLevel="0" collapsed="false">
      <c r="A42" s="9"/>
      <c r="B42" s="9"/>
      <c r="C42" s="9"/>
      <c r="D42" s="10"/>
      <c r="E42" s="11"/>
      <c r="F42" s="11"/>
      <c r="G42" s="14" t="str">
        <f aca="false">IF(OR(E42="",F42=""),"",IF(AND(E42="High",F42="High"),"Critical",IF(OR(AND(E42="High",F42="Medium"),AND(E42="Medium",F42="High")),"High",IF(AND(E42="Medium",F42="Medium"),"High",IF(OR(AND(E42="High",F42="Low"),AND(E42="Low",F42="High")),"Medium",IF(OR(AND(E42="Medium",F42="Low"),AND(E42="Low",F42="Medium")),"Medium","Low"))))))</f>
        <v/>
      </c>
      <c r="H42" s="10"/>
      <c r="I42" s="11"/>
      <c r="J42" s="11"/>
      <c r="K42" s="10"/>
    </row>
    <row r="43" customFormat="false" ht="36" hidden="false" customHeight="true" outlineLevel="0" collapsed="false">
      <c r="A43" s="9"/>
      <c r="B43" s="9"/>
      <c r="C43" s="9"/>
      <c r="D43" s="10"/>
      <c r="E43" s="11"/>
      <c r="F43" s="11"/>
      <c r="G43" s="14" t="str">
        <f aca="false">IF(OR(E43="",F43=""),"",IF(AND(E43="High",F43="High"),"Critical",IF(OR(AND(E43="High",F43="Medium"),AND(E43="Medium",F43="High")),"High",IF(AND(E43="Medium",F43="Medium"),"High",IF(OR(AND(E43="High",F43="Low"),AND(E43="Low",F43="High")),"Medium",IF(OR(AND(E43="Medium",F43="Low"),AND(E43="Low",F43="Medium")),"Medium","Low"))))))</f>
        <v/>
      </c>
      <c r="H43" s="10"/>
      <c r="I43" s="11"/>
      <c r="J43" s="11"/>
      <c r="K43" s="10"/>
    </row>
    <row r="44" customFormat="false" ht="36" hidden="false" customHeight="true" outlineLevel="0" collapsed="false">
      <c r="A44" s="9"/>
      <c r="B44" s="9"/>
      <c r="C44" s="9"/>
      <c r="D44" s="10"/>
      <c r="E44" s="11"/>
      <c r="F44" s="11"/>
      <c r="G44" s="14" t="str">
        <f aca="false">IF(OR(E44="",F44=""),"",IF(AND(E44="High",F44="High"),"Critical",IF(OR(AND(E44="High",F44="Medium"),AND(E44="Medium",F44="High")),"High",IF(AND(E44="Medium",F44="Medium"),"High",IF(OR(AND(E44="High",F44="Low"),AND(E44="Low",F44="High")),"Medium",IF(OR(AND(E44="Medium",F44="Low"),AND(E44="Low",F44="Medium")),"Medium","Low"))))))</f>
        <v/>
      </c>
      <c r="H44" s="10"/>
      <c r="I44" s="11"/>
      <c r="J44" s="11"/>
      <c r="K44" s="10"/>
    </row>
    <row r="45" customFormat="false" ht="36" hidden="false" customHeight="true" outlineLevel="0" collapsed="false">
      <c r="A45" s="9"/>
      <c r="B45" s="9"/>
      <c r="C45" s="9"/>
      <c r="D45" s="10"/>
      <c r="E45" s="11"/>
      <c r="F45" s="11"/>
      <c r="G45" s="14" t="str">
        <f aca="false">IF(OR(E45="",F45=""),"",IF(AND(E45="High",F45="High"),"Critical",IF(OR(AND(E45="High",F45="Medium"),AND(E45="Medium",F45="High")),"High",IF(AND(E45="Medium",F45="Medium"),"High",IF(OR(AND(E45="High",F45="Low"),AND(E45="Low",F45="High")),"Medium",IF(OR(AND(E45="Medium",F45="Low"),AND(E45="Low",F45="Medium")),"Medium","Low"))))))</f>
        <v/>
      </c>
      <c r="H45" s="10"/>
      <c r="I45" s="11"/>
      <c r="J45" s="11"/>
      <c r="K45" s="10"/>
    </row>
    <row r="46" customFormat="false" ht="36" hidden="false" customHeight="true" outlineLevel="0" collapsed="false">
      <c r="A46" s="9"/>
      <c r="B46" s="9"/>
      <c r="C46" s="9"/>
      <c r="D46" s="10"/>
      <c r="E46" s="11"/>
      <c r="F46" s="11"/>
      <c r="G46" s="14" t="str">
        <f aca="false">IF(OR(E46="",F46=""),"",IF(AND(E46="High",F46="High"),"Critical",IF(OR(AND(E46="High",F46="Medium"),AND(E46="Medium",F46="High")),"High",IF(AND(E46="Medium",F46="Medium"),"High",IF(OR(AND(E46="High",F46="Low"),AND(E46="Low",F46="High")),"Medium",IF(OR(AND(E46="Medium",F46="Low"),AND(E46="Low",F46="Medium")),"Medium","Low"))))))</f>
        <v/>
      </c>
      <c r="H46" s="10"/>
      <c r="I46" s="11"/>
      <c r="J46" s="11"/>
      <c r="K46" s="10"/>
    </row>
    <row r="47" customFormat="false" ht="36" hidden="false" customHeight="true" outlineLevel="0" collapsed="false">
      <c r="A47" s="9"/>
      <c r="B47" s="9"/>
      <c r="C47" s="9"/>
      <c r="D47" s="10"/>
      <c r="E47" s="11"/>
      <c r="F47" s="11"/>
      <c r="G47" s="14" t="str">
        <f aca="false">IF(OR(E47="",F47=""),"",IF(AND(E47="High",F47="High"),"Critical",IF(OR(AND(E47="High",F47="Medium"),AND(E47="Medium",F47="High")),"High",IF(AND(E47="Medium",F47="Medium"),"High",IF(OR(AND(E47="High",F47="Low"),AND(E47="Low",F47="High")),"Medium",IF(OR(AND(E47="Medium",F47="Low"),AND(E47="Low",F47="Medium")),"Medium","Low"))))))</f>
        <v/>
      </c>
      <c r="H47" s="10"/>
      <c r="I47" s="11"/>
      <c r="J47" s="11"/>
      <c r="K47" s="10"/>
    </row>
    <row r="48" customFormat="false" ht="36" hidden="false" customHeight="true" outlineLevel="0" collapsed="false">
      <c r="A48" s="9"/>
      <c r="B48" s="9"/>
      <c r="C48" s="9"/>
      <c r="D48" s="10"/>
      <c r="E48" s="11"/>
      <c r="F48" s="11"/>
      <c r="G48" s="14" t="str">
        <f aca="false">IF(OR(E48="",F48=""),"",IF(AND(E48="High",F48="High"),"Critical",IF(OR(AND(E48="High",F48="Medium"),AND(E48="Medium",F48="High")),"High",IF(AND(E48="Medium",F48="Medium"),"High",IF(OR(AND(E48="High",F48="Low"),AND(E48="Low",F48="High")),"Medium",IF(OR(AND(E48="Medium",F48="Low"),AND(E48="Low",F48="Medium")),"Medium","Low"))))))</f>
        <v/>
      </c>
      <c r="H48" s="10"/>
      <c r="I48" s="11"/>
      <c r="J48" s="11"/>
      <c r="K48" s="10"/>
    </row>
    <row r="49" customFormat="false" ht="36" hidden="false" customHeight="true" outlineLevel="0" collapsed="false">
      <c r="A49" s="9"/>
      <c r="B49" s="9"/>
      <c r="C49" s="9"/>
      <c r="D49" s="10"/>
      <c r="E49" s="11"/>
      <c r="F49" s="11"/>
      <c r="G49" s="14" t="str">
        <f aca="false">IF(OR(E49="",F49=""),"",IF(AND(E49="High",F49="High"),"Critical",IF(OR(AND(E49="High",F49="Medium"),AND(E49="Medium",F49="High")),"High",IF(AND(E49="Medium",F49="Medium"),"High",IF(OR(AND(E49="High",F49="Low"),AND(E49="Low",F49="High")),"Medium",IF(OR(AND(E49="Medium",F49="Low"),AND(E49="Low",F49="Medium")),"Medium","Low"))))))</f>
        <v/>
      </c>
      <c r="H49" s="10"/>
      <c r="I49" s="11"/>
      <c r="J49" s="11"/>
      <c r="K49" s="10"/>
    </row>
    <row r="50" customFormat="false" ht="36" hidden="false" customHeight="true" outlineLevel="0" collapsed="false">
      <c r="A50" s="9"/>
      <c r="B50" s="9"/>
      <c r="C50" s="9"/>
      <c r="D50" s="10"/>
      <c r="E50" s="11"/>
      <c r="F50" s="11"/>
      <c r="G50" s="14" t="str">
        <f aca="false">IF(OR(E50="",F50=""),"",IF(AND(E50="High",F50="High"),"Critical",IF(OR(AND(E50="High",F50="Medium"),AND(E50="Medium",F50="High")),"High",IF(AND(E50="Medium",F50="Medium"),"High",IF(OR(AND(E50="High",F50="Low"),AND(E50="Low",F50="High")),"Medium",IF(OR(AND(E50="Medium",F50="Low"),AND(E50="Low",F50="Medium")),"Medium","Low"))))))</f>
        <v/>
      </c>
      <c r="H50" s="10"/>
      <c r="I50" s="11"/>
      <c r="J50" s="11"/>
      <c r="K50" s="10"/>
    </row>
    <row r="51" customFormat="false" ht="36" hidden="false" customHeight="true" outlineLevel="0" collapsed="false">
      <c r="A51" s="9"/>
      <c r="B51" s="9"/>
      <c r="C51" s="9"/>
      <c r="D51" s="10"/>
      <c r="E51" s="11"/>
      <c r="F51" s="11"/>
      <c r="G51" s="14" t="str">
        <f aca="false">IF(OR(E51="",F51=""),"",IF(AND(E51="High",F51="High"),"Critical",IF(OR(AND(E51="High",F51="Medium"),AND(E51="Medium",F51="High")),"High",IF(AND(E51="Medium",F51="Medium"),"High",IF(OR(AND(E51="High",F51="Low"),AND(E51="Low",F51="High")),"Medium",IF(OR(AND(E51="Medium",F51="Low"),AND(E51="Low",F51="Medium")),"Medium","Low"))))))</f>
        <v/>
      </c>
      <c r="H51" s="10"/>
      <c r="I51" s="11"/>
      <c r="J51" s="11"/>
      <c r="K51" s="10"/>
    </row>
    <row r="52" customFormat="false" ht="36" hidden="false" customHeight="true" outlineLevel="0" collapsed="false">
      <c r="A52" s="9"/>
      <c r="B52" s="9"/>
      <c r="C52" s="9"/>
      <c r="D52" s="10"/>
      <c r="E52" s="11"/>
      <c r="F52" s="11"/>
      <c r="G52" s="14" t="str">
        <f aca="false">IF(OR(E52="",F52=""),"",IF(AND(E52="High",F52="High"),"Critical",IF(OR(AND(E52="High",F52="Medium"),AND(E52="Medium",F52="High")),"High",IF(AND(E52="Medium",F52="Medium"),"High",IF(OR(AND(E52="High",F52="Low"),AND(E52="Low",F52="High")),"Medium",IF(OR(AND(E52="Medium",F52="Low"),AND(E52="Low",F52="Medium")),"Medium","Low"))))))</f>
        <v/>
      </c>
      <c r="H52" s="10"/>
      <c r="I52" s="11"/>
      <c r="J52" s="11"/>
      <c r="K52" s="10"/>
    </row>
    <row r="53" customFormat="false" ht="36" hidden="false" customHeight="true" outlineLevel="0" collapsed="false">
      <c r="A53" s="9"/>
      <c r="B53" s="9"/>
      <c r="C53" s="9"/>
      <c r="D53" s="10"/>
      <c r="E53" s="11"/>
      <c r="F53" s="11"/>
      <c r="G53" s="14" t="str">
        <f aca="false">IF(OR(E53="",F53=""),"",IF(AND(E53="High",F53="High"),"Critical",IF(OR(AND(E53="High",F53="Medium"),AND(E53="Medium",F53="High")),"High",IF(AND(E53="Medium",F53="Medium"),"High",IF(OR(AND(E53="High",F53="Low"),AND(E53="Low",F53="High")),"Medium",IF(OR(AND(E53="Medium",F53="Low"),AND(E53="Low",F53="Medium")),"Medium","Low"))))))</f>
        <v/>
      </c>
      <c r="H53" s="10"/>
      <c r="I53" s="11"/>
      <c r="J53" s="11"/>
      <c r="K53" s="10"/>
    </row>
    <row r="54" customFormat="false" ht="36" hidden="false" customHeight="true" outlineLevel="0" collapsed="false">
      <c r="A54" s="9"/>
      <c r="B54" s="9"/>
      <c r="C54" s="9"/>
      <c r="D54" s="10"/>
      <c r="E54" s="11"/>
      <c r="F54" s="11"/>
      <c r="G54" s="14" t="str">
        <f aca="false">IF(OR(E54="",F54=""),"",IF(AND(E54="High",F54="High"),"Critical",IF(OR(AND(E54="High",F54="Medium"),AND(E54="Medium",F54="High")),"High",IF(AND(E54="Medium",F54="Medium"),"High",IF(OR(AND(E54="High",F54="Low"),AND(E54="Low",F54="High")),"Medium",IF(OR(AND(E54="Medium",F54="Low"),AND(E54="Low",F54="Medium")),"Medium","Low"))))))</f>
        <v/>
      </c>
      <c r="H54" s="10"/>
      <c r="I54" s="11"/>
      <c r="J54" s="11"/>
      <c r="K54" s="10"/>
    </row>
    <row r="55" customFormat="false" ht="36" hidden="false" customHeight="true" outlineLevel="0" collapsed="false">
      <c r="A55" s="9"/>
      <c r="B55" s="9"/>
      <c r="C55" s="9"/>
      <c r="D55" s="10"/>
      <c r="E55" s="11"/>
      <c r="F55" s="11"/>
      <c r="G55" s="14" t="str">
        <f aca="false">IF(OR(E55="",F55=""),"",IF(AND(E55="High",F55="High"),"Critical",IF(OR(AND(E55="High",F55="Medium"),AND(E55="Medium",F55="High")),"High",IF(AND(E55="Medium",F55="Medium"),"High",IF(OR(AND(E55="High",F55="Low"),AND(E55="Low",F55="High")),"Medium",IF(OR(AND(E55="Medium",F55="Low"),AND(E55="Low",F55="Medium")),"Medium","Low"))))))</f>
        <v/>
      </c>
      <c r="H55" s="10"/>
      <c r="I55" s="11"/>
      <c r="J55" s="11"/>
      <c r="K55" s="10"/>
    </row>
    <row r="56" customFormat="false" ht="36" hidden="false" customHeight="true" outlineLevel="0" collapsed="false">
      <c r="A56" s="9"/>
      <c r="B56" s="9"/>
      <c r="C56" s="9"/>
      <c r="D56" s="10"/>
      <c r="E56" s="11"/>
      <c r="F56" s="11"/>
      <c r="G56" s="14" t="str">
        <f aca="false">IF(OR(E56="",F56=""),"",IF(AND(E56="High",F56="High"),"Critical",IF(OR(AND(E56="High",F56="Medium"),AND(E56="Medium",F56="High")),"High",IF(AND(E56="Medium",F56="Medium"),"High",IF(OR(AND(E56="High",F56="Low"),AND(E56="Low",F56="High")),"Medium",IF(OR(AND(E56="Medium",F56="Low"),AND(E56="Low",F56="Medium")),"Medium","Low"))))))</f>
        <v/>
      </c>
      <c r="H56" s="10"/>
      <c r="I56" s="11"/>
      <c r="J56" s="11"/>
      <c r="K56" s="10"/>
    </row>
    <row r="57" customFormat="false" ht="36" hidden="false" customHeight="true" outlineLevel="0" collapsed="false">
      <c r="A57" s="9"/>
      <c r="B57" s="9"/>
      <c r="C57" s="9"/>
      <c r="D57" s="10"/>
      <c r="E57" s="11"/>
      <c r="F57" s="11"/>
      <c r="G57" s="14" t="str">
        <f aca="false">IF(OR(E57="",F57=""),"",IF(AND(E57="High",F57="High"),"Critical",IF(OR(AND(E57="High",F57="Medium"),AND(E57="Medium",F57="High")),"High",IF(AND(E57="Medium",F57="Medium"),"High",IF(OR(AND(E57="High",F57="Low"),AND(E57="Low",F57="High")),"Medium",IF(OR(AND(E57="Medium",F57="Low"),AND(E57="Low",F57="Medium")),"Medium","Low"))))))</f>
        <v/>
      </c>
      <c r="H57" s="10"/>
      <c r="I57" s="11"/>
      <c r="J57" s="11"/>
      <c r="K57" s="10"/>
    </row>
    <row r="58" customFormat="false" ht="36" hidden="false" customHeight="true" outlineLevel="0" collapsed="false">
      <c r="A58" s="9"/>
      <c r="B58" s="9"/>
      <c r="C58" s="9"/>
      <c r="D58" s="10"/>
      <c r="E58" s="11"/>
      <c r="F58" s="11"/>
      <c r="G58" s="14" t="str">
        <f aca="false">IF(OR(E58="",F58=""),"",IF(AND(E58="High",F58="High"),"Critical",IF(OR(AND(E58="High",F58="Medium"),AND(E58="Medium",F58="High")),"High",IF(AND(E58="Medium",F58="Medium"),"High",IF(OR(AND(E58="High",F58="Low"),AND(E58="Low",F58="High")),"Medium",IF(OR(AND(E58="Medium",F58="Low"),AND(E58="Low",F58="Medium")),"Medium","Low"))))))</f>
        <v/>
      </c>
      <c r="H58" s="10"/>
      <c r="I58" s="11"/>
      <c r="J58" s="11"/>
      <c r="K58" s="10"/>
    </row>
    <row r="59" customFormat="false" ht="36" hidden="false" customHeight="true" outlineLevel="0" collapsed="false">
      <c r="A59" s="9"/>
      <c r="B59" s="9"/>
      <c r="C59" s="9"/>
      <c r="D59" s="10"/>
      <c r="E59" s="11"/>
      <c r="F59" s="11"/>
      <c r="G59" s="14" t="str">
        <f aca="false">IF(OR(E59="",F59=""),"",IF(AND(E59="High",F59="High"),"Critical",IF(OR(AND(E59="High",F59="Medium"),AND(E59="Medium",F59="High")),"High",IF(AND(E59="Medium",F59="Medium"),"High",IF(OR(AND(E59="High",F59="Low"),AND(E59="Low",F59="High")),"Medium",IF(OR(AND(E59="Medium",F59="Low"),AND(E59="Low",F59="Medium")),"Medium","Low"))))))</f>
        <v/>
      </c>
      <c r="H59" s="10"/>
      <c r="I59" s="11"/>
      <c r="J59" s="11"/>
      <c r="K59" s="10"/>
    </row>
    <row r="60" customFormat="false" ht="36" hidden="false" customHeight="true" outlineLevel="0" collapsed="false">
      <c r="A60" s="9"/>
      <c r="B60" s="9"/>
      <c r="C60" s="9"/>
      <c r="D60" s="10"/>
      <c r="E60" s="11"/>
      <c r="F60" s="11"/>
      <c r="G60" s="14" t="str">
        <f aca="false">IF(OR(E60="",F60=""),"",IF(AND(E60="High",F60="High"),"Critical",IF(OR(AND(E60="High",F60="Medium"),AND(E60="Medium",F60="High")),"High",IF(AND(E60="Medium",F60="Medium"),"High",IF(OR(AND(E60="High",F60="Low"),AND(E60="Low",F60="High")),"Medium",IF(OR(AND(E60="Medium",F60="Low"),AND(E60="Low",F60="Medium")),"Medium","Low"))))))</f>
        <v/>
      </c>
      <c r="H60" s="10"/>
      <c r="I60" s="11"/>
      <c r="J60" s="11"/>
      <c r="K60" s="10"/>
    </row>
    <row r="61" customFormat="false" ht="36" hidden="false" customHeight="true" outlineLevel="0" collapsed="false">
      <c r="A61" s="9"/>
      <c r="B61" s="9"/>
      <c r="C61" s="9"/>
      <c r="D61" s="10"/>
      <c r="E61" s="11"/>
      <c r="F61" s="11"/>
      <c r="G61" s="14" t="str">
        <f aca="false">IF(OR(E61="",F61=""),"",IF(AND(E61="High",F61="High"),"Critical",IF(OR(AND(E61="High",F61="Medium"),AND(E61="Medium",F61="High")),"High",IF(AND(E61="Medium",F61="Medium"),"High",IF(OR(AND(E61="High",F61="Low"),AND(E61="Low",F61="High")),"Medium",IF(OR(AND(E61="Medium",F61="Low"),AND(E61="Low",F61="Medium")),"Medium","Low"))))))</f>
        <v/>
      </c>
      <c r="H61" s="10"/>
      <c r="I61" s="11"/>
      <c r="J61" s="11"/>
      <c r="K61" s="10"/>
    </row>
    <row r="62" customFormat="false" ht="36" hidden="false" customHeight="true" outlineLevel="0" collapsed="false">
      <c r="A62" s="9"/>
      <c r="B62" s="9"/>
      <c r="C62" s="9"/>
      <c r="D62" s="10"/>
      <c r="E62" s="11"/>
      <c r="F62" s="11"/>
      <c r="G62" s="14" t="str">
        <f aca="false">IF(OR(E62="",F62=""),"",IF(AND(E62="High",F62="High"),"Critical",IF(OR(AND(E62="High",F62="Medium"),AND(E62="Medium",F62="High")),"High",IF(AND(E62="Medium",F62="Medium"),"High",IF(OR(AND(E62="High",F62="Low"),AND(E62="Low",F62="High")),"Medium",IF(OR(AND(E62="Medium",F62="Low"),AND(E62="Low",F62="Medium")),"Medium","Low"))))))</f>
        <v/>
      </c>
      <c r="H62" s="10"/>
      <c r="I62" s="11"/>
      <c r="J62" s="11"/>
      <c r="K62" s="10"/>
    </row>
    <row r="63" customFormat="false" ht="36" hidden="false" customHeight="true" outlineLevel="0" collapsed="false">
      <c r="A63" s="9"/>
      <c r="B63" s="9"/>
      <c r="C63" s="9"/>
      <c r="D63" s="10"/>
      <c r="E63" s="11"/>
      <c r="F63" s="11"/>
      <c r="G63" s="14" t="str">
        <f aca="false">IF(OR(E63="",F63=""),"",IF(AND(E63="High",F63="High"),"Critical",IF(OR(AND(E63="High",F63="Medium"),AND(E63="Medium",F63="High")),"High",IF(AND(E63="Medium",F63="Medium"),"High",IF(OR(AND(E63="High",F63="Low"),AND(E63="Low",F63="High")),"Medium",IF(OR(AND(E63="Medium",F63="Low"),AND(E63="Low",F63="Medium")),"Medium","Low"))))))</f>
        <v/>
      </c>
      <c r="H63" s="10"/>
      <c r="I63" s="11"/>
      <c r="J63" s="11"/>
      <c r="K63" s="10"/>
    </row>
    <row r="64" customFormat="false" ht="36" hidden="false" customHeight="true" outlineLevel="0" collapsed="false">
      <c r="A64" s="9"/>
      <c r="B64" s="9"/>
      <c r="C64" s="9"/>
      <c r="D64" s="10"/>
      <c r="E64" s="11"/>
      <c r="F64" s="11"/>
      <c r="G64" s="14" t="str">
        <f aca="false">IF(OR(E64="",F64=""),"",IF(AND(E64="High",F64="High"),"Critical",IF(OR(AND(E64="High",F64="Medium"),AND(E64="Medium",F64="High")),"High",IF(AND(E64="Medium",F64="Medium"),"High",IF(OR(AND(E64="High",F64="Low"),AND(E64="Low",F64="High")),"Medium",IF(OR(AND(E64="Medium",F64="Low"),AND(E64="Low",F64="Medium")),"Medium","Low"))))))</f>
        <v/>
      </c>
      <c r="H64" s="10"/>
      <c r="I64" s="11"/>
      <c r="J64" s="11"/>
      <c r="K64" s="10"/>
    </row>
    <row r="65" customFormat="false" ht="36" hidden="false" customHeight="true" outlineLevel="0" collapsed="false">
      <c r="A65" s="9"/>
      <c r="B65" s="9"/>
      <c r="C65" s="9"/>
      <c r="D65" s="10"/>
      <c r="E65" s="11"/>
      <c r="F65" s="11"/>
      <c r="G65" s="14" t="str">
        <f aca="false">IF(OR(E65="",F65=""),"",IF(AND(E65="High",F65="High"),"Critical",IF(OR(AND(E65="High",F65="Medium"),AND(E65="Medium",F65="High")),"High",IF(AND(E65="Medium",F65="Medium"),"High",IF(OR(AND(E65="High",F65="Low"),AND(E65="Low",F65="High")),"Medium",IF(OR(AND(E65="Medium",F65="Low"),AND(E65="Low",F65="Medium")),"Medium","Low"))))))</f>
        <v/>
      </c>
      <c r="H65" s="10"/>
      <c r="I65" s="11"/>
      <c r="J65" s="11"/>
      <c r="K65" s="10"/>
    </row>
    <row r="66" customFormat="false" ht="36" hidden="false" customHeight="true" outlineLevel="0" collapsed="false">
      <c r="A66" s="9"/>
      <c r="B66" s="9"/>
      <c r="C66" s="9"/>
      <c r="D66" s="10"/>
      <c r="E66" s="11"/>
      <c r="F66" s="11"/>
      <c r="G66" s="14" t="str">
        <f aca="false">IF(OR(E66="",F66=""),"",IF(AND(E66="High",F66="High"),"Critical",IF(OR(AND(E66="High",F66="Medium"),AND(E66="Medium",F66="High")),"High",IF(AND(E66="Medium",F66="Medium"),"High",IF(OR(AND(E66="High",F66="Low"),AND(E66="Low",F66="High")),"Medium",IF(OR(AND(E66="Medium",F66="Low"),AND(E66="Low",F66="Medium")),"Medium","Low"))))))</f>
        <v/>
      </c>
      <c r="H66" s="10"/>
      <c r="I66" s="11"/>
      <c r="J66" s="11"/>
      <c r="K66" s="10"/>
    </row>
    <row r="67" customFormat="false" ht="36" hidden="false" customHeight="true" outlineLevel="0" collapsed="false">
      <c r="A67" s="9"/>
      <c r="B67" s="9"/>
      <c r="C67" s="9"/>
      <c r="D67" s="10"/>
      <c r="E67" s="11"/>
      <c r="F67" s="11"/>
      <c r="G67" s="14" t="str">
        <f aca="false">IF(OR(E67="",F67=""),"",IF(AND(E67="High",F67="High"),"Critical",IF(OR(AND(E67="High",F67="Medium"),AND(E67="Medium",F67="High")),"High",IF(AND(E67="Medium",F67="Medium"),"High",IF(OR(AND(E67="High",F67="Low"),AND(E67="Low",F67="High")),"Medium",IF(OR(AND(E67="Medium",F67="Low"),AND(E67="Low",F67="Medium")),"Medium","Low"))))))</f>
        <v/>
      </c>
      <c r="H67" s="10"/>
      <c r="I67" s="11"/>
      <c r="J67" s="11"/>
      <c r="K67" s="10"/>
    </row>
    <row r="68" customFormat="false" ht="36" hidden="false" customHeight="true" outlineLevel="0" collapsed="false">
      <c r="A68" s="9"/>
      <c r="B68" s="9"/>
      <c r="C68" s="9"/>
      <c r="D68" s="10"/>
      <c r="E68" s="11"/>
      <c r="F68" s="11"/>
      <c r="G68" s="14" t="str">
        <f aca="false">IF(OR(E68="",F68=""),"",IF(AND(E68="High",F68="High"),"Critical",IF(OR(AND(E68="High",F68="Medium"),AND(E68="Medium",F68="High")),"High",IF(AND(E68="Medium",F68="Medium"),"High",IF(OR(AND(E68="High",F68="Low"),AND(E68="Low",F68="High")),"Medium",IF(OR(AND(E68="Medium",F68="Low"),AND(E68="Low",F68="Medium")),"Medium","Low"))))))</f>
        <v/>
      </c>
      <c r="H68" s="10"/>
      <c r="I68" s="11"/>
      <c r="J68" s="11"/>
      <c r="K68" s="10"/>
    </row>
    <row r="69" customFormat="false" ht="36" hidden="false" customHeight="true" outlineLevel="0" collapsed="false">
      <c r="A69" s="9"/>
      <c r="B69" s="9"/>
      <c r="C69" s="9"/>
      <c r="D69" s="10"/>
      <c r="E69" s="11"/>
      <c r="F69" s="11"/>
      <c r="G69" s="14" t="str">
        <f aca="false">IF(OR(E69="",F69=""),"",IF(AND(E69="High",F69="High"),"Critical",IF(OR(AND(E69="High",F69="Medium"),AND(E69="Medium",F69="High")),"High",IF(AND(E69="Medium",F69="Medium"),"High",IF(OR(AND(E69="High",F69="Low"),AND(E69="Low",F69="High")),"Medium",IF(OR(AND(E69="Medium",F69="Low"),AND(E69="Low",F69="Medium")),"Medium","Low"))))))</f>
        <v/>
      </c>
      <c r="H69" s="10"/>
      <c r="I69" s="11"/>
      <c r="J69" s="11"/>
      <c r="K69" s="10"/>
    </row>
    <row r="70" customFormat="false" ht="36" hidden="false" customHeight="true" outlineLevel="0" collapsed="false">
      <c r="A70" s="9"/>
      <c r="B70" s="9"/>
      <c r="C70" s="9"/>
      <c r="D70" s="10"/>
      <c r="E70" s="11"/>
      <c r="F70" s="11"/>
      <c r="G70" s="14" t="str">
        <f aca="false">IF(OR(E70="",F70=""),"",IF(AND(E70="High",F70="High"),"Critical",IF(OR(AND(E70="High",F70="Medium"),AND(E70="Medium",F70="High")),"High",IF(AND(E70="Medium",F70="Medium"),"High",IF(OR(AND(E70="High",F70="Low"),AND(E70="Low",F70="High")),"Medium",IF(OR(AND(E70="Medium",F70="Low"),AND(E70="Low",F70="Medium")),"Medium","Low"))))))</f>
        <v/>
      </c>
      <c r="H70" s="10"/>
      <c r="I70" s="11"/>
      <c r="J70" s="11"/>
      <c r="K70" s="10"/>
    </row>
    <row r="71" customFormat="false" ht="36" hidden="false" customHeight="true" outlineLevel="0" collapsed="false">
      <c r="A71" s="9"/>
      <c r="B71" s="9"/>
      <c r="C71" s="9"/>
      <c r="D71" s="10"/>
      <c r="E71" s="11"/>
      <c r="F71" s="11"/>
      <c r="G71" s="14" t="str">
        <f aca="false">IF(OR(E71="",F71=""),"",IF(AND(E71="High",F71="High"),"Critical",IF(OR(AND(E71="High",F71="Medium"),AND(E71="Medium",F71="High")),"High",IF(AND(E71="Medium",F71="Medium"),"High",IF(OR(AND(E71="High",F71="Low"),AND(E71="Low",F71="High")),"Medium",IF(OR(AND(E71="Medium",F71="Low"),AND(E71="Low",F71="Medium")),"Medium","Low"))))))</f>
        <v/>
      </c>
      <c r="H71" s="10"/>
      <c r="I71" s="11"/>
      <c r="J71" s="11"/>
      <c r="K71" s="10"/>
    </row>
    <row r="72" customFormat="false" ht="36" hidden="false" customHeight="true" outlineLevel="0" collapsed="false">
      <c r="A72" s="9"/>
      <c r="B72" s="9"/>
      <c r="C72" s="9"/>
      <c r="D72" s="10"/>
      <c r="E72" s="11"/>
      <c r="F72" s="11"/>
      <c r="G72" s="14" t="str">
        <f aca="false">IF(OR(E72="",F72=""),"",IF(AND(E72="High",F72="High"),"Critical",IF(OR(AND(E72="High",F72="Medium"),AND(E72="Medium",F72="High")),"High",IF(AND(E72="Medium",F72="Medium"),"High",IF(OR(AND(E72="High",F72="Low"),AND(E72="Low",F72="High")),"Medium",IF(OR(AND(E72="Medium",F72="Low"),AND(E72="Low",F72="Medium")),"Medium","Low"))))))</f>
        <v/>
      </c>
      <c r="H72" s="10"/>
      <c r="I72" s="11"/>
      <c r="J72" s="11"/>
      <c r="K72" s="10"/>
    </row>
    <row r="73" customFormat="false" ht="36" hidden="false" customHeight="true" outlineLevel="0" collapsed="false">
      <c r="A73" s="9"/>
      <c r="B73" s="9"/>
      <c r="C73" s="9"/>
      <c r="D73" s="10"/>
      <c r="E73" s="11"/>
      <c r="F73" s="11"/>
      <c r="G73" s="14" t="str">
        <f aca="false">IF(OR(E73="",F73=""),"",IF(AND(E73="High",F73="High"),"Critical",IF(OR(AND(E73="High",F73="Medium"),AND(E73="Medium",F73="High")),"High",IF(AND(E73="Medium",F73="Medium"),"High",IF(OR(AND(E73="High",F73="Low"),AND(E73="Low",F73="High")),"Medium",IF(OR(AND(E73="Medium",F73="Low"),AND(E73="Low",F73="Medium")),"Medium","Low"))))))</f>
        <v/>
      </c>
      <c r="H73" s="10"/>
      <c r="I73" s="11"/>
      <c r="J73" s="11"/>
      <c r="K73" s="10"/>
    </row>
    <row r="74" customFormat="false" ht="36" hidden="false" customHeight="true" outlineLevel="0" collapsed="false">
      <c r="A74" s="9"/>
      <c r="B74" s="9"/>
      <c r="C74" s="9"/>
      <c r="D74" s="10"/>
      <c r="E74" s="11"/>
      <c r="F74" s="11"/>
      <c r="G74" s="14" t="str">
        <f aca="false">IF(OR(E74="",F74=""),"",IF(AND(E74="High",F74="High"),"Critical",IF(OR(AND(E74="High",F74="Medium"),AND(E74="Medium",F74="High")),"High",IF(AND(E74="Medium",F74="Medium"),"High",IF(OR(AND(E74="High",F74="Low"),AND(E74="Low",F74="High")),"Medium",IF(OR(AND(E74="Medium",F74="Low"),AND(E74="Low",F74="Medium")),"Medium","Low"))))))</f>
        <v/>
      </c>
      <c r="H74" s="10"/>
      <c r="I74" s="11"/>
      <c r="J74" s="11"/>
      <c r="K74" s="10"/>
    </row>
    <row r="75" customFormat="false" ht="36" hidden="false" customHeight="true" outlineLevel="0" collapsed="false">
      <c r="A75" s="9"/>
      <c r="B75" s="9"/>
      <c r="C75" s="9"/>
      <c r="D75" s="10"/>
      <c r="E75" s="11"/>
      <c r="F75" s="11"/>
      <c r="G75" s="14" t="str">
        <f aca="false">IF(OR(E75="",F75=""),"",IF(AND(E75="High",F75="High"),"Critical",IF(OR(AND(E75="High",F75="Medium"),AND(E75="Medium",F75="High")),"High",IF(AND(E75="Medium",F75="Medium"),"High",IF(OR(AND(E75="High",F75="Low"),AND(E75="Low",F75="High")),"Medium",IF(OR(AND(E75="Medium",F75="Low"),AND(E75="Low",F75="Medium")),"Medium","Low"))))))</f>
        <v/>
      </c>
      <c r="H75" s="10"/>
      <c r="I75" s="11"/>
      <c r="J75" s="11"/>
      <c r="K75" s="10"/>
    </row>
    <row r="76" customFormat="false" ht="36" hidden="false" customHeight="true" outlineLevel="0" collapsed="false">
      <c r="A76" s="9"/>
      <c r="B76" s="9"/>
      <c r="C76" s="9"/>
      <c r="D76" s="10"/>
      <c r="E76" s="11"/>
      <c r="F76" s="11"/>
      <c r="G76" s="14" t="str">
        <f aca="false">IF(OR(E76="",F76=""),"",IF(AND(E76="High",F76="High"),"Critical",IF(OR(AND(E76="High",F76="Medium"),AND(E76="Medium",F76="High")),"High",IF(AND(E76="Medium",F76="Medium"),"High",IF(OR(AND(E76="High",F76="Low"),AND(E76="Low",F76="High")),"Medium",IF(OR(AND(E76="Medium",F76="Low"),AND(E76="Low",F76="Medium")),"Medium","Low"))))))</f>
        <v/>
      </c>
      <c r="H76" s="10"/>
      <c r="I76" s="11"/>
      <c r="J76" s="11"/>
      <c r="K76" s="10"/>
    </row>
    <row r="77" customFormat="false" ht="36" hidden="false" customHeight="true" outlineLevel="0" collapsed="false">
      <c r="A77" s="9"/>
      <c r="B77" s="9"/>
      <c r="C77" s="9"/>
      <c r="D77" s="10"/>
      <c r="E77" s="11"/>
      <c r="F77" s="11"/>
      <c r="G77" s="14" t="str">
        <f aca="false">IF(OR(E77="",F77=""),"",IF(AND(E77="High",F77="High"),"Critical",IF(OR(AND(E77="High",F77="Medium"),AND(E77="Medium",F77="High")),"High",IF(AND(E77="Medium",F77="Medium"),"High",IF(OR(AND(E77="High",F77="Low"),AND(E77="Low",F77="High")),"Medium",IF(OR(AND(E77="Medium",F77="Low"),AND(E77="Low",F77="Medium")),"Medium","Low"))))))</f>
        <v/>
      </c>
      <c r="H77" s="10"/>
      <c r="I77" s="11"/>
      <c r="J77" s="11"/>
      <c r="K77" s="10"/>
    </row>
    <row r="78" customFormat="false" ht="36" hidden="false" customHeight="true" outlineLevel="0" collapsed="false">
      <c r="A78" s="9"/>
      <c r="B78" s="9"/>
      <c r="C78" s="9"/>
      <c r="D78" s="10"/>
      <c r="E78" s="11"/>
      <c r="F78" s="11"/>
      <c r="G78" s="14" t="str">
        <f aca="false">IF(OR(E78="",F78=""),"",IF(AND(E78="High",F78="High"),"Critical",IF(OR(AND(E78="High",F78="Medium"),AND(E78="Medium",F78="High")),"High",IF(AND(E78="Medium",F78="Medium"),"High",IF(OR(AND(E78="High",F78="Low"),AND(E78="Low",F78="High")),"Medium",IF(OR(AND(E78="Medium",F78="Low"),AND(E78="Low",F78="Medium")),"Medium","Low"))))))</f>
        <v/>
      </c>
      <c r="H78" s="10"/>
      <c r="I78" s="11"/>
      <c r="J78" s="11"/>
      <c r="K78" s="10"/>
    </row>
    <row r="79" customFormat="false" ht="36" hidden="false" customHeight="true" outlineLevel="0" collapsed="false">
      <c r="A79" s="9"/>
      <c r="B79" s="9"/>
      <c r="C79" s="9"/>
      <c r="D79" s="10"/>
      <c r="E79" s="11"/>
      <c r="F79" s="11"/>
      <c r="G79" s="14" t="str">
        <f aca="false">IF(OR(E79="",F79=""),"",IF(AND(E79="High",F79="High"),"Critical",IF(OR(AND(E79="High",F79="Medium"),AND(E79="Medium",F79="High")),"High",IF(AND(E79="Medium",F79="Medium"),"High",IF(OR(AND(E79="High",F79="Low"),AND(E79="Low",F79="High")),"Medium",IF(OR(AND(E79="Medium",F79="Low"),AND(E79="Low",F79="Medium")),"Medium","Low"))))))</f>
        <v/>
      </c>
      <c r="H79" s="10"/>
      <c r="I79" s="11"/>
      <c r="J79" s="11"/>
      <c r="K79" s="10"/>
    </row>
    <row r="80" customFormat="false" ht="36" hidden="false" customHeight="true" outlineLevel="0" collapsed="false">
      <c r="A80" s="9"/>
      <c r="B80" s="9"/>
      <c r="C80" s="9"/>
      <c r="D80" s="10"/>
      <c r="E80" s="11"/>
      <c r="F80" s="11"/>
      <c r="G80" s="14" t="str">
        <f aca="false">IF(OR(E80="",F80=""),"",IF(AND(E80="High",F80="High"),"Critical",IF(OR(AND(E80="High",F80="Medium"),AND(E80="Medium",F80="High")),"High",IF(AND(E80="Medium",F80="Medium"),"High",IF(OR(AND(E80="High",F80="Low"),AND(E80="Low",F80="High")),"Medium",IF(OR(AND(E80="Medium",F80="Low"),AND(E80="Low",F80="Medium")),"Medium","Low"))))))</f>
        <v/>
      </c>
      <c r="H80" s="10"/>
      <c r="I80" s="11"/>
      <c r="J80" s="11"/>
      <c r="K80" s="10"/>
    </row>
  </sheetData>
  <mergeCells count="2">
    <mergeCell ref="A1:K1"/>
    <mergeCell ref="A2:K2"/>
  </mergeCells>
  <dataValidations count="4">
    <dataValidation allowBlank="true" errorStyle="stop" operator="between" showDropDown="false" showErrorMessage="false" showInputMessage="false" sqref="C5:C80" type="list">
      <formula1>"Pre-Discovery,Phase 1,Phase 2,Phase 3,Phase 4,Phase 5,Phase 6,Managed Service"</formula1>
      <formula2>0</formula2>
    </dataValidation>
    <dataValidation allowBlank="true" errorStyle="stop" operator="between" showDropDown="false" showErrorMessage="false" showInputMessage="false" sqref="E5:E80" type="list">
      <formula1>"Low,Medium,High"</formula1>
      <formula2>0</formula2>
    </dataValidation>
    <dataValidation allowBlank="true" errorStyle="stop" operator="between" showDropDown="false" showErrorMessage="false" showInputMessage="false" sqref="F5:F80" type="list">
      <formula1>"Low,Medium,High"</formula1>
      <formula2>0</formula2>
    </dataValidation>
    <dataValidation allowBlank="true" errorStyle="stop" operator="between" showDropDown="false" showErrorMessage="false" showInputMessage="false" sqref="J5:J80" type="list">
      <formula1>"Open,Mitigated,Realised,Closed,Accepted"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  <col collapsed="false" customWidth="true" hidden="false" outlineLevel="0" max="3" min="3" style="1" width="12"/>
  </cols>
  <sheetData>
    <row r="1" customFormat="false" ht="24" hidden="false" customHeight="true" outlineLevel="0" collapsed="false">
      <c r="A1" s="2" t="s">
        <v>90</v>
      </c>
      <c r="B1" s="2"/>
      <c r="C1" s="2"/>
    </row>
    <row r="2" customFormat="false" ht="27.75" hidden="false" customHeight="true" outlineLevel="0" collapsed="false">
      <c r="A2" s="3" t="s">
        <v>91</v>
      </c>
      <c r="B2" s="3"/>
      <c r="C2" s="3"/>
    </row>
    <row r="4" customFormat="false" ht="21.75" hidden="false" customHeight="true" outlineLevel="0" collapsed="false">
      <c r="A4" s="4" t="s">
        <v>92</v>
      </c>
      <c r="B4" s="4"/>
      <c r="C4" s="4"/>
    </row>
    <row r="5" customFormat="false" ht="15" hidden="false" customHeight="true" outlineLevel="0" collapsed="false">
      <c r="A5" s="5" t="s">
        <v>93</v>
      </c>
      <c r="B5" s="5" t="s">
        <v>94</v>
      </c>
      <c r="C5" s="5" t="s">
        <v>95</v>
      </c>
    </row>
    <row r="6" customFormat="false" ht="21.75" hidden="false" customHeight="true" outlineLevel="0" collapsed="false">
      <c r="A6" s="9" t="s">
        <v>35</v>
      </c>
      <c r="B6" s="15" t="s">
        <v>96</v>
      </c>
      <c r="C6" s="13" t="n">
        <f aca="false">COUNTIF('Decision Log'!I5:I80,"Active")</f>
        <v>4</v>
      </c>
    </row>
    <row r="7" customFormat="false" ht="21.75" hidden="false" customHeight="true" outlineLevel="0" collapsed="false">
      <c r="A7" s="9" t="s">
        <v>97</v>
      </c>
      <c r="B7" s="15" t="s">
        <v>98</v>
      </c>
      <c r="C7" s="13" t="n">
        <f aca="false">COUNTIF('Decision Log'!I5:I80,"Superseded")</f>
        <v>0</v>
      </c>
    </row>
    <row r="8" customFormat="false" ht="21.75" hidden="false" customHeight="true" outlineLevel="0" collapsed="false">
      <c r="A8" s="9" t="s">
        <v>99</v>
      </c>
      <c r="B8" s="15" t="s">
        <v>100</v>
      </c>
      <c r="C8" s="13" t="n">
        <f aca="false">COUNTIF('Decision Log'!I5:I80,"Reversed")</f>
        <v>0</v>
      </c>
    </row>
    <row r="9" customFormat="false" ht="21.75" hidden="false" customHeight="true" outlineLevel="0" collapsed="false">
      <c r="A9" s="9" t="s">
        <v>101</v>
      </c>
      <c r="B9" s="15" t="s">
        <v>102</v>
      </c>
      <c r="C9" s="13" t="n">
        <f aca="false">COUNTIF('Decision Log'!I5:I80,"Under Review")</f>
        <v>0</v>
      </c>
    </row>
    <row r="10" customFormat="false" ht="21.75" hidden="false" customHeight="true" outlineLevel="0" collapsed="false">
      <c r="A10" s="9" t="s">
        <v>103</v>
      </c>
      <c r="B10" s="15" t="s">
        <v>104</v>
      </c>
      <c r="C10" s="13" t="n">
        <f aca="false">COUNTA('Decision Log'!A5:A80)</f>
        <v>4</v>
      </c>
    </row>
    <row r="12" customFormat="false" ht="21.75" hidden="false" customHeight="true" outlineLevel="0" collapsed="false">
      <c r="A12" s="4" t="s">
        <v>105</v>
      </c>
      <c r="B12" s="4"/>
      <c r="C12" s="4"/>
    </row>
    <row r="13" customFormat="false" ht="15" hidden="false" customHeight="true" outlineLevel="0" collapsed="false">
      <c r="A13" s="5" t="s">
        <v>93</v>
      </c>
      <c r="B13" s="5" t="s">
        <v>94</v>
      </c>
      <c r="C13" s="5" t="s">
        <v>95</v>
      </c>
    </row>
    <row r="14" customFormat="false" ht="21.75" hidden="false" customHeight="true" outlineLevel="0" collapsed="false">
      <c r="A14" s="9" t="s">
        <v>43</v>
      </c>
      <c r="B14" s="15" t="s">
        <v>106</v>
      </c>
      <c r="C14" s="13" t="n">
        <f aca="false">COUNTIFS('Decision Log'!H5:H80,"Reversible",'Decision Log'!I5:I80,"Active")</f>
        <v>2</v>
      </c>
    </row>
    <row r="15" customFormat="false" ht="21.75" hidden="false" customHeight="true" outlineLevel="0" collapsed="false">
      <c r="A15" s="9" t="s">
        <v>34</v>
      </c>
      <c r="B15" s="15" t="s">
        <v>107</v>
      </c>
      <c r="C15" s="13" t="n">
        <f aca="false">COUNTIFS('Decision Log'!H5:H80,"Costly to reverse",'Decision Log'!I5:I80,"Active")</f>
        <v>2</v>
      </c>
    </row>
    <row r="16" customFormat="false" ht="21.75" hidden="false" customHeight="true" outlineLevel="0" collapsed="false">
      <c r="A16" s="9" t="s">
        <v>108</v>
      </c>
      <c r="B16" s="15" t="s">
        <v>109</v>
      </c>
      <c r="C16" s="13" t="n">
        <f aca="false">COUNTIFS('Decision Log'!H5:H80,"One-way (irreversible)",'Decision Log'!I5:I80,"Active")</f>
        <v>0</v>
      </c>
    </row>
    <row r="18" customFormat="false" ht="21.75" hidden="false" customHeight="true" outlineLevel="0" collapsed="false">
      <c r="A18" s="4" t="s">
        <v>110</v>
      </c>
      <c r="B18" s="4"/>
      <c r="C18" s="4"/>
    </row>
    <row r="19" customFormat="false" ht="15" hidden="false" customHeight="true" outlineLevel="0" collapsed="false">
      <c r="A19" s="5" t="s">
        <v>93</v>
      </c>
      <c r="B19" s="5" t="s">
        <v>94</v>
      </c>
      <c r="C19" s="5" t="s">
        <v>95</v>
      </c>
    </row>
    <row r="20" customFormat="false" ht="21.75" hidden="false" customHeight="true" outlineLevel="0" collapsed="false">
      <c r="A20" s="9" t="s">
        <v>79</v>
      </c>
      <c r="B20" s="15" t="s">
        <v>111</v>
      </c>
      <c r="C20" s="13" t="n">
        <f aca="false">COUNTIF('Risk Register'!J5:J80,"Open")</f>
        <v>2</v>
      </c>
    </row>
    <row r="21" customFormat="false" ht="21.75" hidden="false" customHeight="true" outlineLevel="0" collapsed="false">
      <c r="A21" s="9" t="s">
        <v>72</v>
      </c>
      <c r="B21" s="15" t="s">
        <v>112</v>
      </c>
      <c r="C21" s="13" t="n">
        <f aca="false">COUNTIF('Risk Register'!J5:J80,"Mitigated")</f>
        <v>2</v>
      </c>
    </row>
    <row r="22" customFormat="false" ht="21.75" hidden="false" customHeight="true" outlineLevel="0" collapsed="false">
      <c r="A22" s="9" t="s">
        <v>113</v>
      </c>
      <c r="B22" s="15" t="s">
        <v>114</v>
      </c>
      <c r="C22" s="13" t="n">
        <f aca="false">COUNTIF('Risk Register'!J5:J80,"Realised")</f>
        <v>0</v>
      </c>
    </row>
    <row r="23" customFormat="false" ht="21.75" hidden="false" customHeight="true" outlineLevel="0" collapsed="false">
      <c r="A23" s="9" t="s">
        <v>115</v>
      </c>
      <c r="B23" s="15" t="s">
        <v>116</v>
      </c>
      <c r="C23" s="13" t="n">
        <f aca="false">COUNTIF('Risk Register'!J5:J80,"Closed")</f>
        <v>0</v>
      </c>
    </row>
    <row r="24" customFormat="false" ht="21.75" hidden="false" customHeight="true" outlineLevel="0" collapsed="false">
      <c r="A24" s="9" t="s">
        <v>117</v>
      </c>
      <c r="B24" s="15" t="s">
        <v>118</v>
      </c>
      <c r="C24" s="13" t="n">
        <f aca="false">COUNTIF('Risk Register'!J5:J80,"Accepted")</f>
        <v>0</v>
      </c>
    </row>
    <row r="25" customFormat="false" ht="21.75" hidden="false" customHeight="true" outlineLevel="0" collapsed="false">
      <c r="A25" s="9" t="s">
        <v>103</v>
      </c>
      <c r="B25" s="15" t="s">
        <v>119</v>
      </c>
      <c r="C25" s="13" t="n">
        <f aca="false">COUNTA('Risk Register'!A5:A80)</f>
        <v>4</v>
      </c>
    </row>
    <row r="27" customFormat="false" ht="21.75" hidden="false" customHeight="true" outlineLevel="0" collapsed="false">
      <c r="A27" s="4" t="s">
        <v>120</v>
      </c>
      <c r="B27" s="4"/>
      <c r="C27" s="4"/>
    </row>
    <row r="28" customFormat="false" ht="15" hidden="false" customHeight="true" outlineLevel="0" collapsed="false">
      <c r="A28" s="5" t="s">
        <v>93</v>
      </c>
      <c r="B28" s="5" t="s">
        <v>94</v>
      </c>
      <c r="C28" s="5" t="s">
        <v>95</v>
      </c>
    </row>
    <row r="29" customFormat="false" ht="21.75" hidden="false" customHeight="true" outlineLevel="0" collapsed="false">
      <c r="A29" s="9" t="s">
        <v>121</v>
      </c>
      <c r="B29" s="15" t="s">
        <v>122</v>
      </c>
      <c r="C29" s="13" t="n">
        <f aca="false">COUNTIFS('Risk Register'!G5:G80,"Critical",'Risk Register'!J5:J80,"Open")+COUNTIFS('Risk Register'!G5:G80,"Critical",'Risk Register'!J5:J80,"Accepted")</f>
        <v>0</v>
      </c>
    </row>
    <row r="30" customFormat="false" ht="21.75" hidden="false" customHeight="true" outlineLevel="0" collapsed="false">
      <c r="A30" s="9" t="s">
        <v>70</v>
      </c>
      <c r="B30" s="15" t="s">
        <v>123</v>
      </c>
      <c r="C30" s="13" t="n">
        <f aca="false">COUNTIFS('Risk Register'!G5:G80,"High",'Risk Register'!J5:J80,"Open")+COUNTIFS('Risk Register'!G5:G80,"High",'Risk Register'!J5:J80,"Accepted")</f>
        <v>1</v>
      </c>
    </row>
    <row r="31" customFormat="false" ht="21.75" hidden="false" customHeight="true" outlineLevel="0" collapsed="false">
      <c r="A31" s="9" t="s">
        <v>69</v>
      </c>
      <c r="B31" s="15" t="s">
        <v>124</v>
      </c>
      <c r="C31" s="13" t="n">
        <f aca="false">COUNTIFS('Risk Register'!G5:G80,"Medium",'Risk Register'!J5:J80,"Open")+COUNTIFS('Risk Register'!G5:G80,"Medium",'Risk Register'!J5:J80,"Accepted")</f>
        <v>0</v>
      </c>
    </row>
    <row r="32" customFormat="false" ht="21.75" hidden="false" customHeight="true" outlineLevel="0" collapsed="false">
      <c r="A32" s="9" t="s">
        <v>87</v>
      </c>
      <c r="B32" s="15" t="s">
        <v>125</v>
      </c>
      <c r="C32" s="13" t="n">
        <f aca="false">COUNTIFS('Risk Register'!G5:G80,"Low",'Risk Register'!J5:J80,"Open")+COUNTIFS('Risk Register'!G5:G80,"Low",'Risk Register'!J5:J80,"Accepted")</f>
        <v>0</v>
      </c>
    </row>
    <row r="35" customFormat="false" ht="27.75" hidden="false" customHeight="true" outlineLevel="0" collapsed="false">
      <c r="A35" s="3" t="s">
        <v>126</v>
      </c>
      <c r="B35" s="3"/>
      <c r="C35" s="3"/>
    </row>
  </sheetData>
  <mergeCells count="7">
    <mergeCell ref="A1:C1"/>
    <mergeCell ref="A2:C2"/>
    <mergeCell ref="A4:C4"/>
    <mergeCell ref="A12:C12"/>
    <mergeCell ref="A18:C18"/>
    <mergeCell ref="A27:C27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2026-06-28T18:54:15Z</dcterms:created>
  <dc:creator>openpyxl</dc:creator>
  <dc:description/>
  <dc:language>en-US</dc:language>
  <cp:lastModifiedBy/>
  <dcterms:modified xsi:type="dcterms:W3CDTF">2026-07-05T13:10:27Z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