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B452CE56-D6F2-4E42-8EAD-3D0AEB227586}" xr6:coauthVersionLast="47" xr6:coauthVersionMax="47" xr10:uidLastSave="{00000000-0000-0000-0000-000000000000}"/>
  <bookViews>
    <workbookView xWindow="1180" yWindow="680" windowWidth="32720" windowHeight="20320" tabRatio="500" firstSheet="7" activeTab="8" xr2:uid="{00000000-000D-0000-FFFF-FFFF00000000}"/>
  </bookViews>
  <sheets>
    <sheet name="START HERE" sheetId="1" r:id="rId1"/>
    <sheet name="Product Catalogue" sheetId="2" r:id="rId2"/>
    <sheet name="Package Reference" sheetId="3" r:id="rId3"/>
    <sheet name="Complexity Reference" sheetId="4" r:id="rId4"/>
    <sheet name="Quote Calculator" sheetId="5" r:id="rId5"/>
    <sheet name="ROI App" sheetId="6" r:id="rId6"/>
    <sheet name="ROI App_v1" sheetId="7" r:id="rId7"/>
    <sheet name="ROI App_v0" sheetId="8" r:id="rId8"/>
    <sheet name="Example Quotes" sheetId="9" r:id="rId9"/>
    <sheet name="Access Models" sheetId="10" r:id="rId10"/>
    <sheet name="Access &amp; Licence Pricing" sheetId="11" r:id="rId11"/>
    <sheet name="Front-Door Tools — Pricing" sheetId="12" r:id="rId12"/>
    <sheet name="Client Quote Summary" sheetId="13" r:id="rId13"/>
    <sheet name="MGRS - EMAIL Logic" sheetId="14" r:id="rId14"/>
    <sheet name="AUDIT Pricing" sheetId="15" r:id="rId15"/>
    <sheet name="Access Support Matrix" sheetId="16" r:id="rId16"/>
    <sheet name="DOCU - Pricing Logic"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0" i="12" l="1"/>
  <c r="Q60" i="12" s="1"/>
  <c r="P60" i="12" s="1"/>
  <c r="N60" i="12"/>
  <c r="M60" i="12" s="1"/>
  <c r="L60" i="12" s="1"/>
  <c r="D15" i="11"/>
  <c r="F15" i="11" s="1"/>
  <c r="G15" i="11" s="1"/>
  <c r="C15" i="11"/>
  <c r="H15" i="11" s="1"/>
  <c r="B15" i="11"/>
  <c r="F14" i="11"/>
  <c r="G14" i="11" s="1"/>
  <c r="D14" i="11"/>
  <c r="C14" i="11"/>
  <c r="E14" i="11" s="1"/>
  <c r="B14" i="11"/>
  <c r="H13" i="11"/>
  <c r="F13" i="11"/>
  <c r="G13" i="11" s="1"/>
  <c r="D13" i="11"/>
  <c r="C13" i="11"/>
  <c r="E13" i="11" s="1"/>
  <c r="B13" i="11"/>
  <c r="E12" i="11"/>
  <c r="D12" i="11"/>
  <c r="F12" i="11" s="1"/>
  <c r="G12" i="11" s="1"/>
  <c r="C12" i="11"/>
  <c r="H12" i="11" s="1"/>
  <c r="B12" i="11"/>
  <c r="H11" i="11"/>
  <c r="D11" i="11"/>
  <c r="F11" i="11" s="1"/>
  <c r="G11" i="11" s="1"/>
  <c r="C11" i="11"/>
  <c r="E11" i="11" s="1"/>
  <c r="B11" i="11"/>
  <c r="G28" i="8"/>
  <c r="C28" i="8"/>
  <c r="G27" i="8"/>
  <c r="G29" i="8" s="1"/>
  <c r="C27" i="8"/>
  <c r="C29" i="8" s="1"/>
  <c r="G26" i="8"/>
  <c r="C26" i="8"/>
  <c r="G25" i="8"/>
  <c r="C25" i="8"/>
  <c r="G24" i="8"/>
  <c r="C24" i="8"/>
  <c r="G31" i="7"/>
  <c r="C31" i="7"/>
  <c r="G28" i="7"/>
  <c r="C28" i="7"/>
  <c r="G26" i="7"/>
  <c r="C26" i="7"/>
  <c r="G25" i="7"/>
  <c r="C25" i="7"/>
  <c r="G24" i="7"/>
  <c r="G27" i="7" s="1"/>
  <c r="G29" i="7" s="1"/>
  <c r="C24" i="7"/>
  <c r="C27" i="7" s="1"/>
  <c r="C29" i="7" s="1"/>
  <c r="J43" i="6"/>
  <c r="G43" i="6"/>
  <c r="C43" i="6"/>
  <c r="J32" i="6"/>
  <c r="G32" i="6"/>
  <c r="C32" i="6"/>
  <c r="J29" i="6"/>
  <c r="G29" i="6"/>
  <c r="C29" i="6"/>
  <c r="J28" i="6"/>
  <c r="J38" i="6" s="1"/>
  <c r="J39" i="6" s="1"/>
  <c r="G28" i="6"/>
  <c r="G30" i="6" s="1"/>
  <c r="J27" i="6"/>
  <c r="G27" i="6"/>
  <c r="C27" i="6"/>
  <c r="J26" i="6"/>
  <c r="G26" i="6"/>
  <c r="C26" i="6"/>
  <c r="J25" i="6"/>
  <c r="G25" i="6"/>
  <c r="C25" i="6"/>
  <c r="C28" i="6" s="1"/>
  <c r="E50" i="5"/>
  <c r="D50" i="5"/>
  <c r="E49" i="5"/>
  <c r="D49" i="5"/>
  <c r="E48" i="5"/>
  <c r="D48" i="5"/>
  <c r="E47" i="5"/>
  <c r="D47" i="5"/>
  <c r="E46" i="5"/>
  <c r="D46" i="5"/>
  <c r="E45" i="5"/>
  <c r="D45" i="5"/>
  <c r="E44" i="5"/>
  <c r="D33" i="5"/>
  <c r="D15" i="5"/>
  <c r="D30" i="5" s="1"/>
  <c r="D37" i="5" s="1"/>
  <c r="D14" i="5"/>
  <c r="D29" i="5" s="1"/>
  <c r="D13" i="5"/>
  <c r="D34" i="5" s="1"/>
  <c r="D38" i="5" s="1"/>
  <c r="D12" i="5"/>
  <c r="D11" i="5"/>
  <c r="D32" i="5" s="1"/>
  <c r="D36" i="5" s="1"/>
  <c r="O10" i="5"/>
  <c r="D10" i="5"/>
  <c r="D44" i="5" s="1"/>
  <c r="O9" i="5"/>
  <c r="M9" i="5"/>
  <c r="K9" i="5"/>
  <c r="O8" i="5"/>
  <c r="M8" i="5"/>
  <c r="K8" i="5"/>
  <c r="H8" i="5"/>
  <c r="O7" i="5"/>
  <c r="M7" i="5"/>
  <c r="K7" i="5"/>
  <c r="H7" i="5"/>
  <c r="O6" i="5"/>
  <c r="M6" i="5"/>
  <c r="K6" i="5"/>
  <c r="H6" i="5"/>
  <c r="O5" i="5"/>
  <c r="M5" i="5"/>
  <c r="K5" i="5"/>
  <c r="H5" i="5"/>
  <c r="G60" i="12" l="1"/>
  <c r="H60" i="12"/>
  <c r="C30" i="6"/>
  <c r="C38" i="6"/>
  <c r="C39" i="6" s="1"/>
  <c r="G30" i="7"/>
  <c r="G33" i="7" s="1"/>
  <c r="G34" i="7"/>
  <c r="G32" i="7"/>
  <c r="C30" i="7"/>
  <c r="C33" i="7" s="1"/>
  <c r="C34" i="7"/>
  <c r="C32" i="7"/>
  <c r="G32" i="8"/>
  <c r="G31" i="8"/>
  <c r="G30" i="8"/>
  <c r="D40" i="5"/>
  <c r="H12" i="5" s="1"/>
  <c r="H10" i="5"/>
  <c r="C30" i="8"/>
  <c r="C32" i="8"/>
  <c r="C31" i="8"/>
  <c r="G33" i="6"/>
  <c r="G31" i="6"/>
  <c r="G34" i="6" s="1"/>
  <c r="G35" i="6"/>
  <c r="J30" i="6"/>
  <c r="H14" i="11"/>
  <c r="E15" i="11"/>
  <c r="G38" i="6"/>
  <c r="G39" i="6" s="1"/>
  <c r="D31" i="5"/>
  <c r="D35" i="5" s="1"/>
  <c r="D39" i="5" l="1"/>
  <c r="H11" i="5" s="1"/>
  <c r="H9" i="5"/>
  <c r="C33" i="6"/>
  <c r="C31" i="6"/>
  <c r="C34" i="6" s="1"/>
  <c r="C35" i="6"/>
  <c r="J33" i="6"/>
  <c r="J35" i="6"/>
  <c r="J31" i="6"/>
  <c r="J34" i="6" s="1"/>
</calcChain>
</file>

<file path=xl/sharedStrings.xml><?xml version="1.0" encoding="utf-8"?>
<sst xmlns="http://schemas.openxmlformats.org/spreadsheetml/2006/main" count="2228" uniqueCount="1548">
  <si>
    <t>Access &amp; Ownership Pricing Logic</t>
  </si>
  <si>
    <t>these five models are the granular access variants that implement the three policy tiers (Managed / Licence / Full transfer). See IP &amp; Licensing Policy.</t>
  </si>
  <si>
    <t>Model</t>
  </si>
  <si>
    <t>Client receives</t>
  </si>
  <si>
    <t>You retain</t>
  </si>
  <si>
    <t>Pricing effect</t>
  </si>
  <si>
    <t>Monthly effect</t>
  </si>
  <si>
    <t>Risk</t>
  </si>
  <si>
    <t>Use when</t>
  </si>
  <si>
    <t>Client wording</t>
  </si>
  <si>
    <t>Internal note</t>
  </si>
  <si>
    <t>Default setup multiplier</t>
  </si>
  <si>
    <t>Typical range</t>
  </si>
  <si>
    <t>Pricing use in FIXED calculator</t>
  </si>
  <si>
    <t>Policy tier</t>
  </si>
  <si>
    <t>Managed service</t>
  </si>
  <si>
    <t>Results, dashboards, reports, approval queue</t>
  </si>
  <si>
    <t>Make logic, prompts, reusable blueprints</t>
  </si>
  <si>
    <t>Normal</t>
  </si>
  <si>
    <t>x1.0 monthly</t>
  </si>
  <si>
    <t>Low</t>
  </si>
  <si>
    <t>Default</t>
  </si>
  <si>
    <t>We manage the automation and provide outputs/support.</t>
  </si>
  <si>
    <t>Best default model</t>
  </si>
  <si>
    <t>x1.0</t>
  </si>
  <si>
    <t>Managed service: no handover premium.</t>
  </si>
  <si>
    <t>Managed (default)</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</si>
  <si>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</si>
  <si>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</si>
  <si>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</si>
  <si>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</si>
  <si>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</si>
  <si>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</si>
  <si>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</si>
  <si>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</si>
  <si>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</si>
  <si>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</si>
  <si>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</si>
  <si>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</si>
  <si>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</si>
  <si>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</si>
  <si>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</si>
  <si>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</si>
  <si>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</si>
  <si>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</si>
  <si>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</si>
  <si>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</si>
  <si>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</si>
  <si>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</si>
  <si>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</si>
  <si>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</si>
  <si>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</si>
  <si>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</si>
  <si>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</si>
  <si>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</si>
  <si>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</si>
  <si>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</si>
  <si>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</si>
  <si>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Build-and-transfer</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</si>
  <si>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</si>
  <si>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</si>
  <si>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</si>
  <si>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</si>
  <si>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</si>
  <si>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</si>
  <si>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</si>
  <si>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</si>
  <si>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</si>
  <si>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</si>
  <si>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</si>
  <si>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</si>
  <si>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</si>
  <si>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</si>
  <si>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</si>
  <si>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</si>
  <si>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</si>
  <si>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</si>
  <si>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</si>
  <si>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</si>
  <si>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</si>
  <si>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</si>
  <si>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</si>
  <si>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</si>
  <si>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</si>
  <si>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</si>
  <si>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</si>
  <si>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</si>
  <si>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</si>
  <si>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</si>
  <si>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</si>
  <si>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</si>
  <si>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</si>
  <si>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</si>
  <si>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</si>
  <si>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</si>
  <si>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</si>
  <si>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</si>
  <si>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</si>
  <si>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</si>
  <si>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</si>
  <si>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</si>
  <si>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</si>
  <si>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</si>
  <si>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</si>
  <si>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</si>
  <si>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</si>
  <si>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</si>
  <si>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</si>
  <si>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</si>
  <si>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</si>
  <si>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</si>
  <si>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</si>
  <si>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</si>
  <si>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</si>
  <si>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</si>
  <si>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</si>
  <si>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</si>
  <si>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</si>
  <si>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</si>
  <si>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</si>
  <si>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</si>
  <si>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</si>
  <si>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</si>
  <si>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</si>
  <si>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</si>
  <si>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</si>
  <si>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</si>
  <si>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</si>
  <si>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</si>
  <si>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</si>
  <si>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</si>
  <si>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</si>
  <si>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</si>
  <si>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</si>
  <si>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</si>
  <si>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</si>
  <si>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</si>
  <si>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</si>
  <si>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</si>
  <si>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</si>
  <si>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</si>
  <si>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</si>
  <si>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PATTERNS (the verbs):</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</si>
  <si>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</si>
  <si>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</si>
  <si>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</si>
  <si>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</si>
  <si>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</si>
  <si>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</si>
  <si>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</si>
  <si>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</si>
  <si>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</si>
  <si>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</si>
  <si>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</si>
  <si>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</si>
  <si>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</si>
  <si>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</si>
  <si>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</si>
  <si>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</si>
  <si>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</si>
  <si>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</si>
  <si>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</si>
  <si>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</si>
  <si>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</si>
  <si>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</si>
  <si>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</si>
  <si>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</si>
  <si>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</si>
  <si>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</si>
  <si>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</si>
  <si>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</si>
  <si>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</si>
  <si>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</si>
  <si>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</si>
  <si>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</si>
  <si>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</si>
  <si>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</si>
  <si>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</si>
  <si>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</si>
  <si>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</si>
  <si>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</si>
  <si>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</si>
  <si>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</si>
  <si>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</si>
  <si>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</si>
  <si>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</si>
  <si>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</si>
  <si>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</si>
  <si>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</si>
  <si>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</si>
  <si>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</si>
  <si>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</si>
  <si>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</si>
  <si>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</si>
  <si>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</si>
  <si>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</si>
  <si>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</si>
  <si>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</si>
  <si>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</si>
  <si>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</si>
  <si>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</si>
  <si>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</si>
  <si>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</si>
  <si>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</si>
  <si>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</si>
  <si>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</si>
  <si>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</si>
  <si>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</si>
  <si>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</si>
  <si>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</si>
  <si>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</si>
  <si>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</si>
  <si>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</si>
  <si>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</si>
  <si>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</si>
  <si>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</si>
  <si>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</si>
  <si>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</si>
  <si>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</si>
  <si>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</si>
  <si>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</si>
  <si>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</si>
  <si>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</si>
  <si>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</si>
  <si>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</si>
  <si>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</si>
  <si>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</si>
  <si>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</si>
  <si>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</si>
  <si>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</si>
  <si>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</si>
  <si>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</si>
  <si>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</si>
  <si>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</si>
  <si>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</si>
  <si>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</si>
  <si>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</si>
  <si>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</si>
  <si>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</si>
  <si>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</si>
  <si>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</si>
  <si>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</si>
  <si>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</si>
  <si>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</si>
  <si>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</si>
  <si>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</si>
  <si>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</si>
  <si>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</si>
  <si>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</si>
  <si>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</si>
  <si>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</si>
  <si>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</si>
  <si>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</si>
  <si>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</si>
  <si>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</si>
  <si>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</si>
  <si>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</si>
  <si>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</si>
  <si>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</si>
  <si>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</si>
  <si>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</si>
  <si>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</si>
  <si>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</si>
  <si>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</si>
  <si>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</si>
  <si>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</si>
  <si>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</si>
  <si>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</si>
  <si>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</si>
  <si>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</si>
  <si>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</si>
  <si>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</si>
  <si>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</si>
  <si>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</si>
  <si>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</si>
  <si>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</si>
  <si>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</si>
  <si>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</si>
  <si>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</si>
  <si>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</si>
  <si>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</si>
  <si>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</si>
  <si>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</si>
  <si>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</si>
  <si>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</si>
  <si>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</si>
  <si>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FRONT-DOOR TOOLS  (client-facing diagnostics that find &amp; qualify clients, then lead into the core work)</t>
  </si>
  <si>
    <t>AISR — AI Search Readiness</t>
  </si>
  <si>
    <t>how AI assistants (ChatGPT, Gemini, Claude) describe your business — the new SEO</t>
  </si>
  <si>
    <t>Scan how AI assistants describe you today</t>
  </si>
  <si>
    <t>Find the on-site cause of gaps or errors</t>
  </si>
  <si>
    <t>Apply approved on-site fixes</t>
  </si>
  <si>
    <t>Draft · Sync</t>
  </si>
  <si>
    <t>AIWSC — Website Security Check</t>
  </si>
  <si>
    <t>read-only security fit-check, scoped strictly by client authorization</t>
  </si>
  <si>
    <t>Read-only security fit-check (authorized scope only)</t>
  </si>
  <si>
    <t>Monitor · Validate</t>
  </si>
  <si>
    <t>Flag issues by risk level</t>
  </si>
  <si>
    <t>Report with a prioritized, plain-language fix list</t>
  </si>
  <si>
    <t>ALSO — internal capability (we can do these; not part of the core offering, not advertised on the public site):</t>
  </si>
  <si>
    <t>Website build</t>
  </si>
  <si>
    <t>simple → complex sites (vortexdeep.ch, mgredshift.ch)</t>
  </si>
  <si>
    <t>Trading-system analysis</t>
  </si>
  <si>
    <t>metrics by timeframe &amp; instrument (FX, metals…)</t>
  </si>
  <si>
    <t>★ marks a clean client-facing shortlist ready to expose on the website under each sub-area. Everything else stays as internal depth. List is representative and expandable.</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</si>
  <si>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</si>
  <si>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</si>
  <si>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</si>
  <si>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</si>
  <si>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</si>
  <si>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</si>
  <si>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</si>
  <si>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</si>
  <si>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</si>
  <si>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</si>
  <si>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</si>
  <si>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</si>
  <si>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</si>
  <si>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</si>
  <si>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</si>
  <si>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</si>
  <si>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</si>
  <si>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</si>
  <si>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</si>
  <si>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</si>
  <si>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</si>
  <si>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</si>
  <si>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</si>
  <si>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</si>
  <si>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</si>
  <si>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</si>
  <si>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</si>
  <si>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</si>
  <si>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</si>
  <si>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</si>
  <si>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</si>
  <si>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</si>
  <si>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</si>
  <si>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</si>
  <si>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</si>
  <si>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</si>
  <si>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</si>
  <si>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</si>
  <si>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</si>
  <si>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</si>
  <si>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</si>
  <si>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</si>
  <si>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</si>
  <si>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</si>
  <si>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</si>
  <si>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</si>
  <si>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</si>
  <si>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</si>
  <si>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</si>
  <si>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</si>
  <si>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</si>
  <si>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</si>
  <si>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</si>
  <si>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</si>
  <si>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</si>
  <si>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</si>
  <si>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</si>
  <si>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</si>
  <si>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</si>
  <si>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</si>
  <si>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</si>
  <si>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</si>
  <si>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</si>
  <si>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</si>
  <si>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</si>
  <si>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</si>
  <si>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</si>
  <si>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</si>
  <si>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</si>
  <si>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</si>
  <si>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</si>
  <si>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</si>
  <si>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</si>
  <si>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</si>
  <si>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</si>
  <si>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</si>
  <si>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</si>
  <si>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</si>
  <si>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</si>
  <si>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</si>
  <si>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</si>
  <si>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</si>
  <si>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</si>
  <si>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</si>
  <si>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</si>
  <si>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</si>
  <si>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</si>
  <si>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</si>
  <si>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</si>
  <si>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</si>
  <si>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</si>
  <si>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</si>
  <si>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</si>
  <si>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</si>
  <si>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</si>
  <si>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</si>
  <si>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</si>
  <si>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</si>
  <si>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</si>
  <si>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</si>
  <si>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</si>
  <si>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</si>
  <si>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</si>
  <si>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</si>
  <si>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</si>
  <si>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</si>
  <si>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</si>
  <si>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</si>
  <si>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</si>
  <si>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</si>
  <si>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</si>
  <si>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</si>
  <si>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</si>
  <si>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</si>
  <si>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</si>
  <si>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</si>
  <si>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</si>
  <si>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</si>
  <si>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</si>
  <si>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</si>
  <si>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</si>
  <si>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</si>
  <si>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</si>
  <si>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</si>
  <si>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</si>
  <si>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</si>
  <si>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</si>
  <si>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</si>
  <si>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</si>
  <si>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</si>
  <si>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</si>
  <si>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</si>
  <si>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</si>
  <si>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</si>
  <si>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</si>
  <si>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</si>
  <si>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</si>
  <si>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</si>
  <si>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</si>
  <si>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own Make workspace</t>
  </si>
  <si>
    <t>Monthly support model</t>
  </si>
  <si>
    <t>Monthly multiplier</t>
  </si>
  <si>
    <t>Typical monthly logic</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</si>
  <si>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</si>
  <si>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</si>
  <si>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</si>
  <si>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</si>
  <si>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</si>
  <si>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</si>
  <si>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</si>
  <si>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</si>
  <si>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</si>
  <si>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</si>
  <si>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</si>
  <si>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</si>
  <si>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</si>
  <si>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</si>
  <si>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</si>
  <si>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</si>
  <si>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</si>
  <si>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</si>
  <si>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</si>
  <si>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</si>
  <si>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</si>
  <si>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</si>
  <si>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</si>
  <si>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</si>
  <si>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</si>
  <si>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</si>
  <si>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</si>
  <si>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</si>
  <si>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</si>
  <si>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</si>
  <si>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</si>
  <si>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</si>
  <si>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</si>
  <si>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</si>
  <si>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</si>
  <si>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</si>
  <si>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</si>
  <si>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</si>
  <si>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</si>
  <si>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</si>
  <si>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</si>
  <si>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</si>
  <si>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</si>
  <si>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</si>
  <si>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</si>
  <si>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</si>
  <si>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</si>
  <si>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</si>
  <si>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</si>
  <si>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</si>
  <si>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</si>
  <si>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</si>
  <si>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</si>
  <si>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</si>
  <si>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</si>
  <si>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</si>
  <si>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</si>
  <si>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</si>
  <si>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</si>
  <si>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</si>
  <si>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</si>
  <si>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</si>
  <si>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</si>
  <si>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</si>
  <si>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</si>
  <si>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</si>
  <si>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</si>
  <si>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</si>
  <si>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</si>
  <si>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</si>
  <si>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</si>
  <si>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</si>
  <si>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</si>
  <si>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</si>
  <si>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</si>
  <si>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</si>
  <si>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</si>
  <si>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</si>
  <si>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</si>
  <si>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</si>
  <si>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</si>
  <si>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</si>
  <si>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</si>
  <si>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</si>
  <si>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</si>
  <si>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</si>
  <si>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</si>
  <si>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</si>
  <si>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</si>
  <si>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</si>
  <si>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</si>
  <si>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</si>
  <si>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</si>
  <si>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</si>
  <si>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</si>
  <si>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</si>
  <si>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</si>
  <si>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</si>
  <si>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</si>
  <si>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</si>
  <si>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</si>
  <si>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</si>
  <si>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</si>
  <si>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</si>
  <si>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</si>
  <si>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</si>
  <si>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</si>
  <si>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</si>
  <si>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</si>
  <si>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</si>
  <si>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</si>
  <si>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</si>
  <si>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</si>
  <si>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</si>
  <si>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</si>
  <si>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</si>
  <si>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</si>
  <si>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</si>
  <si>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</si>
  <si>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</si>
  <si>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</si>
  <si>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</si>
  <si>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</si>
  <si>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</si>
  <si>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</si>
  <si>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</si>
  <si>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</si>
  <si>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</si>
  <si>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</si>
  <si>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</si>
  <si>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</si>
  <si>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</si>
  <si>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</si>
  <si>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</si>
  <si>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</si>
  <si>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</si>
  <si>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</si>
  <si>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</si>
  <si>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</si>
  <si>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</si>
  <si>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</si>
  <si>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</si>
  <si>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</si>
  <si>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</si>
  <si>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</si>
  <si>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</si>
  <si>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</si>
  <si>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</si>
  <si>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</si>
  <si>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</si>
  <si>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</si>
  <si>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</si>
  <si>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</si>
  <si>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</si>
  <si>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</si>
  <si>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</si>
  <si>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</si>
  <si>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</si>
  <si>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</si>
  <si>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</si>
  <si>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</si>
  <si>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</si>
  <si>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</si>
  <si>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</si>
  <si>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</si>
  <si>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</si>
  <si>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</si>
  <si>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</si>
  <si>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</si>
  <si>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</si>
  <si>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</si>
  <si>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</si>
  <si>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</si>
  <si>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</si>
  <si>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</si>
  <si>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</si>
  <si>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</si>
  <si>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</si>
  <si>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</si>
  <si>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</si>
  <si>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</si>
  <si>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</si>
  <si>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</si>
  <si>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</si>
  <si>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</si>
  <si>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</si>
  <si>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</si>
  <si>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</si>
  <si>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</si>
  <si>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</si>
  <si>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</si>
  <si>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</si>
  <si>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</si>
  <si>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</si>
  <si>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</si>
  <si>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</si>
  <si>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</si>
  <si>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</si>
  <si>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</si>
  <si>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</si>
  <si>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</si>
  <si>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</si>
  <si>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</si>
  <si>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</si>
  <si>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</si>
  <si>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</si>
  <si>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</si>
  <si>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</si>
  <si>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</si>
  <si>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</si>
  <si>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</si>
  <si>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</si>
  <si>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</si>
  <si>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</si>
  <si>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</si>
  <si>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</si>
  <si>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</si>
  <si>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</si>
  <si>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</si>
  <si>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</si>
  <si>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</si>
  <si>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</si>
  <si>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</si>
  <si>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</si>
  <si>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</si>
  <si>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</si>
  <si>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</si>
  <si>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</si>
  <si>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</si>
  <si>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</si>
  <si>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</si>
  <si>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</si>
  <si>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</si>
  <si>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</si>
  <si>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</si>
  <si>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</si>
  <si>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</si>
  <si>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</si>
  <si>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</si>
  <si>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</si>
  <si>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</si>
  <si>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</si>
  <si>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</si>
  <si>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</si>
  <si>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</si>
  <si>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</si>
  <si>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</si>
  <si>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</si>
  <si>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</si>
  <si>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</si>
  <si>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</si>
  <si>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</si>
  <si>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</si>
  <si>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</si>
  <si>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</si>
  <si>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</si>
  <si>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</si>
  <si>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</si>
  <si>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</si>
  <si>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</si>
  <si>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</si>
  <si>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</si>
  <si>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</si>
  <si>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</si>
  <si>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</si>
  <si>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</si>
  <si>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</si>
  <si>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</si>
  <si>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</si>
  <si>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</si>
  <si>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</si>
  <si>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</si>
  <si>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</si>
  <si>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</si>
  <si>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</si>
  <si>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</si>
  <si>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</si>
  <si>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</si>
  <si>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</si>
  <si>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</si>
  <si>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</si>
  <si>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</si>
  <si>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</si>
  <si>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</si>
  <si>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</si>
  <si>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</si>
  <si>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</si>
  <si>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</si>
  <si>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</si>
  <si>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</si>
  <si>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</si>
  <si>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</si>
  <si>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</si>
  <si>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</si>
  <si>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</si>
  <si>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</si>
  <si>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</si>
  <si>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</si>
  <si>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</si>
  <si>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</si>
  <si>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</si>
  <si>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</si>
  <si>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</si>
  <si>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</si>
  <si>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</si>
  <si>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</si>
  <si>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</si>
  <si>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</si>
  <si>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</si>
  <si>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</si>
  <si>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</si>
  <si>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</si>
  <si>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</si>
  <si>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</si>
  <si>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</si>
  <si>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</si>
  <si>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</si>
  <si>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Front-Door Tools — Pricing (AISR &amp; AIWSC)</t>
  </si>
  <si>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</si>
  <si>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AISR — AI Search Readiness   ·   pipeline &amp; 3 packages (prices per AISR-Process.docx)</t>
  </si>
  <si>
    <t>Pipeline:</t>
  </si>
  <si>
    <t>1 Audit (free, no AI) → 2 Fill facts → 3 Test/teaser (free) → 4 Fix (paid) → 5 Verify → Managed (paid). Client sees only a TEASER; the full report, fixes and implementation stay behind payment.</t>
  </si>
  <si>
    <t>What the client gets</t>
  </si>
  <si>
    <t>Price (CHF)</t>
  </si>
  <si>
    <t>Note</t>
  </si>
  <si>
    <t>Free teaser</t>
  </si>
  <si>
    <t>Audit + readiness score + 2–3 real AI errors</t>
  </si>
  <si>
    <t>read-only; cents of API</t>
  </si>
  <si>
    <t>no</t>
  </si>
  <si>
    <t>Wins the project — your Fit Check</t>
  </si>
  <si>
    <t>Fix</t>
  </si>
  <si>
    <t>Full readiness report + implemented fixes + before/after</t>
  </si>
  <si>
    <t>approved on-site edits</t>
  </si>
  <si>
    <t>The full report lives here, not in the teaser</t>
  </si>
  <si>
    <t>Repeat testing + small approved fixes over time</t>
  </si>
  <si>
    <t>ongoing</t>
  </si>
  <si>
    <t>yes</t>
  </si>
  <si>
    <t>Off-site citation work is the effective half</t>
  </si>
  <si>
    <t>Source: your AISR-Process.docx (documented prices). Free = steps 1–3; Paid = full report + fixes + verify + managed.</t>
  </si>
  <si>
    <t>AIWSC — Website Security Check   ·   two axes: DEPTH (numbered) × AUTHORIZATION (named)</t>
  </si>
  <si>
    <t>Your AIWSC-Scanning-Policy.docx is explicit: keep depth and authorization apart — mixing them into one number line causes confusion.</t>
  </si>
  <si>
    <t>DEPTH — the mode numbers (on every report &amp; filename)</t>
  </si>
  <si>
    <t>Mode</t>
  </si>
  <si>
    <t>Reads</t>
  </si>
  <si>
    <t>Permission</t>
  </si>
  <si>
    <t>Command</t>
  </si>
  <si>
    <t>mode-00 triage</t>
  </si>
  <si>
    <t>Public records only: DNS + certificate</t>
  </si>
  <si>
    <t>None needed (internal)</t>
  </si>
  <si>
    <t>triage --client &lt;domain&gt;</t>
  </si>
  <si>
    <t>mode-05 inspect</t>
  </si>
  <si>
    <t>The delivered page(s) you name: headers, cookies, version + above</t>
  </si>
  <si>
    <t>inspect --client &lt;domain-or-URL&gt;</t>
  </si>
  <si>
    <t>mode-10 scan</t>
  </si>
  <si>
    <t>Full light scan: above + the tool's own checks (e.g. redirect test)</t>
  </si>
  <si>
    <t>Needs authorization</t>
  </si>
  <si>
    <t>scan --client &lt;domain&gt;</t>
  </si>
  <si>
    <t>mode-15 scan --deeper</t>
  </si>
  <si>
    <t>Above + sensitive-file exposure probe (.env / .git)</t>
  </si>
  <si>
    <t>Needs auth covering ACTIVE testing</t>
  </si>
  <si>
    <t>scan --client &lt;domain&gt; --deeper</t>
  </si>
  <si>
    <t>AUTHORIZATION — named, not numbered (who said yes)</t>
  </si>
  <si>
    <t>self-owned</t>
  </si>
  <si>
    <t>a domain we control — self-attested</t>
  </si>
  <si>
    <t>built-by-VD</t>
  </si>
  <si>
    <t>site we built/maintain — consent as a standing clause in the contract</t>
  </si>
  <si>
    <t>client</t>
  </si>
  <si>
    <t>the site owner's written consent (self-serve: prove ownership = the consent)</t>
  </si>
  <si>
    <t>Same depth (e.g. mode-10) can run under any authorization — depth and authorization are independent.</t>
  </si>
  <si>
    <t>COMMERCIAL — free front door, paid fixes (AIWSC has no documented price yet; figures indicative)</t>
  </si>
  <si>
    <t>Tier</t>
  </si>
  <si>
    <t>Free scan</t>
  </si>
  <si>
    <t>Light scan + plain-language report, self-serve, ownership-verified</t>
  </si>
  <si>
    <t>mode 00–10 · owner-initiated</t>
  </si>
  <si>
    <t>The front door (no cold outreach)</t>
  </si>
  <si>
    <t>Agreed remediation (certs, headers, email auth, updates) + re-scan proof</t>
  </si>
  <si>
    <t>approved changes · client consent</t>
  </si>
  <si>
    <t>Where the work is paid</t>
  </si>
  <si>
    <t>Deep check</t>
  </si>
  <si>
    <t>mode-15 active exposure probe (.env/.git)</t>
  </si>
  <si>
    <t>needs ACTIVE-testing auth</t>
  </si>
  <si>
    <t>Only inside a proper engagement</t>
  </si>
  <si>
    <t>Periodic re-scan + monitoring</t>
  </si>
  <si>
    <t>scoped standing consent</t>
  </si>
  <si>
    <t>Or refer deep manual pentest to a partner</t>
  </si>
  <si>
    <t>GUARDRAILS (from your own docs)</t>
  </si>
  <si>
    <t>• Read-only &amp; invited only: read what a site already exposes; never alter/break in; never scan strangers uninvited.</t>
  </si>
  <si>
    <t>• Authority = ownership OR written consent. Building a site doesn't grant it — but lets consent be a standing contract clause.</t>
  </si>
  <si>
    <t>• AIWSC is a scan-level assessment, NOT a manual penetration test — refer true pentests to a specialist partner.</t>
  </si>
  <si>
    <t>• Have a Swiss lawyer review the standing-clause wording and any outreach before the first client.</t>
  </si>
  <si>
    <t>• SECURITY: API_KEYS.txt is still committed in VDt_02_aisr — rotate those keys and make the repo private.</t>
  </si>
  <si>
    <t>MARKET COMPARISON (2026)  —  where VortexDeep sits vs typical providers</t>
  </si>
  <si>
    <t>Market figures are USD/EUR; treat as rough CHF parity (USD ≈ 0.85 CHF, EUR ≈ 0.94 CHF). VD is deliberately at the accessible / SME end — below agencies. The edge is honesty + human-in-the-loop, not being cheapest.</t>
  </si>
  <si>
    <t>AISR — AI Search Readiness (AEO / GEO)</t>
  </si>
  <si>
    <t>Typical market (2026)</t>
  </si>
  <si>
    <t>Where VD sits</t>
  </si>
  <si>
    <t>Free teaser / scan</t>
  </si>
  <si>
    <t>At/below — free front door</t>
  </si>
  <si>
    <t>One-time (audit → fix)</t>
  </si>
  <si>
    <t>Mid-market one-time, below retainers</t>
  </si>
  <si>
    <t>Managed / month</t>
  </si>
  <si>
    <t>Well below agencies — SME-accessible</t>
  </si>
  <si>
    <t>(Enterprise)</t>
  </si>
  <si>
    <t>VD doesn't play here (non-core)</t>
  </si>
  <si>
    <t>Sources: Digital Elevator, FuelOnline, OutreachBloom, WebFX, HouseOfMVPs (2026).</t>
  </si>
  <si>
    <t>At market — free front door</t>
  </si>
  <si>
    <t>One-time fix / assessment</t>
  </si>
  <si>
    <t>Scoped web-app assessments $4,000–10,000; remediation ≈30% of audit</t>
  </si>
  <si>
    <t>Below — honestly scan-level, not pentest</t>
  </si>
  <si>
    <t>Deep check (mode-15)</t>
  </si>
  <si>
    <t>(bundled into paid assessments)</t>
  </si>
  <si>
    <t>Light add-on</t>
  </si>
  <si>
    <t>At/below market</t>
  </si>
  <si>
    <t>(Manual pentest)</t>
  </si>
  <si>
    <t>Out of scope — VD refers out</t>
  </si>
  <si>
    <t>Sources: Invicti, DeepStrike, BrightDefense, BudgetSecurity, Code Bridge (2026). Note: a 'pentest' under ~$4k is usually just a scan.</t>
  </si>
  <si>
    <t>WHY THE PRICE HOLDS — the differentiators (from the tool internals)</t>
  </si>
  <si>
    <t>• AISR is ground-truth-based: it measures AI answers against what's TRUE about the business (products, what it is NOT, claims never to make) — not vanity metrics.</t>
  </si>
  <si>
    <t>• AISR fixes are evidence-based and gimmick-free: no llms.txt tricks, no schema unbacked by visible content; every fix is minimum-change and human-approved.</t>
  </si>
  <si>
    <t>• AIWSC is honestly scoped: read-only, consent-first, plain-language, with disclaimers — a trustworthy front door, never fear-sold, never a pentest in disguise.</t>
  </si>
  <si>
    <t>• Both start FREE and convert up as trust grows — the same human-in-the-loop posture as the core offering. That's the sell, not undercutting on price.</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</si>
  <si>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</si>
  <si>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</si>
  <si>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</si>
  <si>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</si>
  <si>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</si>
  <si>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</si>
  <si>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</si>
  <si>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</si>
  <si>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</si>
  <si>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</si>
  <si>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</si>
  <si>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</si>
  <si>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</si>
  <si>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</si>
  <si>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</si>
  <si>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</si>
  <si>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</si>
  <si>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</si>
  <si>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</si>
  <si>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</si>
  <si>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</si>
  <si>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</si>
  <si>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</si>
  <si>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</si>
  <si>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</si>
  <si>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</si>
  <si>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</si>
  <si>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</si>
  <si>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</si>
  <si>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</si>
  <si>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</si>
  <si>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</si>
  <si>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</si>
  <si>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</si>
  <si>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</si>
  <si>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</si>
  <si>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</si>
  <si>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</si>
  <si>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</si>
  <si>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</si>
  <si>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</si>
  <si>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</si>
  <si>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</si>
  <si>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</si>
  <si>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</si>
  <si>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</si>
  <si>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</si>
  <si>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</si>
  <si>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</si>
  <si>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</si>
  <si>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</si>
  <si>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</si>
  <si>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</si>
  <si>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</si>
  <si>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</si>
  <si>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</si>
  <si>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</si>
  <si>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</si>
  <si>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</si>
  <si>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</si>
  <si>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</si>
  <si>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</si>
  <si>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</si>
  <si>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</si>
  <si>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</si>
  <si>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</si>
  <si>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</si>
  <si>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</si>
  <si>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</si>
  <si>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</si>
  <si>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</si>
  <si>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</si>
  <si>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</si>
  <si>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</si>
  <si>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</si>
  <si>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</si>
  <si>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</si>
  <si>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</si>
  <si>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</si>
  <si>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</si>
  <si>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</si>
  <si>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</si>
  <si>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</si>
  <si>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</si>
  <si>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</si>
  <si>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</si>
  <si>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</si>
  <si>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</si>
  <si>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</si>
  <si>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</si>
  <si>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</si>
  <si>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</si>
  <si>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</si>
  <si>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</si>
  <si>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</si>
  <si>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</si>
  <si>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</si>
  <si>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</si>
  <si>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</si>
  <si>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</si>
  <si>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</si>
  <si>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</si>
  <si>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</si>
  <si>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</si>
  <si>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</si>
  <si>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</si>
  <si>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</si>
  <si>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</si>
  <si>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</si>
  <si>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</si>
  <si>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</si>
  <si>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</si>
  <si>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</si>
  <si>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</si>
  <si>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</si>
  <si>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</si>
  <si>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</si>
  <si>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</si>
  <si>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</si>
  <si>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</si>
  <si>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</si>
  <si>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</si>
  <si>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</si>
  <si>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</si>
  <si>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</si>
  <si>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</si>
  <si>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</si>
  <si>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</si>
  <si>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</si>
  <si>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</si>
  <si>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</si>
  <si>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</si>
  <si>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</si>
  <si>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</si>
  <si>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</si>
  <si>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</si>
  <si>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</si>
  <si>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</si>
  <si>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</si>
  <si>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</si>
  <si>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</si>
  <si>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</si>
  <si>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</si>
  <si>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</si>
  <si>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</si>
  <si>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</si>
  <si>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</si>
  <si>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</si>
  <si>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</si>
  <si>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</si>
  <si>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</si>
  <si>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</si>
  <si>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</si>
  <si>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</si>
  <si>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</si>
  <si>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</si>
  <si>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</si>
  <si>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</si>
  <si>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</si>
  <si>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</si>
  <si>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</si>
  <si>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Support Matrix</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</si>
  <si>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</si>
  <si>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</si>
  <si>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</si>
  <si>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</si>
  <si>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</si>
  <si>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</si>
  <si>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</si>
  <si>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</si>
  <si>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</si>
  <si>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</si>
  <si>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</si>
  <si>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</si>
  <si>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</si>
  <si>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</si>
  <si>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</si>
  <si>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</si>
  <si>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</si>
  <si>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</si>
  <si>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</si>
  <si>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</si>
  <si>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</si>
  <si>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</si>
  <si>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</si>
  <si>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</si>
  <si>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</si>
  <si>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</si>
  <si>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</si>
  <si>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</si>
  <si>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</si>
  <si>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</si>
  <si>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</si>
  <si>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</si>
  <si>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</si>
  <si>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</si>
  <si>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</si>
  <si>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</si>
  <si>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</si>
  <si>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</si>
  <si>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</si>
  <si>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</si>
  <si>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</si>
  <si>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</si>
  <si>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</si>
  <si>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</si>
  <si>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</si>
  <si>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</si>
  <si>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</si>
  <si>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</si>
  <si>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</si>
  <si>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</si>
  <si>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</si>
  <si>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</si>
  <si>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</si>
  <si>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</si>
  <si>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</si>
  <si>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</si>
  <si>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</si>
  <si>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</si>
  <si>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</si>
  <si>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</si>
  <si>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</si>
  <si>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</si>
  <si>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</si>
  <si>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</si>
  <si>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</si>
  <si>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</si>
  <si>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</si>
  <si>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</si>
  <si>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</si>
  <si>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</si>
  <si>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</si>
  <si>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</si>
  <si>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</si>
  <si>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</si>
  <si>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</si>
  <si>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</si>
  <si>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</si>
  <si>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</si>
  <si>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</si>
  <si>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</si>
  <si>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</si>
  <si>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</si>
  <si>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</si>
  <si>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</si>
  <si>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</si>
  <si>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</si>
  <si>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</si>
  <si>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</si>
  <si>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</si>
  <si>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</si>
  <si>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</si>
  <si>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</si>
  <si>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</si>
  <si>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</si>
  <si>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</si>
  <si>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</si>
  <si>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</si>
  <si>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</si>
  <si>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</si>
  <si>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</si>
  <si>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</si>
  <si>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</si>
  <si>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</si>
  <si>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</si>
  <si>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</si>
  <si>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</si>
  <si>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</si>
  <si>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</si>
  <si>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</si>
  <si>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</si>
  <si>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</si>
  <si>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</si>
  <si>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</si>
  <si>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</si>
  <si>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</si>
  <si>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</si>
  <si>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</si>
  <si>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</si>
  <si>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</si>
  <si>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</si>
  <si>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</si>
  <si>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</si>
  <si>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</si>
  <si>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</si>
  <si>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</si>
  <si>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</si>
  <si>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</si>
  <si>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</si>
  <si>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</si>
  <si>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</si>
  <si>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</si>
  <si>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</si>
  <si>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</si>
  <si>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</si>
  <si>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</si>
  <si>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</si>
  <si>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</si>
  <si>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</si>
  <si>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</si>
  <si>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</si>
  <si>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</si>
  <si>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</si>
  <si>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</si>
  <si>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</si>
  <si>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</si>
  <si>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</si>
  <si>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</si>
  <si>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</si>
  <si>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</si>
  <si>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</si>
  <si>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</si>
  <si>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</si>
  <si>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</si>
  <si>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</si>
  <si>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</si>
  <si>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</si>
  <si>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</si>
  <si>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</si>
  <si>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</si>
  <si>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</si>
  <si>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</si>
  <si>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</si>
  <si>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</si>
  <si>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</si>
  <si>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</si>
  <si>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</si>
  <si>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</si>
  <si>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</si>
  <si>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</si>
  <si>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</si>
  <si>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</si>
  <si>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</si>
  <si>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</si>
  <si>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</si>
  <si>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</si>
  <si>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</si>
  <si>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</si>
  <si>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</si>
  <si>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</si>
  <si>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</si>
  <si>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</si>
  <si>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</si>
  <si>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</si>
  <si>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</si>
  <si>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</si>
  <si>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</si>
  <si>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</si>
  <si>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</si>
  <si>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</si>
  <si>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</si>
  <si>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</si>
  <si>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</si>
  <si>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</si>
  <si>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</si>
  <si>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</si>
  <si>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</si>
  <si>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</si>
  <si>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</si>
  <si>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</si>
  <si>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</si>
  <si>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</si>
  <si>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</si>
  <si>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</si>
  <si>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</si>
  <si>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</si>
  <si>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</si>
  <si>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</si>
  <si>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</si>
  <si>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</si>
  <si>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</si>
  <si>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</si>
  <si>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</si>
  <si>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</si>
  <si>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</si>
  <si>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</si>
  <si>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</si>
  <si>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</si>
  <si>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</si>
  <si>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</si>
  <si>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</si>
  <si>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</si>
  <si>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</si>
  <si>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</si>
  <si>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</si>
  <si>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</si>
  <si>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</si>
  <si>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</si>
  <si>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</si>
  <si>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</si>
  <si>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</si>
  <si>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</si>
  <si>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</si>
  <si>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</si>
  <si>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</si>
  <si>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</si>
  <si>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</si>
  <si>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</si>
  <si>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</si>
  <si>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</si>
  <si>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</si>
  <si>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</si>
  <si>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</si>
  <si>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</si>
  <si>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</si>
  <si>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</si>
  <si>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</si>
  <si>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</si>
  <si>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</si>
  <si>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</si>
  <si>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</si>
  <si>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</si>
  <si>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</si>
  <si>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</si>
  <si>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</si>
  <si>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</si>
  <si>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</si>
  <si>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</si>
  <si>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</si>
  <si>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</si>
  <si>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</si>
  <si>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</si>
  <si>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</si>
  <si>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</si>
  <si>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</si>
  <si>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</si>
  <si>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</si>
  <si>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</si>
  <si>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</si>
  <si>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</si>
  <si>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</si>
  <si>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</si>
  <si>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</si>
  <si>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</si>
  <si>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</si>
  <si>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</si>
  <si>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</si>
  <si>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</si>
  <si>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</si>
  <si>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</si>
  <si>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</si>
  <si>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</si>
  <si>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</si>
  <si>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</si>
  <si>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</si>
  <si>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</si>
  <si>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</si>
  <si>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</si>
  <si>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</si>
  <si>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</si>
  <si>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</si>
  <si>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</si>
  <si>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</si>
  <si>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</si>
  <si>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</si>
  <si>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</si>
  <si>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</si>
  <si>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</si>
  <si>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</si>
  <si>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</si>
  <si>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</si>
  <si>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</si>
  <si>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</si>
  <si>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</si>
  <si>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</si>
  <si>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</si>
  <si>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</si>
  <si>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</si>
  <si>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</si>
  <si>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</si>
  <si>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</si>
  <si>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</si>
  <si>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</si>
  <si>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</si>
  <si>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</si>
  <si>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</si>
  <si>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</si>
  <si>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</si>
  <si>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</si>
  <si>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</si>
  <si>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</si>
  <si>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</si>
  <si>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</si>
  <si>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</si>
  <si>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</si>
  <si>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</si>
  <si>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</si>
  <si>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</si>
  <si>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</si>
  <si>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</si>
  <si>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</si>
  <si>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</si>
  <si>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</si>
  <si>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</si>
  <si>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</si>
  <si>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</si>
  <si>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</si>
  <si>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</si>
  <si>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</si>
  <si>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</si>
  <si>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</si>
  <si>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</si>
  <si>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</si>
  <si>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</si>
  <si>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</si>
  <si>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</si>
  <si>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</si>
  <si>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</si>
  <si>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</si>
  <si>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</si>
  <si>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</si>
  <si>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</si>
  <si>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</si>
  <si>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</si>
  <si>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</si>
  <si>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</si>
  <si>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</si>
  <si>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</si>
  <si>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</si>
  <si>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</si>
  <si>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</si>
  <si>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</si>
  <si>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</si>
  <si>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</si>
  <si>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</si>
  <si>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</si>
  <si>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</si>
  <si>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</si>
  <si>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</si>
  <si>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</si>
  <si>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</si>
  <si>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</si>
  <si>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</si>
  <si>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</si>
  <si>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</si>
  <si>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</si>
  <si>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</si>
  <si>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</si>
  <si>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</si>
  <si>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</si>
  <si>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</si>
  <si>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</si>
  <si>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</si>
  <si>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</si>
  <si>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</si>
  <si>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</si>
  <si>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</si>
  <si>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</si>
  <si>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</si>
  <si>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</si>
  <si>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</si>
  <si>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</si>
  <si>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</si>
  <si>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</si>
  <si>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</si>
  <si>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</si>
  <si>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</si>
  <si>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</si>
  <si>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</si>
  <si>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</si>
  <si>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</si>
  <si>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</si>
  <si>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</si>
  <si>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</si>
  <si>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</si>
  <si>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</si>
  <si>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</si>
  <si>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</si>
  <si>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</si>
  <si>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</si>
  <si>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</si>
  <si>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</si>
  <si>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</si>
  <si>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</si>
  <si>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</si>
  <si>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</si>
  <si>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</si>
  <si>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</si>
  <si>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</si>
  <si>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</si>
  <si>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</si>
  <si>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</si>
  <si>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</si>
  <si>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</si>
  <si>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</si>
  <si>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</si>
  <si>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</si>
  <si>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</si>
  <si>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</si>
  <si>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</si>
  <si>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</si>
  <si>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</si>
  <si>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</si>
  <si>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</si>
  <si>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</si>
  <si>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</si>
  <si>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</si>
  <si>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</si>
  <si>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</si>
  <si>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</si>
  <si>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</si>
  <si>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</si>
  <si>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</si>
  <si>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</si>
  <si>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</si>
  <si>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</si>
  <si>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</si>
  <si>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</si>
  <si>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</si>
  <si>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</si>
  <si>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</si>
  <si>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</si>
  <si>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</si>
  <si>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</si>
  <si>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</si>
  <si>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</si>
  <si>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</si>
  <si>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</si>
  <si>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</si>
  <si>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</si>
  <si>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</si>
  <si>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</si>
  <si>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</si>
  <si>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</si>
  <si>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</si>
  <si>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</si>
  <si>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</si>
  <si>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</si>
  <si>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</si>
  <si>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</si>
  <si>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</si>
  <si>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</si>
  <si>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</si>
  <si>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</si>
  <si>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</si>
  <si>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</si>
  <si>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</si>
  <si>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</si>
  <si>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</si>
  <si>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</si>
  <si>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</si>
  <si>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</si>
  <si>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</si>
  <si>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</si>
  <si>
    <t>min</t>
  </si>
  <si>
    <t>max</t>
  </si>
  <si>
    <t>note</t>
  </si>
  <si>
    <t>month</t>
  </si>
  <si>
    <t>one-time</t>
  </si>
  <si>
    <t>-</t>
  </si>
  <si>
    <t>add-on</t>
  </si>
  <si>
    <t>(not offered)</t>
  </si>
  <si>
    <t>VD (CHF)</t>
  </si>
  <si>
    <t>TM</t>
  </si>
  <si>
    <t>TM (USD)</t>
  </si>
  <si>
    <t>year</t>
  </si>
  <si>
    <t>Free scans common; DIY scanner tools</t>
  </si>
  <si>
    <t>remediation ≈30% of audit</t>
  </si>
  <si>
    <t>(≈ 250 – 670/mo)</t>
  </si>
  <si>
    <t>Free audits &amp; 30-min calls common; tracking tools:</t>
  </si>
  <si>
    <t>fixed 'foundation' builds ~$5,000</t>
  </si>
  <si>
    <t>One-time audits:</t>
  </si>
  <si>
    <t>entry $1,000–2,500</t>
  </si>
  <si>
    <t>Mid-market retainers:</t>
  </si>
  <si>
    <t>Per month:</t>
  </si>
  <si>
    <t>Manual pentest:</t>
  </si>
  <si>
    <t>EUR/yr</t>
  </si>
  <si>
    <t>USD</t>
  </si>
  <si>
    <t>EUR</t>
  </si>
  <si>
    <t>2026-08</t>
  </si>
  <si>
    <t>USD/mo</t>
  </si>
  <si>
    <t>Small-org annual:</t>
  </si>
  <si>
    <t>/ AI</t>
  </si>
  <si>
    <t>Access</t>
  </si>
  <si>
    <t>?</t>
  </si>
  <si>
    <t>Recurring</t>
  </si>
  <si>
    <t>/ auth</t>
  </si>
  <si>
    <t>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</si>
</sst>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7"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FFFFFF"/>
      <name val="Calibri"/>
      <family val="2"/>
    </font>
    <font>
      <b/>
      <sz val="9"/>
      <color rgb="FFFFFFFF"/>
      <name val="Arial"/>
      <family val="2"/>
    </font>
    <font>
      <b/>
      <sz val="9.5"/>
      <color rgb="FF2E2E2E"/>
      <name val="Arial"/>
      <family val="2"/>
    </font>
    <font>
      <sz val="9.5"/>
      <color rgb="FF808080"/>
      <name val="Arial"/>
      <family val="2"/>
    </font>
    <font>
      <b/>
      <sz val="9.5"/>
      <color rgb="FFB26A00"/>
      <name val="Arial"/>
      <family val="2"/>
    </font>
    <font>
      <sz val="9.5"/>
      <color rgb="FFB26A00"/>
      <name val="Arial"/>
      <family val="2"/>
    </font>
    <font>
      <sz val="9"/>
      <color rgb="FF2E2E2E"/>
      <name val="Arial"/>
      <family val="2"/>
    </font>
    <font>
      <b/>
      <sz val="9"/>
      <color rgb="FFFFFFFF"/>
      <name val="Arial"/>
      <family val="2"/>
    </font>
    <font>
      <b/>
      <sz val="12"/>
      <color rgb="FF2E2E2E"/>
      <name val="Arial"/>
      <family val="2"/>
    </font>
    <font>
      <i/>
      <sz val="9"/>
      <color rgb="FF1F6F6F"/>
      <name val="Arial"/>
      <family val="2"/>
    </font>
    <font>
      <b/>
      <sz val="15"/>
      <color rgb="FF2E2E2E"/>
      <name val="Arial"/>
      <family val="2"/>
    </font>
    <font>
      <i/>
      <sz val="9"/>
      <color rgb="FF808080"/>
      <name val="Arial"/>
      <family val="2"/>
    </font>
    <font>
      <b/>
      <sz val="10"/>
      <color rgb="FFFFFFFF"/>
      <name val="Arial"/>
      <family val="2"/>
    </font>
    <font>
      <b/>
      <sz val="9.5"/>
      <color rgb="FF2E2E2E"/>
      <name val="Arial"/>
      <family val="2"/>
    </font>
    <font>
      <sz val="9"/>
      <color rgb="FF808080"/>
      <name val="Arial"/>
      <family val="2"/>
    </font>
    <font>
      <i/>
      <sz val="8.5"/>
      <color rgb="FF808080"/>
      <name val="Arial"/>
      <family val="2"/>
    </font>
    <font>
      <b/>
      <sz val="9"/>
      <color rgb="FF1F6F6F"/>
      <name val="Arial"/>
      <family val="2"/>
    </font>
    <font>
      <b/>
      <sz val="10.5"/>
      <color rgb="FFFFFFFF"/>
      <name val="Arial"/>
      <family val="2"/>
    </font>
    <font>
      <i/>
      <sz val="8.5"/>
      <color rgb="FF1F6F6F"/>
      <name val="Arial"/>
      <family val="2"/>
    </font>
    <font>
      <sz val="10"/>
      <color rgb="FFB26A00"/>
      <name val="Arial"/>
      <family val="2"/>
    </font>
    <font>
      <b/>
      <sz val="9.5"/>
      <color rgb="FFB26A00"/>
      <name val="Arial"/>
      <family val="2"/>
    </font>
    <font>
      <sz val="11"/>
      <name val="Calibri Light"/>
      <family val="2"/>
    </font>
    <font>
      <sz val="11"/>
      <color rgb="FFC00000"/>
      <name val="Calibri Light"/>
      <family val="2"/>
    </font>
    <font>
      <b/>
      <sz val="11"/>
      <color rgb="FFFFFFFF"/>
      <name val="Calibri Light"/>
      <family val="2"/>
    </font>
    <font>
      <i/>
      <sz val="11"/>
      <color rgb="FFC00000"/>
      <name val="Calibri Light"/>
      <family val="2"/>
    </font>
    <font>
      <b/>
      <sz val="11"/>
      <color rgb="FF2E2E2E"/>
      <name val="Calibri Light"/>
      <family val="2"/>
    </font>
    <font>
      <sz val="11"/>
      <color rgb="FF808080"/>
      <name val="Calibri Light"/>
      <family val="2"/>
    </font>
    <font>
      <sz val="11"/>
      <color rgb="FF2E2E2E"/>
      <name val="Calibri Light"/>
      <family val="2"/>
    </font>
    <font>
      <i/>
      <sz val="11"/>
      <color rgb="FF8C8C8C"/>
      <name val="Calibri Light"/>
      <family val="2"/>
    </font>
    <font>
      <i/>
      <sz val="11"/>
      <color rgb="FFB26A00"/>
      <name val="Calibri Light"/>
      <family val="2"/>
    </font>
    <font>
      <sz val="11"/>
      <color rgb="FF1F6F6F"/>
      <name val="Calibri Light"/>
      <family val="2"/>
    </font>
    <font>
      <sz val="11"/>
      <color rgb="FFB26A00"/>
      <name val="Calibri Light"/>
      <family val="2"/>
    </font>
    <font>
      <i/>
      <sz val="11"/>
      <color rgb="FF808080"/>
      <name val="Calibri Light"/>
      <family val="2"/>
    </font>
  </fonts>
  <fills count="37">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
      <patternFill patternType="solid">
        <fgColor rgb="FFFFFF00"/>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204">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4" fillId="5" borderId="0" xfId="0" applyFont="1" applyFill="1" applyAlignment="1">
      <alignment horizontal="center" vertical="center" wrapText="1"/>
    </xf>
    <xf numFmtId="0" fontId="55" fillId="30" borderId="0" xfId="0" applyFont="1" applyFill="1" applyAlignment="1">
      <alignment horizontal="center"/>
    </xf>
    <xf numFmtId="0" fontId="56" fillId="0" borderId="0" xfId="0" applyFont="1" applyAlignment="1">
      <alignment horizontal="left" vertical="center" wrapText="1"/>
    </xf>
    <xf numFmtId="0" fontId="58" fillId="0" borderId="0" xfId="0" applyFont="1" applyAlignment="1">
      <alignment horizontal="left" vertical="center" wrapText="1"/>
    </xf>
    <xf numFmtId="0" fontId="57" fillId="0" borderId="0" xfId="0" applyFont="1" applyAlignment="1">
      <alignment horizontal="left" vertical="center"/>
    </xf>
    <xf numFmtId="0" fontId="59" fillId="0" borderId="0" xfId="0" applyFont="1" applyAlignment="1">
      <alignment horizontal="left" vertical="center"/>
    </xf>
    <xf numFmtId="0" fontId="58" fillId="0" borderId="0" xfId="0" applyFont="1" applyAlignment="1">
      <alignment horizontal="left" vertical="center"/>
    </xf>
    <xf numFmtId="0" fontId="53" fillId="0" borderId="0" xfId="0" applyFont="1" applyAlignment="1">
      <alignment horizontal="left" vertical="center"/>
    </xf>
    <xf numFmtId="0" fontId="53" fillId="0" borderId="0" xfId="0" applyFont="1" applyAlignment="1">
      <alignment vertical="center"/>
    </xf>
    <xf numFmtId="0" fontId="64" fillId="0" borderId="0" xfId="0" applyFont="1" applyAlignment="1">
      <alignment horizontal="left" vertical="center" wrapText="1"/>
    </xf>
    <xf numFmtId="0" fontId="61" fillId="31" borderId="0" xfId="0" applyFont="1" applyFill="1" applyAlignment="1">
      <alignment horizontal="left" vertical="center" wrapText="1"/>
    </xf>
    <xf numFmtId="0" fontId="0" fillId="33" borderId="0" xfId="0" applyFill="1"/>
    <xf numFmtId="0" fontId="67" fillId="0" borderId="0" xfId="0" applyFont="1" applyAlignment="1">
      <alignment horizontal="left" vertical="center"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61" fillId="31" borderId="0" xfId="0" applyFont="1" applyFill="1" applyAlignment="1">
      <alignment horizontal="center"/>
    </xf>
    <xf numFmtId="0" fontId="60" fillId="0" borderId="0" xfId="0" applyFont="1" applyAlignment="1">
      <alignment vertical="center" wrapText="1"/>
    </xf>
    <xf numFmtId="0" fontId="62" fillId="0" borderId="0" xfId="0" applyFont="1" applyAlignment="1">
      <alignment vertical="center"/>
    </xf>
    <xf numFmtId="0" fontId="63" fillId="0" borderId="0" xfId="0" applyFont="1" applyAlignment="1">
      <alignment vertical="center" wrapText="1"/>
    </xf>
    <xf numFmtId="0" fontId="62" fillId="0" borderId="0" xfId="0" applyFont="1" applyAlignment="1">
      <alignment vertical="center" wrapText="1"/>
    </xf>
    <xf numFmtId="0" fontId="70" fillId="0" borderId="0" xfId="0" applyFont="1" applyAlignment="1">
      <alignment horizontal="left" vertical="center" wrapText="1"/>
    </xf>
    <xf numFmtId="0" fontId="61" fillId="31" borderId="0" xfId="0" applyFont="1" applyFill="1" applyAlignment="1">
      <alignment horizontal="center" vertical="center" wrapText="1"/>
    </xf>
    <xf numFmtId="0" fontId="71" fillId="35" borderId="0" xfId="0" applyFont="1" applyFill="1" applyAlignment="1">
      <alignment horizontal="left" vertical="center" wrapText="1"/>
    </xf>
    <xf numFmtId="0" fontId="0" fillId="35" borderId="0" xfId="0" applyFill="1"/>
    <xf numFmtId="0" fontId="67" fillId="33" borderId="0" xfId="0" applyFont="1" applyFill="1" applyAlignment="1">
      <alignment horizontal="left" vertical="center" wrapText="1"/>
    </xf>
    <xf numFmtId="0" fontId="0" fillId="0" borderId="3" xfId="0" applyBorder="1"/>
    <xf numFmtId="0" fontId="60" fillId="0" borderId="3" xfId="0" applyFont="1" applyBorder="1" applyAlignment="1">
      <alignment horizontal="left" vertical="center" wrapText="1"/>
    </xf>
    <xf numFmtId="0" fontId="72" fillId="0" borderId="3" xfId="0" applyFont="1" applyBorder="1" applyAlignment="1">
      <alignment horizontal="left" vertical="center" wrapText="1"/>
    </xf>
    <xf numFmtId="0" fontId="73" fillId="0" borderId="3" xfId="0" applyFont="1" applyBorder="1" applyAlignment="1">
      <alignment horizontal="center" vertical="center" wrapText="1"/>
    </xf>
    <xf numFmtId="0" fontId="65" fillId="33" borderId="0" xfId="0" applyFont="1" applyFill="1" applyAlignment="1">
      <alignment horizontal="left" vertical="center" wrapText="1"/>
    </xf>
    <xf numFmtId="0" fontId="60" fillId="0" borderId="0" xfId="0" applyFont="1" applyAlignment="1">
      <alignment horizontal="left" vertical="center" wrapText="1"/>
    </xf>
    <xf numFmtId="0" fontId="68" fillId="0" borderId="0" xfId="0" applyFont="1" applyAlignment="1">
      <alignment horizontal="left" vertical="center" wrapText="1"/>
    </xf>
    <xf numFmtId="0" fontId="0" fillId="0" borderId="0" xfId="0"/>
    <xf numFmtId="0" fontId="65" fillId="0" borderId="0" xfId="0" applyFont="1" applyAlignment="1">
      <alignment horizontal="left" vertical="center" wrapText="1"/>
    </xf>
    <xf numFmtId="0" fontId="0" fillId="0" borderId="9" xfId="0" applyBorder="1"/>
    <xf numFmtId="0" fontId="0" fillId="0" borderId="4" xfId="0" applyBorder="1"/>
    <xf numFmtId="0" fontId="66" fillId="32" borderId="0" xfId="0" applyFont="1" applyFill="1" applyAlignment="1">
      <alignment horizontal="left" vertical="center" wrapText="1"/>
    </xf>
    <xf numFmtId="0" fontId="74" fillId="0" borderId="0" xfId="0" applyFont="1" applyAlignment="1">
      <alignment horizontal="left" vertical="center" wrapText="1"/>
    </xf>
    <xf numFmtId="0" fontId="1" fillId="2" borderId="0" xfId="0" applyFont="1" applyFill="1" applyAlignment="1">
      <alignment horizontal="lef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5"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47" fillId="0" borderId="0" xfId="0" applyFont="1" applyAlignment="1">
      <alignment horizontal="left" vertical="center" wrapText="1"/>
    </xf>
    <xf numFmtId="0" fontId="53" fillId="0" borderId="0" xfId="0" applyFont="1"/>
    <xf numFmtId="0" fontId="53" fillId="0" borderId="0" xfId="0" applyFont="1" applyAlignment="1">
      <alignment vertical="center" wrapText="1"/>
    </xf>
    <xf numFmtId="0" fontId="63" fillId="0" borderId="0" xfId="0" applyFont="1" applyAlignment="1">
      <alignment vertical="center"/>
    </xf>
    <xf numFmtId="0" fontId="75" fillId="0" borderId="0" xfId="0" applyFont="1"/>
    <xf numFmtId="0" fontId="77" fillId="35" borderId="0" xfId="0" applyFont="1" applyFill="1" applyAlignment="1">
      <alignment vertical="center"/>
    </xf>
    <xf numFmtId="0" fontId="75" fillId="0" borderId="0" xfId="0" applyFont="1" applyAlignment="1"/>
    <xf numFmtId="0" fontId="75" fillId="0" borderId="7" xfId="0" applyFont="1" applyBorder="1" applyAlignment="1"/>
    <xf numFmtId="0" fontId="75" fillId="0" borderId="8" xfId="0" applyFont="1" applyBorder="1" applyAlignment="1"/>
    <xf numFmtId="0" fontId="79" fillId="0" borderId="0" xfId="0" applyFont="1" applyAlignment="1">
      <alignment horizontal="left" vertical="center" wrapText="1"/>
    </xf>
    <xf numFmtId="0" fontId="80" fillId="0" borderId="0" xfId="0" applyFont="1" applyAlignment="1">
      <alignment vertical="center"/>
    </xf>
    <xf numFmtId="0" fontId="79" fillId="0" borderId="5" xfId="0" applyFont="1" applyBorder="1" applyAlignment="1">
      <alignment horizontal="left" vertical="center" wrapText="1"/>
    </xf>
    <xf numFmtId="0" fontId="81" fillId="0" borderId="5" xfId="0" applyFont="1" applyBorder="1" applyAlignment="1">
      <alignment horizontal="left" vertical="center" wrapText="1"/>
    </xf>
    <xf numFmtId="0" fontId="80" fillId="0" borderId="5" xfId="0" applyFont="1" applyBorder="1" applyAlignment="1">
      <alignment horizontal="left" vertical="center" wrapText="1"/>
    </xf>
    <xf numFmtId="0" fontId="81" fillId="0" borderId="5" xfId="0" applyFont="1" applyBorder="1" applyAlignment="1">
      <alignment horizontal="center" vertical="center" wrapText="1"/>
    </xf>
    <xf numFmtId="0" fontId="82" fillId="0" borderId="0" xfId="0" applyFont="1" applyAlignment="1">
      <alignment vertical="center"/>
    </xf>
    <xf numFmtId="0" fontId="83" fillId="0" borderId="0" xfId="0" applyFont="1" applyAlignment="1">
      <alignment vertical="center"/>
    </xf>
    <xf numFmtId="0" fontId="84" fillId="0" borderId="5" xfId="0" applyFont="1" applyBorder="1" applyAlignment="1">
      <alignment vertical="center"/>
    </xf>
    <xf numFmtId="0" fontId="77" fillId="23" borderId="0" xfId="0" applyFont="1" applyFill="1" applyAlignment="1">
      <alignment horizontal="left" vertical="center"/>
    </xf>
    <xf numFmtId="0" fontId="77" fillId="31" borderId="5" xfId="0" applyFont="1" applyFill="1" applyBorder="1" applyAlignment="1">
      <alignment horizontal="left" vertical="center" wrapText="1"/>
    </xf>
    <xf numFmtId="0" fontId="77" fillId="32" borderId="0" xfId="0" applyFont="1" applyFill="1" applyAlignment="1">
      <alignment vertical="center"/>
    </xf>
    <xf numFmtId="0" fontId="77" fillId="31" borderId="5" xfId="0" applyFont="1" applyFill="1" applyBorder="1" applyAlignment="1">
      <alignment vertical="center"/>
    </xf>
    <xf numFmtId="0" fontId="80" fillId="0" borderId="5" xfId="0" applyFont="1" applyBorder="1" applyAlignment="1">
      <alignment vertical="center"/>
    </xf>
    <xf numFmtId="0" fontId="77" fillId="34" borderId="0" xfId="0" applyFont="1" applyFill="1" applyAlignment="1">
      <alignment vertical="center"/>
    </xf>
    <xf numFmtId="0" fontId="77" fillId="31" borderId="0" xfId="0" applyFont="1" applyFill="1" applyAlignment="1">
      <alignment vertical="center"/>
    </xf>
    <xf numFmtId="0" fontId="85" fillId="0" borderId="0" xfId="0" applyFont="1" applyAlignment="1">
      <alignment vertical="center"/>
    </xf>
    <xf numFmtId="0" fontId="86" fillId="0" borderId="0" xfId="0" applyFont="1" applyAlignment="1">
      <alignment vertical="center"/>
    </xf>
    <xf numFmtId="0" fontId="82" fillId="0" borderId="6" xfId="0" applyFont="1" applyBorder="1" applyAlignment="1">
      <alignment vertical="center"/>
    </xf>
    <xf numFmtId="0" fontId="78" fillId="0" borderId="0" xfId="0" applyFont="1" applyAlignment="1">
      <alignment vertical="center" wrapText="1"/>
    </xf>
    <xf numFmtId="0" fontId="76" fillId="0" borderId="2" xfId="0" applyFont="1" applyBorder="1" applyAlignment="1">
      <alignment vertical="center"/>
    </xf>
    <xf numFmtId="4" fontId="75" fillId="0" borderId="0" xfId="0" applyNumberFormat="1" applyFont="1" applyAlignment="1">
      <alignment vertical="center"/>
    </xf>
    <xf numFmtId="0" fontId="75" fillId="0" borderId="0" xfId="0" applyFont="1" applyAlignment="1">
      <alignment vertical="center"/>
    </xf>
    <xf numFmtId="0" fontId="75" fillId="0" borderId="0" xfId="0" applyFont="1" applyAlignment="1">
      <alignment wrapText="1"/>
    </xf>
    <xf numFmtId="0" fontId="80" fillId="0" borderId="5" xfId="0" applyFont="1" applyBorder="1" applyAlignment="1">
      <alignment horizontal="left" vertical="center"/>
    </xf>
    <xf numFmtId="0" fontId="75" fillId="36" borderId="10" xfId="0" applyFont="1" applyFill="1" applyBorder="1"/>
    <xf numFmtId="4" fontId="75" fillId="36" borderId="1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117</v>
      </c>
      <c r="C2" s="61"/>
      <c r="D2" s="61"/>
      <c r="E2" s="61"/>
      <c r="F2" s="61"/>
      <c r="G2" s="61"/>
      <c r="H2" s="61"/>
      <c r="I2" s="61"/>
    </row>
    <row r="4" spans="2:9" ht="21" customHeight="1" x14ac:dyDescent="0.2">
      <c r="B4" s="1" t="s">
        <v>118</v>
      </c>
      <c r="C4" s="2" t="s">
        <v>119</v>
      </c>
    </row>
    <row r="5" spans="2:9" ht="21" customHeight="1" x14ac:dyDescent="0.2">
      <c r="B5" s="1" t="s">
        <v>120</v>
      </c>
      <c r="C5" s="2" t="s">
        <v>121</v>
      </c>
    </row>
    <row r="6" spans="2:9" ht="21" customHeight="1" x14ac:dyDescent="0.2">
      <c r="B6" s="1" t="s">
        <v>122</v>
      </c>
      <c r="C6" s="2" t="s">
        <v>123</v>
      </c>
    </row>
    <row r="7" spans="2:9" ht="21" customHeight="1" x14ac:dyDescent="0.2">
      <c r="B7" s="1" t="s">
        <v>124</v>
      </c>
      <c r="C7" s="2" t="s">
        <v>125</v>
      </c>
    </row>
    <row r="8" spans="2:9" ht="21" customHeight="1" x14ac:dyDescent="0.2">
      <c r="B8" s="1" t="s">
        <v>126</v>
      </c>
      <c r="C8" s="2" t="s">
        <v>127</v>
      </c>
    </row>
    <row r="9" spans="2:9" ht="21" customHeight="1" x14ac:dyDescent="0.2">
      <c r="B9" s="1" t="s">
        <v>128</v>
      </c>
      <c r="C9" s="2" t="s">
        <v>129</v>
      </c>
    </row>
    <row r="10" spans="2:9" ht="21" customHeight="1" x14ac:dyDescent="0.2">
      <c r="B10" s="1" t="s">
        <v>130</v>
      </c>
      <c r="C10" s="2" t="s">
        <v>131</v>
      </c>
    </row>
    <row r="11" spans="2:9" ht="21" customHeight="1" x14ac:dyDescent="0.2">
      <c r="B11" s="1" t="s">
        <v>132</v>
      </c>
      <c r="C11" s="2" t="s">
        <v>133</v>
      </c>
    </row>
    <row r="12" spans="2:9" ht="21" customHeight="1" x14ac:dyDescent="0.2">
      <c r="B12" s="1" t="s">
        <v>134</v>
      </c>
      <c r="C12" s="2" t="s">
        <v>135</v>
      </c>
    </row>
    <row r="13" spans="2:9" ht="21" customHeight="1" x14ac:dyDescent="0.2">
      <c r="B13" s="1" t="s">
        <v>136</v>
      </c>
      <c r="C13" s="2" t="s">
        <v>137</v>
      </c>
    </row>
    <row r="14" spans="2:9" ht="21" customHeight="1" x14ac:dyDescent="0.2">
      <c r="B14" s="2" t="s">
        <v>138</v>
      </c>
      <c r="C14" s="2" t="s">
        <v>139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7"/>
  <sheetViews>
    <sheetView workbookViewId="0"/>
  </sheetViews>
  <sheetFormatPr baseColWidth="10" defaultColWidth="8.83203125" defaultRowHeight="15" x14ac:dyDescent="0.2"/>
  <cols>
    <col min="1" max="2" width="24" customWidth="1"/>
    <col min="3" max="3" width="52" customWidth="1"/>
    <col min="4" max="4" width="22" customWidth="1"/>
    <col min="5" max="5" width="7" customWidth="1"/>
  </cols>
  <sheetData>
    <row r="1" spans="1:5" ht="40" x14ac:dyDescent="0.2">
      <c r="A1" s="132" t="s">
        <v>140</v>
      </c>
    </row>
    <row r="2" spans="1:5" ht="42" customHeight="1" x14ac:dyDescent="0.2">
      <c r="A2" s="156" t="s">
        <v>141</v>
      </c>
      <c r="B2" s="155"/>
      <c r="C2" s="155"/>
      <c r="D2" s="155"/>
      <c r="E2" s="155"/>
    </row>
    <row r="4" spans="1:5" x14ac:dyDescent="0.2">
      <c r="A4" s="143" t="s">
        <v>142</v>
      </c>
      <c r="B4" s="154" t="s">
        <v>143</v>
      </c>
      <c r="C4" s="155"/>
      <c r="D4" s="155"/>
      <c r="E4" s="155"/>
    </row>
    <row r="6" spans="1:5" x14ac:dyDescent="0.2">
      <c r="A6" s="133" t="s">
        <v>144</v>
      </c>
      <c r="B6" s="133" t="s">
        <v>145</v>
      </c>
      <c r="C6" s="133" t="s">
        <v>146</v>
      </c>
      <c r="D6" s="133" t="s">
        <v>147</v>
      </c>
      <c r="E6" s="144" t="s">
        <v>148</v>
      </c>
    </row>
    <row r="7" spans="1:5" ht="30" x14ac:dyDescent="0.2">
      <c r="A7" s="145" t="s">
        <v>149</v>
      </c>
      <c r="B7" s="146"/>
      <c r="C7" s="146"/>
      <c r="D7" s="146"/>
      <c r="E7" s="146"/>
    </row>
    <row r="8" spans="1:5" x14ac:dyDescent="0.2">
      <c r="A8" s="134"/>
      <c r="B8" s="147" t="s">
        <v>150</v>
      </c>
      <c r="C8" s="134"/>
      <c r="D8" s="134"/>
      <c r="E8" s="134"/>
    </row>
    <row r="9" spans="1:5" x14ac:dyDescent="0.2">
      <c r="A9" s="148"/>
      <c r="B9" s="148"/>
      <c r="C9" s="149" t="s">
        <v>151</v>
      </c>
      <c r="D9" s="150" t="s">
        <v>152</v>
      </c>
      <c r="E9" s="151" t="s">
        <v>153</v>
      </c>
    </row>
    <row r="10" spans="1:5" x14ac:dyDescent="0.2">
      <c r="A10" s="148"/>
      <c r="B10" s="148"/>
      <c r="C10" s="149" t="s">
        <v>154</v>
      </c>
      <c r="D10" s="150" t="s">
        <v>155</v>
      </c>
      <c r="E10" s="151" t="s">
        <v>153</v>
      </c>
    </row>
    <row r="11" spans="1:5" x14ac:dyDescent="0.2">
      <c r="A11" s="148"/>
      <c r="B11" s="148"/>
      <c r="C11" s="149" t="s">
        <v>156</v>
      </c>
      <c r="D11" s="150" t="s">
        <v>157</v>
      </c>
      <c r="E11" s="151" t="s">
        <v>153</v>
      </c>
    </row>
    <row r="12" spans="1:5" x14ac:dyDescent="0.2">
      <c r="A12" s="148"/>
      <c r="B12" s="148"/>
      <c r="C12" s="149" t="s">
        <v>158</v>
      </c>
      <c r="D12" s="150" t="s">
        <v>155</v>
      </c>
      <c r="E12" s="151"/>
    </row>
    <row r="13" spans="1:5" x14ac:dyDescent="0.2">
      <c r="A13" s="148"/>
      <c r="B13" s="148"/>
      <c r="C13" s="149" t="s">
        <v>159</v>
      </c>
      <c r="D13" s="150" t="s">
        <v>160</v>
      </c>
      <c r="E13" s="151"/>
    </row>
    <row r="14" spans="1:5" x14ac:dyDescent="0.2">
      <c r="A14" s="148"/>
      <c r="B14" s="148"/>
      <c r="C14" s="149" t="s">
        <v>161</v>
      </c>
      <c r="D14" s="150" t="s">
        <v>162</v>
      </c>
      <c r="E14" s="151"/>
    </row>
    <row r="15" spans="1:5" x14ac:dyDescent="0.2">
      <c r="A15" s="134"/>
      <c r="B15" s="147" t="s">
        <v>163</v>
      </c>
      <c r="C15" s="134"/>
      <c r="D15" s="134"/>
      <c r="E15" s="134"/>
    </row>
    <row r="16" spans="1:5" x14ac:dyDescent="0.2">
      <c r="A16" s="148"/>
      <c r="B16" s="148"/>
      <c r="C16" s="149" t="s">
        <v>164</v>
      </c>
      <c r="D16" s="150" t="s">
        <v>157</v>
      </c>
      <c r="E16" s="151" t="s">
        <v>153</v>
      </c>
    </row>
    <row r="17" spans="1:5" x14ac:dyDescent="0.2">
      <c r="A17" s="148"/>
      <c r="B17" s="148"/>
      <c r="C17" s="149" t="s">
        <v>165</v>
      </c>
      <c r="D17" s="150" t="s">
        <v>155</v>
      </c>
      <c r="E17" s="151" t="s">
        <v>153</v>
      </c>
    </row>
    <row r="18" spans="1:5" x14ac:dyDescent="0.2">
      <c r="A18" s="148"/>
      <c r="B18" s="148"/>
      <c r="C18" s="149" t="s">
        <v>166</v>
      </c>
      <c r="D18" s="150" t="s">
        <v>157</v>
      </c>
      <c r="E18" s="151" t="s">
        <v>153</v>
      </c>
    </row>
    <row r="19" spans="1:5" x14ac:dyDescent="0.2">
      <c r="A19" s="148"/>
      <c r="B19" s="148"/>
      <c r="C19" s="149" t="s">
        <v>167</v>
      </c>
      <c r="D19" s="150" t="s">
        <v>160</v>
      </c>
      <c r="E19" s="151"/>
    </row>
    <row r="20" spans="1:5" x14ac:dyDescent="0.2">
      <c r="A20" s="148"/>
      <c r="B20" s="148"/>
      <c r="C20" s="149" t="s">
        <v>168</v>
      </c>
      <c r="D20" s="150" t="s">
        <v>162</v>
      </c>
      <c r="E20" s="151"/>
    </row>
    <row r="21" spans="1:5" x14ac:dyDescent="0.2">
      <c r="A21" s="134"/>
      <c r="B21" s="147" t="s">
        <v>169</v>
      </c>
      <c r="C21" s="134"/>
      <c r="D21" s="134"/>
      <c r="E21" s="134"/>
    </row>
    <row r="22" spans="1:5" x14ac:dyDescent="0.2">
      <c r="A22" s="148"/>
      <c r="B22" s="148"/>
      <c r="C22" s="149" t="s">
        <v>170</v>
      </c>
      <c r="D22" s="150" t="s">
        <v>171</v>
      </c>
      <c r="E22" s="151" t="s">
        <v>153</v>
      </c>
    </row>
    <row r="23" spans="1:5" x14ac:dyDescent="0.2">
      <c r="A23" s="148"/>
      <c r="B23" s="148"/>
      <c r="C23" s="149" t="s">
        <v>172</v>
      </c>
      <c r="D23" s="150" t="s">
        <v>171</v>
      </c>
      <c r="E23" s="151" t="s">
        <v>153</v>
      </c>
    </row>
    <row r="24" spans="1:5" x14ac:dyDescent="0.2">
      <c r="A24" s="148"/>
      <c r="B24" s="148"/>
      <c r="C24" s="149" t="s">
        <v>173</v>
      </c>
      <c r="D24" s="150" t="s">
        <v>171</v>
      </c>
      <c r="E24" s="151" t="s">
        <v>153</v>
      </c>
    </row>
    <row r="25" spans="1:5" x14ac:dyDescent="0.2">
      <c r="A25" s="148"/>
      <c r="B25" s="148"/>
      <c r="C25" s="149" t="s">
        <v>174</v>
      </c>
      <c r="D25" s="150" t="s">
        <v>171</v>
      </c>
      <c r="E25" s="151"/>
    </row>
    <row r="26" spans="1:5" x14ac:dyDescent="0.2">
      <c r="A26" s="148"/>
      <c r="B26" s="148"/>
      <c r="C26" s="149" t="s">
        <v>175</v>
      </c>
      <c r="D26" s="150" t="s">
        <v>160</v>
      </c>
      <c r="E26" s="151"/>
    </row>
    <row r="27" spans="1:5" x14ac:dyDescent="0.2">
      <c r="A27" s="148"/>
      <c r="B27" s="148"/>
      <c r="C27" s="149" t="s">
        <v>176</v>
      </c>
      <c r="D27" s="150" t="s">
        <v>171</v>
      </c>
      <c r="E27" s="151"/>
    </row>
    <row r="28" spans="1:5" x14ac:dyDescent="0.2">
      <c r="A28" s="134"/>
      <c r="B28" s="147" t="s">
        <v>177</v>
      </c>
      <c r="C28" s="134"/>
      <c r="D28" s="134"/>
      <c r="E28" s="134"/>
    </row>
    <row r="29" spans="1:5" x14ac:dyDescent="0.2">
      <c r="A29" s="148"/>
      <c r="B29" s="148"/>
      <c r="C29" s="149" t="s">
        <v>178</v>
      </c>
      <c r="D29" s="150" t="s">
        <v>152</v>
      </c>
      <c r="E29" s="151" t="s">
        <v>153</v>
      </c>
    </row>
    <row r="30" spans="1:5" x14ac:dyDescent="0.2">
      <c r="A30" s="148"/>
      <c r="B30" s="148"/>
      <c r="C30" s="149" t="s">
        <v>179</v>
      </c>
      <c r="D30" s="150" t="s">
        <v>155</v>
      </c>
      <c r="E30" s="151" t="s">
        <v>153</v>
      </c>
    </row>
    <row r="31" spans="1:5" x14ac:dyDescent="0.2">
      <c r="A31" s="148"/>
      <c r="B31" s="148"/>
      <c r="C31" s="149" t="s">
        <v>180</v>
      </c>
      <c r="D31" s="150" t="s">
        <v>157</v>
      </c>
      <c r="E31" s="151" t="s">
        <v>153</v>
      </c>
    </row>
    <row r="32" spans="1:5" x14ac:dyDescent="0.2">
      <c r="A32" s="148"/>
      <c r="B32" s="148"/>
      <c r="C32" s="149" t="s">
        <v>181</v>
      </c>
      <c r="D32" s="150" t="s">
        <v>160</v>
      </c>
      <c r="E32" s="151"/>
    </row>
    <row r="33" spans="1:5" x14ac:dyDescent="0.2">
      <c r="A33" s="148"/>
      <c r="B33" s="148"/>
      <c r="C33" s="149" t="s">
        <v>182</v>
      </c>
      <c r="D33" s="150" t="s">
        <v>183</v>
      </c>
      <c r="E33" s="151"/>
    </row>
    <row r="34" spans="1:5" x14ac:dyDescent="0.2">
      <c r="A34" s="145" t="s">
        <v>184</v>
      </c>
      <c r="B34" s="146"/>
      <c r="C34" s="146"/>
      <c r="D34" s="146"/>
      <c r="E34" s="146"/>
    </row>
    <row r="35" spans="1:5" x14ac:dyDescent="0.2">
      <c r="A35" s="134"/>
      <c r="B35" s="147" t="s">
        <v>185</v>
      </c>
      <c r="C35" s="134"/>
      <c r="D35" s="134"/>
      <c r="E35" s="134"/>
    </row>
    <row r="36" spans="1:5" x14ac:dyDescent="0.2">
      <c r="A36" s="148"/>
      <c r="B36" s="148"/>
      <c r="C36" s="149" t="s">
        <v>186</v>
      </c>
      <c r="D36" s="150" t="s">
        <v>152</v>
      </c>
      <c r="E36" s="151" t="s">
        <v>153</v>
      </c>
    </row>
    <row r="37" spans="1:5" x14ac:dyDescent="0.2">
      <c r="A37" s="148"/>
      <c r="B37" s="148"/>
      <c r="C37" s="149" t="s">
        <v>187</v>
      </c>
      <c r="D37" s="150" t="s">
        <v>155</v>
      </c>
      <c r="E37" s="151" t="s">
        <v>153</v>
      </c>
    </row>
    <row r="38" spans="1:5" x14ac:dyDescent="0.2">
      <c r="A38" s="148"/>
      <c r="B38" s="148"/>
      <c r="C38" s="149" t="s">
        <v>188</v>
      </c>
      <c r="D38" s="150" t="s">
        <v>157</v>
      </c>
      <c r="E38" s="151" t="s">
        <v>153</v>
      </c>
    </row>
    <row r="39" spans="1:5" x14ac:dyDescent="0.2">
      <c r="A39" s="148"/>
      <c r="B39" s="148"/>
      <c r="C39" s="149" t="s">
        <v>189</v>
      </c>
      <c r="D39" s="150" t="s">
        <v>160</v>
      </c>
      <c r="E39" s="151" t="s">
        <v>153</v>
      </c>
    </row>
    <row r="40" spans="1:5" x14ac:dyDescent="0.2">
      <c r="A40" s="148"/>
      <c r="B40" s="148"/>
      <c r="C40" s="149" t="s">
        <v>190</v>
      </c>
      <c r="D40" s="150" t="s">
        <v>162</v>
      </c>
      <c r="E40" s="151"/>
    </row>
    <row r="41" spans="1:5" x14ac:dyDescent="0.2">
      <c r="A41" s="148"/>
      <c r="B41" s="148"/>
      <c r="C41" s="149" t="s">
        <v>191</v>
      </c>
      <c r="D41" s="150" t="s">
        <v>183</v>
      </c>
      <c r="E41" s="151"/>
    </row>
    <row r="42" spans="1:5" x14ac:dyDescent="0.2">
      <c r="A42" s="134"/>
      <c r="B42" s="147" t="s">
        <v>192</v>
      </c>
      <c r="C42" s="134"/>
      <c r="D42" s="134"/>
      <c r="E42" s="134"/>
    </row>
    <row r="43" spans="1:5" x14ac:dyDescent="0.2">
      <c r="A43" s="148"/>
      <c r="B43" s="148"/>
      <c r="C43" s="149" t="s">
        <v>193</v>
      </c>
      <c r="D43" s="150" t="s">
        <v>157</v>
      </c>
      <c r="E43" s="151" t="s">
        <v>153</v>
      </c>
    </row>
    <row r="44" spans="1:5" x14ac:dyDescent="0.2">
      <c r="A44" s="148"/>
      <c r="B44" s="148"/>
      <c r="C44" s="149" t="s">
        <v>194</v>
      </c>
      <c r="D44" s="150" t="s">
        <v>171</v>
      </c>
      <c r="E44" s="151" t="s">
        <v>153</v>
      </c>
    </row>
    <row r="45" spans="1:5" x14ac:dyDescent="0.2">
      <c r="A45" s="148"/>
      <c r="B45" s="148"/>
      <c r="C45" s="149" t="s">
        <v>195</v>
      </c>
      <c r="D45" s="150" t="s">
        <v>157</v>
      </c>
      <c r="E45" s="151" t="s">
        <v>153</v>
      </c>
    </row>
    <row r="46" spans="1:5" x14ac:dyDescent="0.2">
      <c r="A46" s="148"/>
      <c r="B46" s="148"/>
      <c r="C46" s="149" t="s">
        <v>196</v>
      </c>
      <c r="D46" s="150" t="s">
        <v>157</v>
      </c>
      <c r="E46" s="151"/>
    </row>
    <row r="47" spans="1:5" x14ac:dyDescent="0.2">
      <c r="A47" s="148"/>
      <c r="B47" s="148"/>
      <c r="C47" s="149" t="s">
        <v>197</v>
      </c>
      <c r="D47" s="150" t="s">
        <v>183</v>
      </c>
      <c r="E47" s="151"/>
    </row>
    <row r="48" spans="1:5" x14ac:dyDescent="0.2">
      <c r="A48" s="134"/>
      <c r="B48" s="147" t="s">
        <v>198</v>
      </c>
      <c r="C48" s="134"/>
      <c r="D48" s="134"/>
      <c r="E48" s="134"/>
    </row>
    <row r="49" spans="1:5" x14ac:dyDescent="0.2">
      <c r="A49" s="148"/>
      <c r="B49" s="148"/>
      <c r="C49" s="149" t="s">
        <v>199</v>
      </c>
      <c r="D49" s="150" t="s">
        <v>160</v>
      </c>
      <c r="E49" s="151" t="s">
        <v>153</v>
      </c>
    </row>
    <row r="50" spans="1:5" x14ac:dyDescent="0.2">
      <c r="A50" s="148"/>
      <c r="B50" s="148"/>
      <c r="C50" s="149" t="s">
        <v>200</v>
      </c>
      <c r="D50" s="150" t="s">
        <v>155</v>
      </c>
      <c r="E50" s="151" t="s">
        <v>153</v>
      </c>
    </row>
    <row r="51" spans="1:5" x14ac:dyDescent="0.2">
      <c r="A51" s="148"/>
      <c r="B51" s="148"/>
      <c r="C51" s="149" t="s">
        <v>201</v>
      </c>
      <c r="D51" s="150" t="s">
        <v>157</v>
      </c>
      <c r="E51" s="151" t="s">
        <v>153</v>
      </c>
    </row>
    <row r="52" spans="1:5" x14ac:dyDescent="0.2">
      <c r="A52" s="148"/>
      <c r="B52" s="148"/>
      <c r="C52" s="149" t="s">
        <v>202</v>
      </c>
      <c r="D52" s="150" t="s">
        <v>162</v>
      </c>
      <c r="E52" s="151"/>
    </row>
    <row r="53" spans="1:5" x14ac:dyDescent="0.2">
      <c r="A53" s="148"/>
      <c r="B53" s="148"/>
      <c r="C53" s="149" t="s">
        <v>203</v>
      </c>
      <c r="D53" s="150" t="s">
        <v>183</v>
      </c>
      <c r="E53" s="151"/>
    </row>
    <row r="54" spans="1:5" x14ac:dyDescent="0.2">
      <c r="A54" s="134"/>
      <c r="B54" s="147" t="s">
        <v>204</v>
      </c>
      <c r="C54" s="134"/>
      <c r="D54" s="134"/>
      <c r="E54" s="134"/>
    </row>
    <row r="55" spans="1:5" x14ac:dyDescent="0.2">
      <c r="A55" s="148"/>
      <c r="B55" s="148"/>
      <c r="C55" s="149" t="s">
        <v>205</v>
      </c>
      <c r="D55" s="150" t="s">
        <v>206</v>
      </c>
      <c r="E55" s="151" t="s">
        <v>153</v>
      </c>
    </row>
    <row r="56" spans="1:5" x14ac:dyDescent="0.2">
      <c r="A56" s="148"/>
      <c r="B56" s="148"/>
      <c r="C56" s="149" t="s">
        <v>207</v>
      </c>
      <c r="D56" s="150" t="s">
        <v>157</v>
      </c>
      <c r="E56" s="151" t="s">
        <v>153</v>
      </c>
    </row>
    <row r="57" spans="1:5" x14ac:dyDescent="0.2">
      <c r="A57" s="148"/>
      <c r="B57" s="148"/>
      <c r="C57" s="149" t="s">
        <v>208</v>
      </c>
      <c r="D57" s="150" t="s">
        <v>206</v>
      </c>
      <c r="E57" s="151" t="s">
        <v>153</v>
      </c>
    </row>
    <row r="58" spans="1:5" x14ac:dyDescent="0.2">
      <c r="A58" s="148"/>
      <c r="B58" s="148"/>
      <c r="C58" s="149" t="s">
        <v>209</v>
      </c>
      <c r="D58" s="150" t="s">
        <v>160</v>
      </c>
      <c r="E58" s="151"/>
    </row>
    <row r="59" spans="1:5" x14ac:dyDescent="0.2">
      <c r="A59" s="148"/>
      <c r="B59" s="148"/>
      <c r="C59" s="149" t="s">
        <v>210</v>
      </c>
      <c r="D59" s="150" t="s">
        <v>162</v>
      </c>
      <c r="E59" s="151"/>
    </row>
    <row r="60" spans="1:5" x14ac:dyDescent="0.2">
      <c r="A60" s="134"/>
      <c r="B60" s="147" t="s">
        <v>211</v>
      </c>
      <c r="C60" s="134"/>
      <c r="D60" s="134"/>
      <c r="E60" s="134"/>
    </row>
    <row r="61" spans="1:5" x14ac:dyDescent="0.2">
      <c r="A61" s="148"/>
      <c r="B61" s="148"/>
      <c r="C61" s="149" t="s">
        <v>212</v>
      </c>
      <c r="D61" s="150" t="s">
        <v>160</v>
      </c>
      <c r="E61" s="151" t="s">
        <v>153</v>
      </c>
    </row>
    <row r="62" spans="1:5" x14ac:dyDescent="0.2">
      <c r="A62" s="148"/>
      <c r="B62" s="148"/>
      <c r="C62" s="149" t="s">
        <v>213</v>
      </c>
      <c r="D62" s="150" t="s">
        <v>160</v>
      </c>
      <c r="E62" s="151" t="s">
        <v>153</v>
      </c>
    </row>
    <row r="63" spans="1:5" x14ac:dyDescent="0.2">
      <c r="A63" s="148"/>
      <c r="B63" s="148"/>
      <c r="C63" s="149" t="s">
        <v>214</v>
      </c>
      <c r="D63" s="150" t="s">
        <v>157</v>
      </c>
      <c r="E63" s="151" t="s">
        <v>153</v>
      </c>
    </row>
    <row r="64" spans="1:5" x14ac:dyDescent="0.2">
      <c r="A64" s="148"/>
      <c r="B64" s="148"/>
      <c r="C64" s="149" t="s">
        <v>215</v>
      </c>
      <c r="D64" s="150" t="s">
        <v>171</v>
      </c>
      <c r="E64" s="151"/>
    </row>
    <row r="65" spans="1:5" x14ac:dyDescent="0.2">
      <c r="A65" s="148"/>
      <c r="B65" s="148"/>
      <c r="C65" s="149" t="s">
        <v>216</v>
      </c>
      <c r="D65" s="150" t="s">
        <v>183</v>
      </c>
      <c r="E65" s="151"/>
    </row>
    <row r="66" spans="1:5" x14ac:dyDescent="0.2">
      <c r="A66" s="145" t="s">
        <v>217</v>
      </c>
      <c r="B66" s="146"/>
      <c r="C66" s="146"/>
      <c r="D66" s="146"/>
      <c r="E66" s="146"/>
    </row>
    <row r="67" spans="1:5" ht="28" x14ac:dyDescent="0.2">
      <c r="A67" s="134"/>
      <c r="B67" s="147" t="s">
        <v>218</v>
      </c>
      <c r="C67" s="134"/>
      <c r="D67" s="134"/>
      <c r="E67" s="134"/>
    </row>
    <row r="68" spans="1:5" x14ac:dyDescent="0.2">
      <c r="A68" s="148"/>
      <c r="B68" s="148"/>
      <c r="C68" s="149" t="s">
        <v>219</v>
      </c>
      <c r="D68" s="150" t="s">
        <v>206</v>
      </c>
      <c r="E68" s="151" t="s">
        <v>153</v>
      </c>
    </row>
    <row r="69" spans="1:5" x14ac:dyDescent="0.2">
      <c r="A69" s="148"/>
      <c r="B69" s="148"/>
      <c r="C69" s="149" t="s">
        <v>220</v>
      </c>
      <c r="D69" s="150" t="s">
        <v>206</v>
      </c>
      <c r="E69" s="151" t="s">
        <v>153</v>
      </c>
    </row>
    <row r="70" spans="1:5" x14ac:dyDescent="0.2">
      <c r="A70" s="148"/>
      <c r="B70" s="148"/>
      <c r="C70" s="149" t="s">
        <v>221</v>
      </c>
      <c r="D70" s="150" t="s">
        <v>162</v>
      </c>
      <c r="E70" s="151" t="s">
        <v>153</v>
      </c>
    </row>
    <row r="71" spans="1:5" x14ac:dyDescent="0.2">
      <c r="A71" s="148"/>
      <c r="B71" s="148"/>
      <c r="C71" s="149" t="s">
        <v>222</v>
      </c>
      <c r="D71" s="150" t="s">
        <v>206</v>
      </c>
      <c r="E71" s="151"/>
    </row>
    <row r="72" spans="1:5" x14ac:dyDescent="0.2">
      <c r="A72" s="148"/>
      <c r="B72" s="148"/>
      <c r="C72" s="149" t="s">
        <v>223</v>
      </c>
      <c r="D72" s="150" t="s">
        <v>160</v>
      </c>
      <c r="E72" s="151"/>
    </row>
    <row r="73" spans="1:5" x14ac:dyDescent="0.2">
      <c r="A73" s="148"/>
      <c r="B73" s="148"/>
      <c r="C73" s="149" t="s">
        <v>224</v>
      </c>
      <c r="D73" s="150" t="s">
        <v>162</v>
      </c>
      <c r="E73" s="151"/>
    </row>
    <row r="74" spans="1:5" x14ac:dyDescent="0.2">
      <c r="A74" s="134"/>
      <c r="B74" s="147" t="s">
        <v>225</v>
      </c>
      <c r="C74" s="134"/>
      <c r="D74" s="134"/>
      <c r="E74" s="134"/>
    </row>
    <row r="75" spans="1:5" x14ac:dyDescent="0.2">
      <c r="A75" s="148"/>
      <c r="B75" s="148"/>
      <c r="C75" s="149" t="s">
        <v>226</v>
      </c>
      <c r="D75" s="150" t="s">
        <v>227</v>
      </c>
      <c r="E75" s="151" t="s">
        <v>153</v>
      </c>
    </row>
    <row r="76" spans="1:5" x14ac:dyDescent="0.2">
      <c r="A76" s="148"/>
      <c r="B76" s="148"/>
      <c r="C76" s="149" t="s">
        <v>228</v>
      </c>
      <c r="D76" s="150" t="s">
        <v>183</v>
      </c>
      <c r="E76" s="151" t="s">
        <v>153</v>
      </c>
    </row>
    <row r="77" spans="1:5" x14ac:dyDescent="0.2">
      <c r="A77" s="148"/>
      <c r="B77" s="148"/>
      <c r="C77" s="149" t="s">
        <v>229</v>
      </c>
      <c r="D77" s="150" t="s">
        <v>206</v>
      </c>
      <c r="E77" s="151" t="s">
        <v>153</v>
      </c>
    </row>
    <row r="78" spans="1:5" x14ac:dyDescent="0.2">
      <c r="A78" s="148"/>
      <c r="B78" s="148"/>
      <c r="C78" s="149" t="s">
        <v>230</v>
      </c>
      <c r="D78" s="150" t="s">
        <v>231</v>
      </c>
      <c r="E78" s="151" t="s">
        <v>153</v>
      </c>
    </row>
    <row r="79" spans="1:5" x14ac:dyDescent="0.2">
      <c r="A79" s="148"/>
      <c r="B79" s="148"/>
      <c r="C79" s="149" t="s">
        <v>232</v>
      </c>
      <c r="D79" s="150" t="s">
        <v>160</v>
      </c>
      <c r="E79" s="151"/>
    </row>
    <row r="80" spans="1:5" x14ac:dyDescent="0.2">
      <c r="A80" s="148"/>
      <c r="B80" s="148"/>
      <c r="C80" s="149" t="s">
        <v>233</v>
      </c>
      <c r="D80" s="150" t="s">
        <v>162</v>
      </c>
      <c r="E80" s="151"/>
    </row>
    <row r="81" spans="1:5" x14ac:dyDescent="0.2">
      <c r="A81" s="134"/>
      <c r="B81" s="147" t="s">
        <v>234</v>
      </c>
      <c r="C81" s="134"/>
      <c r="D81" s="134"/>
      <c r="E81" s="134"/>
    </row>
    <row r="82" spans="1:5" x14ac:dyDescent="0.2">
      <c r="A82" s="148"/>
      <c r="B82" s="148"/>
      <c r="C82" s="149" t="s">
        <v>235</v>
      </c>
      <c r="D82" s="150" t="s">
        <v>157</v>
      </c>
      <c r="E82" s="151" t="s">
        <v>153</v>
      </c>
    </row>
    <row r="83" spans="1:5" x14ac:dyDescent="0.2">
      <c r="A83" s="148"/>
      <c r="B83" s="148"/>
      <c r="C83" s="149" t="s">
        <v>236</v>
      </c>
      <c r="D83" s="150" t="s">
        <v>206</v>
      </c>
      <c r="E83" s="151" t="s">
        <v>153</v>
      </c>
    </row>
    <row r="84" spans="1:5" x14ac:dyDescent="0.2">
      <c r="A84" s="148"/>
      <c r="B84" s="148"/>
      <c r="C84" s="149" t="s">
        <v>237</v>
      </c>
      <c r="D84" s="150" t="s">
        <v>160</v>
      </c>
      <c r="E84" s="151" t="s">
        <v>153</v>
      </c>
    </row>
    <row r="85" spans="1:5" x14ac:dyDescent="0.2">
      <c r="A85" s="148"/>
      <c r="B85" s="148"/>
      <c r="C85" s="149" t="s">
        <v>238</v>
      </c>
      <c r="D85" s="150" t="s">
        <v>155</v>
      </c>
      <c r="E85" s="151"/>
    </row>
    <row r="86" spans="1:5" x14ac:dyDescent="0.2">
      <c r="A86" s="148"/>
      <c r="B86" s="148"/>
      <c r="C86" s="149" t="s">
        <v>239</v>
      </c>
      <c r="D86" s="150" t="s">
        <v>162</v>
      </c>
      <c r="E86" s="151"/>
    </row>
    <row r="87" spans="1:5" x14ac:dyDescent="0.2">
      <c r="A87" s="134"/>
      <c r="B87" s="147" t="s">
        <v>240</v>
      </c>
      <c r="C87" s="134"/>
      <c r="D87" s="134"/>
      <c r="E87" s="134"/>
    </row>
    <row r="88" spans="1:5" x14ac:dyDescent="0.2">
      <c r="A88" s="148"/>
      <c r="B88" s="148"/>
      <c r="C88" s="149" t="s">
        <v>241</v>
      </c>
      <c r="D88" s="150" t="s">
        <v>152</v>
      </c>
      <c r="E88" s="151" t="s">
        <v>153</v>
      </c>
    </row>
    <row r="89" spans="1:5" x14ac:dyDescent="0.2">
      <c r="A89" s="148"/>
      <c r="B89" s="148"/>
      <c r="C89" s="149" t="s">
        <v>242</v>
      </c>
      <c r="D89" s="150" t="s">
        <v>206</v>
      </c>
      <c r="E89" s="151" t="s">
        <v>153</v>
      </c>
    </row>
    <row r="90" spans="1:5" x14ac:dyDescent="0.2">
      <c r="A90" s="148"/>
      <c r="B90" s="148"/>
      <c r="C90" s="149" t="s">
        <v>243</v>
      </c>
      <c r="D90" s="150" t="s">
        <v>160</v>
      </c>
      <c r="E90" s="151" t="s">
        <v>153</v>
      </c>
    </row>
    <row r="91" spans="1:5" x14ac:dyDescent="0.2">
      <c r="A91" s="148"/>
      <c r="B91" s="148"/>
      <c r="C91" s="149" t="s">
        <v>244</v>
      </c>
      <c r="D91" s="150" t="s">
        <v>162</v>
      </c>
      <c r="E91" s="151"/>
    </row>
    <row r="92" spans="1:5" x14ac:dyDescent="0.2">
      <c r="A92" s="148"/>
      <c r="B92" s="148"/>
      <c r="C92" s="149" t="s">
        <v>245</v>
      </c>
      <c r="D92" s="150" t="s">
        <v>183</v>
      </c>
      <c r="E92" s="151"/>
    </row>
    <row r="93" spans="1:5" x14ac:dyDescent="0.2">
      <c r="A93" s="134"/>
      <c r="B93" s="147" t="s">
        <v>246</v>
      </c>
      <c r="C93" s="134"/>
      <c r="D93" s="134"/>
      <c r="E93" s="134"/>
    </row>
    <row r="94" spans="1:5" x14ac:dyDescent="0.2">
      <c r="A94" s="148"/>
      <c r="B94" s="148"/>
      <c r="C94" s="149" t="s">
        <v>247</v>
      </c>
      <c r="D94" s="150" t="s">
        <v>160</v>
      </c>
      <c r="E94" s="151" t="s">
        <v>153</v>
      </c>
    </row>
    <row r="95" spans="1:5" x14ac:dyDescent="0.2">
      <c r="A95" s="148"/>
      <c r="B95" s="148"/>
      <c r="C95" s="149" t="s">
        <v>248</v>
      </c>
      <c r="D95" s="150" t="s">
        <v>206</v>
      </c>
      <c r="E95" s="151" t="s">
        <v>153</v>
      </c>
    </row>
    <row r="96" spans="1:5" x14ac:dyDescent="0.2">
      <c r="A96" s="148"/>
      <c r="B96" s="148"/>
      <c r="C96" s="149" t="s">
        <v>249</v>
      </c>
      <c r="D96" s="150" t="s">
        <v>183</v>
      </c>
      <c r="E96" s="151" t="s">
        <v>153</v>
      </c>
    </row>
    <row r="97" spans="1:5" x14ac:dyDescent="0.2">
      <c r="A97" s="148"/>
      <c r="B97" s="148"/>
      <c r="C97" s="149" t="s">
        <v>250</v>
      </c>
      <c r="D97" s="150" t="s">
        <v>160</v>
      </c>
      <c r="E97" s="151"/>
    </row>
    <row r="98" spans="1:5" x14ac:dyDescent="0.2">
      <c r="A98" s="148"/>
      <c r="B98" s="148"/>
      <c r="C98" s="149" t="s">
        <v>251</v>
      </c>
      <c r="D98" s="150" t="s">
        <v>162</v>
      </c>
      <c r="E98" s="151"/>
    </row>
    <row r="99" spans="1:5" x14ac:dyDescent="0.2">
      <c r="A99" s="145" t="s">
        <v>252</v>
      </c>
      <c r="B99" s="146"/>
      <c r="C99" s="146"/>
      <c r="D99" s="146"/>
      <c r="E99" s="146"/>
    </row>
    <row r="100" spans="1:5" x14ac:dyDescent="0.2">
      <c r="A100" s="134"/>
      <c r="B100" s="147" t="s">
        <v>253</v>
      </c>
      <c r="C100" s="134"/>
      <c r="D100" s="134"/>
      <c r="E100" s="134"/>
    </row>
    <row r="101" spans="1:5" x14ac:dyDescent="0.2">
      <c r="A101" s="148"/>
      <c r="B101" s="148"/>
      <c r="C101" s="149" t="s">
        <v>254</v>
      </c>
      <c r="D101" s="150" t="s">
        <v>155</v>
      </c>
      <c r="E101" s="151" t="s">
        <v>153</v>
      </c>
    </row>
    <row r="102" spans="1:5" x14ac:dyDescent="0.2">
      <c r="A102" s="148"/>
      <c r="B102" s="148"/>
      <c r="C102" s="149" t="s">
        <v>255</v>
      </c>
      <c r="D102" s="150" t="s">
        <v>160</v>
      </c>
      <c r="E102" s="151" t="s">
        <v>153</v>
      </c>
    </row>
    <row r="103" spans="1:5" x14ac:dyDescent="0.2">
      <c r="A103" s="148"/>
      <c r="B103" s="148"/>
      <c r="C103" s="149" t="s">
        <v>256</v>
      </c>
      <c r="D103" s="150" t="s">
        <v>162</v>
      </c>
      <c r="E103" s="151" t="s">
        <v>153</v>
      </c>
    </row>
    <row r="104" spans="1:5" x14ac:dyDescent="0.2">
      <c r="A104" s="148"/>
      <c r="B104" s="148"/>
      <c r="C104" s="149" t="s">
        <v>257</v>
      </c>
      <c r="D104" s="150" t="s">
        <v>160</v>
      </c>
      <c r="E104" s="151"/>
    </row>
    <row r="105" spans="1:5" x14ac:dyDescent="0.2">
      <c r="A105" s="148"/>
      <c r="B105" s="148"/>
      <c r="C105" s="149" t="s">
        <v>258</v>
      </c>
      <c r="D105" s="150" t="s">
        <v>162</v>
      </c>
      <c r="E105" s="151"/>
    </row>
    <row r="106" spans="1:5" x14ac:dyDescent="0.2">
      <c r="A106" s="134"/>
      <c r="B106" s="147" t="s">
        <v>259</v>
      </c>
      <c r="C106" s="134"/>
      <c r="D106" s="134"/>
      <c r="E106" s="134"/>
    </row>
    <row r="107" spans="1:5" x14ac:dyDescent="0.2">
      <c r="A107" s="148"/>
      <c r="B107" s="148"/>
      <c r="C107" s="149" t="s">
        <v>260</v>
      </c>
      <c r="D107" s="150" t="s">
        <v>183</v>
      </c>
      <c r="E107" s="151" t="s">
        <v>153</v>
      </c>
    </row>
    <row r="108" spans="1:5" x14ac:dyDescent="0.2">
      <c r="A108" s="148"/>
      <c r="B108" s="148"/>
      <c r="C108" s="149" t="s">
        <v>261</v>
      </c>
      <c r="D108" s="150" t="s">
        <v>162</v>
      </c>
      <c r="E108" s="151" t="s">
        <v>153</v>
      </c>
    </row>
    <row r="109" spans="1:5" x14ac:dyDescent="0.2">
      <c r="A109" s="148"/>
      <c r="B109" s="148"/>
      <c r="C109" s="149" t="s">
        <v>262</v>
      </c>
      <c r="D109" s="150" t="s">
        <v>160</v>
      </c>
      <c r="E109" s="151" t="s">
        <v>153</v>
      </c>
    </row>
    <row r="110" spans="1:5" x14ac:dyDescent="0.2">
      <c r="A110" s="148"/>
      <c r="B110" s="148"/>
      <c r="C110" s="149" t="s">
        <v>263</v>
      </c>
      <c r="D110" s="150" t="s">
        <v>264</v>
      </c>
      <c r="E110" s="151" t="s">
        <v>153</v>
      </c>
    </row>
    <row r="111" spans="1:5" x14ac:dyDescent="0.2">
      <c r="A111" s="148"/>
      <c r="B111" s="148"/>
      <c r="C111" s="149" t="s">
        <v>265</v>
      </c>
      <c r="D111" s="150" t="s">
        <v>183</v>
      </c>
      <c r="E111" s="151"/>
    </row>
    <row r="112" spans="1:5" x14ac:dyDescent="0.2">
      <c r="A112" s="134"/>
      <c r="B112" s="147" t="s">
        <v>266</v>
      </c>
      <c r="C112" s="134"/>
      <c r="D112" s="134"/>
      <c r="E112" s="134"/>
    </row>
    <row r="113" spans="1:5" x14ac:dyDescent="0.2">
      <c r="A113" s="148"/>
      <c r="B113" s="148"/>
      <c r="C113" s="149" t="s">
        <v>267</v>
      </c>
      <c r="D113" s="150" t="s">
        <v>157</v>
      </c>
      <c r="E113" s="151" t="s">
        <v>153</v>
      </c>
    </row>
    <row r="114" spans="1:5" x14ac:dyDescent="0.2">
      <c r="A114" s="148"/>
      <c r="B114" s="148"/>
      <c r="C114" s="149" t="s">
        <v>268</v>
      </c>
      <c r="D114" s="150" t="s">
        <v>152</v>
      </c>
      <c r="E114" s="151" t="s">
        <v>153</v>
      </c>
    </row>
    <row r="115" spans="1:5" x14ac:dyDescent="0.2">
      <c r="A115" s="148"/>
      <c r="B115" s="148"/>
      <c r="C115" s="149" t="s">
        <v>269</v>
      </c>
      <c r="D115" s="150" t="s">
        <v>155</v>
      </c>
      <c r="E115" s="151" t="s">
        <v>153</v>
      </c>
    </row>
    <row r="116" spans="1:5" x14ac:dyDescent="0.2">
      <c r="A116" s="148"/>
      <c r="B116" s="148"/>
      <c r="C116" s="149" t="s">
        <v>270</v>
      </c>
      <c r="D116" s="150" t="s">
        <v>171</v>
      </c>
      <c r="E116" s="151" t="s">
        <v>153</v>
      </c>
    </row>
    <row r="117" spans="1:5" x14ac:dyDescent="0.2">
      <c r="A117" s="148"/>
      <c r="B117" s="148"/>
      <c r="C117" s="149" t="s">
        <v>271</v>
      </c>
      <c r="D117" s="150" t="s">
        <v>272</v>
      </c>
      <c r="E117" s="151"/>
    </row>
    <row r="118" spans="1:5" x14ac:dyDescent="0.2">
      <c r="A118" s="148"/>
      <c r="B118" s="148"/>
      <c r="C118" s="149" t="s">
        <v>273</v>
      </c>
      <c r="D118" s="150" t="s">
        <v>157</v>
      </c>
      <c r="E118" s="151"/>
    </row>
    <row r="119" spans="1:5" ht="28" x14ac:dyDescent="0.2">
      <c r="A119" s="134"/>
      <c r="B119" s="147" t="s">
        <v>274</v>
      </c>
      <c r="C119" s="134"/>
      <c r="D119" s="134"/>
      <c r="E119" s="134"/>
    </row>
    <row r="120" spans="1:5" x14ac:dyDescent="0.2">
      <c r="A120" s="148"/>
      <c r="B120" s="148"/>
      <c r="C120" s="149" t="s">
        <v>275</v>
      </c>
      <c r="D120" s="150" t="s">
        <v>160</v>
      </c>
      <c r="E120" s="151" t="s">
        <v>153</v>
      </c>
    </row>
    <row r="121" spans="1:5" x14ac:dyDescent="0.2">
      <c r="A121" s="148"/>
      <c r="B121" s="148"/>
      <c r="C121" s="149" t="s">
        <v>276</v>
      </c>
      <c r="D121" s="150" t="s">
        <v>206</v>
      </c>
      <c r="E121" s="151" t="s">
        <v>153</v>
      </c>
    </row>
    <row r="122" spans="1:5" x14ac:dyDescent="0.2">
      <c r="A122" s="148"/>
      <c r="B122" s="148"/>
      <c r="C122" s="149" t="s">
        <v>277</v>
      </c>
      <c r="D122" s="150" t="s">
        <v>160</v>
      </c>
      <c r="E122" s="151" t="s">
        <v>153</v>
      </c>
    </row>
    <row r="123" spans="1:5" x14ac:dyDescent="0.2">
      <c r="A123" s="148"/>
      <c r="B123" s="148"/>
      <c r="C123" s="149" t="s">
        <v>278</v>
      </c>
      <c r="D123" s="150" t="s">
        <v>162</v>
      </c>
      <c r="E123" s="151"/>
    </row>
    <row r="124" spans="1:5" x14ac:dyDescent="0.2">
      <c r="A124" s="148"/>
      <c r="B124" s="148"/>
      <c r="C124" s="149" t="s">
        <v>279</v>
      </c>
      <c r="D124" s="150" t="s">
        <v>183</v>
      </c>
      <c r="E124" s="151"/>
    </row>
    <row r="125" spans="1:5" x14ac:dyDescent="0.2">
      <c r="A125" s="134"/>
      <c r="B125" s="147" t="s">
        <v>280</v>
      </c>
      <c r="C125" s="134"/>
      <c r="D125" s="134"/>
      <c r="E125" s="134"/>
    </row>
    <row r="126" spans="1:5" x14ac:dyDescent="0.2">
      <c r="A126" s="148"/>
      <c r="B126" s="148"/>
      <c r="C126" s="149" t="s">
        <v>281</v>
      </c>
      <c r="D126" s="150" t="s">
        <v>157</v>
      </c>
      <c r="E126" s="151" t="s">
        <v>153</v>
      </c>
    </row>
    <row r="127" spans="1:5" x14ac:dyDescent="0.2">
      <c r="A127" s="148"/>
      <c r="B127" s="148"/>
      <c r="C127" s="149" t="s">
        <v>282</v>
      </c>
      <c r="D127" s="150" t="s">
        <v>157</v>
      </c>
      <c r="E127" s="151" t="s">
        <v>153</v>
      </c>
    </row>
    <row r="128" spans="1:5" x14ac:dyDescent="0.2">
      <c r="A128" s="148"/>
      <c r="B128" s="148"/>
      <c r="C128" s="149" t="s">
        <v>283</v>
      </c>
      <c r="D128" s="150" t="s">
        <v>160</v>
      </c>
      <c r="E128" s="151" t="s">
        <v>153</v>
      </c>
    </row>
    <row r="129" spans="1:5" x14ac:dyDescent="0.2">
      <c r="A129" s="148"/>
      <c r="B129" s="148"/>
      <c r="C129" s="149" t="s">
        <v>284</v>
      </c>
      <c r="D129" s="150" t="s">
        <v>183</v>
      </c>
      <c r="E129" s="151"/>
    </row>
    <row r="130" spans="1:5" x14ac:dyDescent="0.2">
      <c r="A130" s="148"/>
      <c r="B130" s="148"/>
      <c r="C130" s="149" t="s">
        <v>285</v>
      </c>
      <c r="D130" s="150" t="s">
        <v>155</v>
      </c>
      <c r="E130" s="151"/>
    </row>
    <row r="132" spans="1:5" x14ac:dyDescent="0.2">
      <c r="A132" s="159" t="s">
        <v>286</v>
      </c>
      <c r="B132" s="155"/>
      <c r="C132" s="155"/>
      <c r="D132" s="155"/>
      <c r="E132" s="155"/>
    </row>
    <row r="133" spans="1:5" ht="28" x14ac:dyDescent="0.2">
      <c r="A133" s="134"/>
      <c r="B133" s="147" t="s">
        <v>287</v>
      </c>
      <c r="C133" s="152" t="s">
        <v>288</v>
      </c>
      <c r="D133" s="134"/>
      <c r="E133" s="134"/>
    </row>
    <row r="134" spans="1:5" x14ac:dyDescent="0.2">
      <c r="A134" s="148"/>
      <c r="B134" s="148"/>
      <c r="C134" s="149" t="s">
        <v>289</v>
      </c>
      <c r="D134" s="150" t="s">
        <v>160</v>
      </c>
      <c r="E134" s="151" t="s">
        <v>153</v>
      </c>
    </row>
    <row r="135" spans="1:5" x14ac:dyDescent="0.2">
      <c r="A135" s="148"/>
      <c r="B135" s="148"/>
      <c r="C135" s="149" t="s">
        <v>290</v>
      </c>
      <c r="D135" s="150" t="s">
        <v>206</v>
      </c>
      <c r="E135" s="151" t="s">
        <v>153</v>
      </c>
    </row>
    <row r="136" spans="1:5" x14ac:dyDescent="0.2">
      <c r="A136" s="148"/>
      <c r="B136" s="148"/>
      <c r="C136" s="149" t="s">
        <v>291</v>
      </c>
      <c r="D136" s="150" t="s">
        <v>292</v>
      </c>
      <c r="E136" s="151" t="s">
        <v>153</v>
      </c>
    </row>
    <row r="137" spans="1:5" x14ac:dyDescent="0.2">
      <c r="A137" s="157"/>
      <c r="B137" s="158"/>
      <c r="C137" s="158"/>
      <c r="D137" s="158"/>
      <c r="E137" s="158"/>
    </row>
    <row r="138" spans="1:5" ht="28" x14ac:dyDescent="0.2">
      <c r="A138" s="134"/>
      <c r="B138" s="147" t="s">
        <v>293</v>
      </c>
      <c r="C138" s="152" t="s">
        <v>294</v>
      </c>
      <c r="D138" s="134"/>
      <c r="E138" s="134"/>
    </row>
    <row r="139" spans="1:5" x14ac:dyDescent="0.2">
      <c r="A139" s="148"/>
      <c r="B139" s="148"/>
      <c r="C139" s="149" t="s">
        <v>295</v>
      </c>
      <c r="D139" s="150" t="s">
        <v>296</v>
      </c>
      <c r="E139" s="151" t="s">
        <v>153</v>
      </c>
    </row>
    <row r="140" spans="1:5" x14ac:dyDescent="0.2">
      <c r="A140" s="148"/>
      <c r="B140" s="148"/>
      <c r="C140" s="149" t="s">
        <v>297</v>
      </c>
      <c r="D140" s="150" t="s">
        <v>155</v>
      </c>
      <c r="E140" s="151" t="s">
        <v>153</v>
      </c>
    </row>
    <row r="141" spans="1:5" x14ac:dyDescent="0.2">
      <c r="A141" s="148"/>
      <c r="B141" s="148"/>
      <c r="C141" s="149" t="s">
        <v>298</v>
      </c>
      <c r="D141" s="150" t="s">
        <v>183</v>
      </c>
      <c r="E141" s="151" t="s">
        <v>153</v>
      </c>
    </row>
    <row r="142" spans="1:5" x14ac:dyDescent="0.2">
      <c r="A142" s="153"/>
    </row>
    <row r="143" spans="1:5" x14ac:dyDescent="0.2">
      <c r="A143" s="160" t="s">
        <v>299</v>
      </c>
      <c r="B143" s="155"/>
      <c r="C143" s="155"/>
      <c r="D143" s="155"/>
      <c r="E143" s="155"/>
    </row>
    <row r="144" spans="1:5" x14ac:dyDescent="0.2">
      <c r="B144" s="135" t="s">
        <v>300</v>
      </c>
      <c r="C144" s="136" t="s">
        <v>301</v>
      </c>
    </row>
    <row r="145" spans="1:3" x14ac:dyDescent="0.2">
      <c r="B145" s="135" t="s">
        <v>302</v>
      </c>
      <c r="C145" s="136" t="s">
        <v>303</v>
      </c>
    </row>
    <row r="147" spans="1:3" ht="78" x14ac:dyDescent="0.2">
      <c r="A147" s="137" t="s">
        <v>304</v>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1"/>
  <sheetViews>
    <sheetView zoomScale="150" zoomScaleNormal="150" workbookViewId="0">
      <selection activeCell="B3" sqref="B3"/>
    </sheetView>
  </sheetViews>
  <sheetFormatPr baseColWidth="10" defaultColWidth="8.83203125" defaultRowHeight="15" x14ac:dyDescent="0.2"/>
  <cols>
    <col min="1" max="1" width="2.83203125" customWidth="1"/>
    <col min="2" max="12" width="13.83203125" customWidth="1"/>
  </cols>
  <sheetData>
    <row r="2" spans="2:12" ht="34" customHeight="1" x14ac:dyDescent="0.2">
      <c r="B2" s="61" t="s">
        <v>305</v>
      </c>
      <c r="C2" s="61"/>
      <c r="D2" s="61"/>
      <c r="E2" s="61"/>
      <c r="F2" s="61"/>
      <c r="G2" s="61"/>
      <c r="H2" s="61"/>
      <c r="I2" s="61"/>
      <c r="J2" s="61"/>
      <c r="K2" s="61"/>
      <c r="L2" s="61"/>
    </row>
    <row r="3" spans="2:12" ht="21" customHeight="1" x14ac:dyDescent="0.2">
      <c r="B3" s="3" t="s">
        <v>306</v>
      </c>
      <c r="C3" s="4"/>
      <c r="D3" s="4"/>
      <c r="E3" s="4"/>
      <c r="F3" s="4"/>
      <c r="G3" s="4"/>
      <c r="H3" s="4"/>
      <c r="I3" s="4"/>
      <c r="J3" s="4"/>
      <c r="K3" s="4"/>
      <c r="L3" s="4"/>
    </row>
    <row r="5" spans="2:12" ht="21" customHeight="1" x14ac:dyDescent="0.2">
      <c r="B5" s="5" t="s">
        <v>307</v>
      </c>
      <c r="C5" s="5" t="s">
        <v>308</v>
      </c>
      <c r="D5" s="5" t="s">
        <v>309</v>
      </c>
      <c r="E5" s="5" t="s">
        <v>310</v>
      </c>
      <c r="F5" s="5" t="s">
        <v>311</v>
      </c>
      <c r="G5" s="5" t="s">
        <v>312</v>
      </c>
      <c r="H5" s="5" t="s">
        <v>313</v>
      </c>
      <c r="I5" s="5" t="s">
        <v>314</v>
      </c>
      <c r="J5" s="5" t="s">
        <v>10</v>
      </c>
      <c r="K5" s="5" t="s">
        <v>315</v>
      </c>
      <c r="L5" s="6" t="s">
        <v>316</v>
      </c>
    </row>
    <row r="6" spans="2:12" ht="33.75" customHeight="1" x14ac:dyDescent="0.2">
      <c r="B6" s="7" t="s">
        <v>317</v>
      </c>
      <c r="C6" s="7">
        <v>750</v>
      </c>
      <c r="D6" s="7">
        <v>1800</v>
      </c>
      <c r="E6" s="7">
        <v>150</v>
      </c>
      <c r="F6" s="7">
        <v>450</v>
      </c>
      <c r="G6" s="8" t="s">
        <v>318</v>
      </c>
      <c r="H6" s="8" t="s">
        <v>319</v>
      </c>
      <c r="I6" s="8" t="s">
        <v>320</v>
      </c>
      <c r="J6" s="8" t="s">
        <v>321</v>
      </c>
      <c r="K6" s="8" t="s">
        <v>322</v>
      </c>
      <c r="L6" s="8" t="s">
        <v>323</v>
      </c>
    </row>
    <row r="7" spans="2:12" ht="33.75" customHeight="1" x14ac:dyDescent="0.2">
      <c r="B7" s="7" t="s">
        <v>324</v>
      </c>
      <c r="C7" s="7">
        <v>1500</v>
      </c>
      <c r="D7" s="7">
        <v>3500</v>
      </c>
      <c r="E7" s="7">
        <v>300</v>
      </c>
      <c r="F7" s="7">
        <v>750</v>
      </c>
      <c r="G7" s="8" t="s">
        <v>325</v>
      </c>
      <c r="H7" s="8" t="s">
        <v>326</v>
      </c>
      <c r="I7" s="8" t="s">
        <v>327</v>
      </c>
      <c r="J7" s="8" t="s">
        <v>328</v>
      </c>
      <c r="K7" s="8" t="s">
        <v>329</v>
      </c>
      <c r="L7" s="8" t="s">
        <v>330</v>
      </c>
    </row>
    <row r="8" spans="2:12" ht="33.75" customHeight="1" x14ac:dyDescent="0.2">
      <c r="B8" s="7" t="s">
        <v>331</v>
      </c>
      <c r="C8" s="7">
        <v>3500</v>
      </c>
      <c r="D8" s="7">
        <v>7500</v>
      </c>
      <c r="E8" s="7">
        <v>750</v>
      </c>
      <c r="F8" s="7">
        <v>1500</v>
      </c>
      <c r="G8" s="8" t="s">
        <v>332</v>
      </c>
      <c r="H8" s="8" t="s">
        <v>333</v>
      </c>
      <c r="I8" s="8" t="s">
        <v>334</v>
      </c>
      <c r="J8" s="8" t="s">
        <v>335</v>
      </c>
      <c r="K8" s="8" t="s">
        <v>336</v>
      </c>
      <c r="L8" s="8" t="s">
        <v>337</v>
      </c>
    </row>
    <row r="9" spans="2:12" ht="33.75" customHeight="1" x14ac:dyDescent="0.2">
      <c r="B9" s="7" t="s">
        <v>338</v>
      </c>
      <c r="C9" s="7">
        <v>7500</v>
      </c>
      <c r="D9" s="7">
        <v>15000</v>
      </c>
      <c r="E9" s="7">
        <v>1500</v>
      </c>
      <c r="F9" s="7">
        <v>3500</v>
      </c>
      <c r="G9" s="8" t="s">
        <v>339</v>
      </c>
      <c r="H9" s="8" t="s">
        <v>340</v>
      </c>
      <c r="I9" s="8" t="s">
        <v>341</v>
      </c>
      <c r="J9" s="8" t="s">
        <v>342</v>
      </c>
      <c r="K9" s="8" t="s">
        <v>343</v>
      </c>
      <c r="L9" s="8" t="s">
        <v>344</v>
      </c>
    </row>
    <row r="10" spans="2:12" ht="33.75" customHeight="1" x14ac:dyDescent="0.2">
      <c r="B10" s="7" t="s">
        <v>345</v>
      </c>
      <c r="C10" s="7">
        <v>12000</v>
      </c>
      <c r="D10" s="7">
        <v>30000</v>
      </c>
      <c r="E10" s="7">
        <v>2500</v>
      </c>
      <c r="F10" s="7">
        <v>6000</v>
      </c>
      <c r="G10" s="8" t="s">
        <v>346</v>
      </c>
      <c r="H10" s="8" t="s">
        <v>347</v>
      </c>
      <c r="I10" s="8" t="s">
        <v>348</v>
      </c>
      <c r="J10" s="8" t="s">
        <v>349</v>
      </c>
      <c r="K10" s="8" t="s">
        <v>350</v>
      </c>
      <c r="L10" s="8" t="s">
        <v>351</v>
      </c>
    </row>
    <row r="11" spans="2:12" ht="33.75" customHeight="1" x14ac:dyDescent="0.2">
      <c r="B11" s="9" t="s">
        <v>352</v>
      </c>
      <c r="C11" s="7">
        <v>4500</v>
      </c>
      <c r="D11" s="7">
        <v>15000</v>
      </c>
      <c r="E11" s="7">
        <v>0</v>
      </c>
      <c r="F11" s="7">
        <v>1000</v>
      </c>
      <c r="G11" s="8" t="s">
        <v>353</v>
      </c>
      <c r="H11" s="8" t="s">
        <v>354</v>
      </c>
      <c r="I11" s="8" t="s">
        <v>355</v>
      </c>
      <c r="J11" s="8" t="s">
        <v>356</v>
      </c>
      <c r="K11" s="8" t="s">
        <v>357</v>
      </c>
      <c r="L11" s="8" t="s">
        <v>358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20"/>
  <sheetViews>
    <sheetView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359</v>
      </c>
      <c r="C2" s="61"/>
      <c r="D2" s="61"/>
      <c r="E2" s="61"/>
      <c r="F2" s="61"/>
      <c r="G2" s="61"/>
      <c r="H2" s="61"/>
      <c r="I2" s="61"/>
      <c r="J2" s="61"/>
      <c r="L2" s="161" t="s">
        <v>360</v>
      </c>
      <c r="M2" s="155"/>
      <c r="N2" s="155"/>
      <c r="O2" s="155"/>
      <c r="P2" s="155"/>
      <c r="Q2" s="155"/>
      <c r="R2" s="155"/>
      <c r="S2" s="155"/>
    </row>
    <row r="4" spans="2:19" ht="33.75" customHeight="1" x14ac:dyDescent="0.2">
      <c r="B4" s="5" t="s">
        <v>361</v>
      </c>
      <c r="C4" s="5" t="s">
        <v>308</v>
      </c>
      <c r="D4" s="5" t="s">
        <v>309</v>
      </c>
      <c r="E4" s="5" t="s">
        <v>310</v>
      </c>
      <c r="F4" s="5" t="s">
        <v>311</v>
      </c>
      <c r="G4" s="5" t="s">
        <v>362</v>
      </c>
      <c r="H4" s="5" t="s">
        <v>363</v>
      </c>
      <c r="I4" s="5" t="s">
        <v>364</v>
      </c>
      <c r="J4" s="5" t="s">
        <v>365</v>
      </c>
      <c r="L4" s="5" t="s">
        <v>366</v>
      </c>
      <c r="M4" s="5" t="s">
        <v>367</v>
      </c>
      <c r="N4" s="5" t="s">
        <v>368</v>
      </c>
      <c r="O4" s="5" t="s">
        <v>369</v>
      </c>
      <c r="P4" s="5" t="s">
        <v>370</v>
      </c>
      <c r="Q4" s="5" t="s">
        <v>371</v>
      </c>
      <c r="R4" s="5" t="s">
        <v>372</v>
      </c>
      <c r="S4" s="5" t="s">
        <v>373</v>
      </c>
    </row>
    <row r="5" spans="2:19" ht="21" customHeight="1" x14ac:dyDescent="0.2">
      <c r="B5" t="s">
        <v>374</v>
      </c>
      <c r="C5">
        <v>500</v>
      </c>
      <c r="D5">
        <v>1500</v>
      </c>
      <c r="E5">
        <v>100</v>
      </c>
      <c r="F5">
        <v>300</v>
      </c>
      <c r="G5" t="s">
        <v>375</v>
      </c>
      <c r="H5" t="s">
        <v>376</v>
      </c>
      <c r="I5" t="s">
        <v>377</v>
      </c>
      <c r="J5" t="s">
        <v>378</v>
      </c>
      <c r="L5" s="10" t="s">
        <v>379</v>
      </c>
      <c r="M5" s="11">
        <v>0</v>
      </c>
      <c r="N5" s="11">
        <v>1</v>
      </c>
      <c r="O5" t="s">
        <v>380</v>
      </c>
      <c r="P5" t="s">
        <v>381</v>
      </c>
      <c r="Q5" t="s">
        <v>382</v>
      </c>
      <c r="R5" t="s">
        <v>383</v>
      </c>
      <c r="S5" t="s">
        <v>384</v>
      </c>
    </row>
    <row r="6" spans="2:19" ht="21" customHeight="1" x14ac:dyDescent="0.2">
      <c r="B6" t="s">
        <v>385</v>
      </c>
      <c r="C6">
        <v>500</v>
      </c>
      <c r="D6">
        <v>2000</v>
      </c>
      <c r="E6">
        <v>150</v>
      </c>
      <c r="F6">
        <v>500</v>
      </c>
      <c r="G6" t="s">
        <v>386</v>
      </c>
      <c r="H6" t="s">
        <v>387</v>
      </c>
      <c r="I6" t="s">
        <v>388</v>
      </c>
      <c r="J6" t="s">
        <v>389</v>
      </c>
      <c r="L6" s="10" t="s">
        <v>390</v>
      </c>
      <c r="M6" s="11">
        <v>0.5</v>
      </c>
      <c r="N6" s="11">
        <v>1</v>
      </c>
      <c r="O6" t="s">
        <v>391</v>
      </c>
      <c r="P6" t="s">
        <v>392</v>
      </c>
      <c r="Q6" t="s">
        <v>393</v>
      </c>
      <c r="R6" t="s">
        <v>394</v>
      </c>
      <c r="S6" t="s">
        <v>384</v>
      </c>
    </row>
    <row r="7" spans="2:19" ht="21" customHeight="1" x14ac:dyDescent="0.2">
      <c r="B7" t="s">
        <v>395</v>
      </c>
      <c r="C7">
        <v>750</v>
      </c>
      <c r="D7">
        <v>2500</v>
      </c>
      <c r="E7">
        <v>200</v>
      </c>
      <c r="F7">
        <v>600</v>
      </c>
      <c r="G7" t="s">
        <v>396</v>
      </c>
      <c r="H7" t="s">
        <v>397</v>
      </c>
      <c r="I7" t="s">
        <v>398</v>
      </c>
      <c r="J7" t="s">
        <v>399</v>
      </c>
      <c r="L7" s="10" t="s">
        <v>400</v>
      </c>
      <c r="M7" s="11">
        <v>1</v>
      </c>
      <c r="N7" s="11">
        <v>1</v>
      </c>
      <c r="O7" t="s">
        <v>401</v>
      </c>
      <c r="P7" t="s">
        <v>402</v>
      </c>
      <c r="Q7" t="s">
        <v>403</v>
      </c>
      <c r="R7" t="s">
        <v>404</v>
      </c>
      <c r="S7" t="s">
        <v>405</v>
      </c>
    </row>
    <row r="8" spans="2:19" ht="21" customHeight="1" x14ac:dyDescent="0.2">
      <c r="B8" t="s">
        <v>406</v>
      </c>
      <c r="C8">
        <v>750</v>
      </c>
      <c r="D8">
        <v>2000</v>
      </c>
      <c r="E8">
        <v>150</v>
      </c>
      <c r="F8">
        <v>500</v>
      </c>
      <c r="G8" t="s">
        <v>407</v>
      </c>
      <c r="H8" t="s">
        <v>408</v>
      </c>
      <c r="I8" t="s">
        <v>409</v>
      </c>
      <c r="J8" t="s">
        <v>410</v>
      </c>
      <c r="L8" s="10" t="s">
        <v>411</v>
      </c>
      <c r="M8" s="11">
        <v>1.5</v>
      </c>
      <c r="N8" s="11">
        <v>1</v>
      </c>
      <c r="O8" t="s">
        <v>412</v>
      </c>
      <c r="P8" t="s">
        <v>413</v>
      </c>
      <c r="Q8" t="s">
        <v>414</v>
      </c>
      <c r="R8" t="s">
        <v>415</v>
      </c>
      <c r="S8" t="s">
        <v>416</v>
      </c>
    </row>
    <row r="9" spans="2:19" ht="21" customHeight="1" x14ac:dyDescent="0.2">
      <c r="B9" t="s">
        <v>417</v>
      </c>
      <c r="C9">
        <v>500</v>
      </c>
      <c r="D9">
        <v>2000</v>
      </c>
      <c r="E9">
        <v>250</v>
      </c>
      <c r="F9">
        <v>900</v>
      </c>
      <c r="G9" t="s">
        <v>418</v>
      </c>
      <c r="H9" t="s">
        <v>419</v>
      </c>
      <c r="I9" t="s">
        <v>15</v>
      </c>
      <c r="J9" t="s">
        <v>420</v>
      </c>
      <c r="L9" s="10" t="s">
        <v>421</v>
      </c>
      <c r="M9" s="11">
        <v>2</v>
      </c>
      <c r="N9" s="11">
        <v>1</v>
      </c>
      <c r="O9" t="s">
        <v>422</v>
      </c>
      <c r="P9" t="s">
        <v>381</v>
      </c>
      <c r="Q9" t="s">
        <v>423</v>
      </c>
      <c r="R9" t="s">
        <v>424</v>
      </c>
      <c r="S9" t="s">
        <v>425</v>
      </c>
    </row>
    <row r="10" spans="2:19" ht="21" customHeight="1" x14ac:dyDescent="0.2">
      <c r="B10" t="s">
        <v>426</v>
      </c>
      <c r="C10">
        <v>0</v>
      </c>
      <c r="D10">
        <v>0</v>
      </c>
      <c r="E10">
        <v>0</v>
      </c>
      <c r="F10">
        <v>0</v>
      </c>
      <c r="G10" t="s">
        <v>427</v>
      </c>
      <c r="H10" t="s">
        <v>428</v>
      </c>
      <c r="I10" t="s">
        <v>429</v>
      </c>
      <c r="J10" t="s">
        <v>430</v>
      </c>
      <c r="L10" s="10" t="s">
        <v>431</v>
      </c>
      <c r="M10" s="11">
        <v>3</v>
      </c>
      <c r="N10" s="11">
        <v>1</v>
      </c>
      <c r="O10" t="s">
        <v>432</v>
      </c>
      <c r="P10" t="s">
        <v>433</v>
      </c>
      <c r="Q10" t="s">
        <v>434</v>
      </c>
      <c r="R10" t="s">
        <v>435</v>
      </c>
      <c r="S10" t="s">
        <v>436</v>
      </c>
    </row>
    <row r="11" spans="2:19" ht="21" customHeight="1" x14ac:dyDescent="0.2">
      <c r="B11" t="s">
        <v>437</v>
      </c>
      <c r="C11">
        <v>0</v>
      </c>
      <c r="D11">
        <v>0</v>
      </c>
      <c r="E11">
        <v>0</v>
      </c>
      <c r="F11">
        <v>0</v>
      </c>
      <c r="G11" t="s">
        <v>438</v>
      </c>
      <c r="H11" t="s">
        <v>439</v>
      </c>
      <c r="I11" t="s">
        <v>440</v>
      </c>
      <c r="J11" t="s">
        <v>441</v>
      </c>
    </row>
    <row r="12" spans="2:19" ht="21" customHeight="1" x14ac:dyDescent="0.2">
      <c r="B12" t="s">
        <v>381</v>
      </c>
      <c r="C12">
        <v>0</v>
      </c>
      <c r="D12">
        <v>0</v>
      </c>
      <c r="E12">
        <v>0</v>
      </c>
      <c r="F12">
        <v>0</v>
      </c>
      <c r="G12" t="s">
        <v>442</v>
      </c>
      <c r="H12" t="s">
        <v>443</v>
      </c>
      <c r="I12" t="s">
        <v>58</v>
      </c>
      <c r="J12" t="s">
        <v>444</v>
      </c>
    </row>
    <row r="14" spans="2:19" ht="33.75" customHeight="1" x14ac:dyDescent="0.2">
      <c r="B14" s="5" t="s">
        <v>445</v>
      </c>
      <c r="C14" s="5" t="s">
        <v>446</v>
      </c>
      <c r="D14" s="5" t="s">
        <v>447</v>
      </c>
      <c r="E14" s="5" t="s">
        <v>8</v>
      </c>
      <c r="F14" s="5" t="s">
        <v>3</v>
      </c>
      <c r="G14" s="5" t="s">
        <v>448</v>
      </c>
      <c r="H14" s="5" t="s">
        <v>365</v>
      </c>
      <c r="I14" s="5" t="s">
        <v>449</v>
      </c>
      <c r="J14" s="5" t="s">
        <v>450</v>
      </c>
    </row>
    <row r="15" spans="2:19" ht="21" customHeight="1" x14ac:dyDescent="0.2">
      <c r="B15" t="s">
        <v>379</v>
      </c>
      <c r="C15" s="12">
        <v>0</v>
      </c>
      <c r="D15" t="s">
        <v>451</v>
      </c>
      <c r="E15" t="s">
        <v>452</v>
      </c>
      <c r="F15" t="s">
        <v>453</v>
      </c>
      <c r="G15" t="s">
        <v>454</v>
      </c>
      <c r="H15" t="s">
        <v>455</v>
      </c>
      <c r="I15" t="s">
        <v>383</v>
      </c>
      <c r="J15" t="s">
        <v>456</v>
      </c>
    </row>
    <row r="16" spans="2:19" ht="21" customHeight="1" x14ac:dyDescent="0.2">
      <c r="B16" t="s">
        <v>390</v>
      </c>
      <c r="C16" s="12">
        <v>0.5</v>
      </c>
      <c r="D16" t="s">
        <v>457</v>
      </c>
      <c r="E16" t="s">
        <v>458</v>
      </c>
      <c r="F16" t="s">
        <v>459</v>
      </c>
      <c r="G16" t="s">
        <v>460</v>
      </c>
      <c r="H16" t="s">
        <v>461</v>
      </c>
      <c r="I16" t="s">
        <v>462</v>
      </c>
      <c r="J16" t="s">
        <v>463</v>
      </c>
    </row>
    <row r="17" spans="2:10" ht="21" customHeight="1" x14ac:dyDescent="0.2">
      <c r="B17" t="s">
        <v>400</v>
      </c>
      <c r="C17" s="12">
        <v>1</v>
      </c>
      <c r="D17" t="s">
        <v>464</v>
      </c>
      <c r="E17" t="s">
        <v>465</v>
      </c>
      <c r="F17" t="s">
        <v>466</v>
      </c>
      <c r="G17" t="s">
        <v>467</v>
      </c>
      <c r="H17" t="s">
        <v>468</v>
      </c>
      <c r="I17" t="s">
        <v>404</v>
      </c>
      <c r="J17" t="s">
        <v>21</v>
      </c>
    </row>
    <row r="18" spans="2:10" ht="21" customHeight="1" x14ac:dyDescent="0.2">
      <c r="B18" t="s">
        <v>411</v>
      </c>
      <c r="C18" s="12">
        <v>1.5</v>
      </c>
      <c r="D18" t="s">
        <v>469</v>
      </c>
      <c r="E18" t="s">
        <v>470</v>
      </c>
      <c r="F18" t="s">
        <v>471</v>
      </c>
      <c r="G18" t="s">
        <v>472</v>
      </c>
      <c r="H18" t="s">
        <v>473</v>
      </c>
      <c r="I18" t="s">
        <v>474</v>
      </c>
      <c r="J18" t="s">
        <v>475</v>
      </c>
    </row>
    <row r="19" spans="2:10" ht="21" customHeight="1" x14ac:dyDescent="0.2">
      <c r="B19" t="s">
        <v>421</v>
      </c>
      <c r="C19" s="12">
        <v>2</v>
      </c>
      <c r="D19" t="s">
        <v>476</v>
      </c>
      <c r="E19" t="s">
        <v>477</v>
      </c>
      <c r="F19" t="s">
        <v>478</v>
      </c>
      <c r="G19" t="s">
        <v>479</v>
      </c>
      <c r="H19" t="s">
        <v>480</v>
      </c>
      <c r="I19" t="s">
        <v>481</v>
      </c>
      <c r="J19" t="s">
        <v>482</v>
      </c>
    </row>
    <row r="20" spans="2:10" ht="21" customHeight="1" x14ac:dyDescent="0.2">
      <c r="B20" t="s">
        <v>431</v>
      </c>
      <c r="C20" s="12">
        <v>3</v>
      </c>
      <c r="D20" t="s">
        <v>483</v>
      </c>
      <c r="E20" t="s">
        <v>484</v>
      </c>
      <c r="F20" t="s">
        <v>485</v>
      </c>
      <c r="G20" t="s">
        <v>486</v>
      </c>
      <c r="H20" t="s">
        <v>487</v>
      </c>
      <c r="I20" t="s">
        <v>435</v>
      </c>
      <c r="J20" t="s">
        <v>488</v>
      </c>
    </row>
  </sheetData>
  <mergeCells count="1">
    <mergeCell ref="L2:S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19" width="8.6640625" style="13" customWidth="1"/>
    <col min="20" max="16384" width="8.6640625" style="13"/>
  </cols>
  <sheetData>
    <row r="1" spans="2:23" ht="15" customHeight="1" x14ac:dyDescent="0.15"/>
    <row r="2" spans="2:23" ht="34" customHeight="1" x14ac:dyDescent="0.15">
      <c r="B2" s="61" t="s">
        <v>489</v>
      </c>
      <c r="C2" s="61"/>
      <c r="D2" s="61"/>
      <c r="E2" s="61"/>
    </row>
    <row r="3" spans="2:23" ht="13.5" customHeight="1" x14ac:dyDescent="0.15"/>
    <row r="4" spans="2:23" s="15" customFormat="1" ht="33.75" customHeight="1" x14ac:dyDescent="0.2">
      <c r="B4" s="14" t="s">
        <v>490</v>
      </c>
      <c r="C4" s="14" t="s">
        <v>491</v>
      </c>
      <c r="D4" s="14" t="s">
        <v>492</v>
      </c>
      <c r="E4" s="14" t="s">
        <v>493</v>
      </c>
      <c r="G4" s="14" t="s">
        <v>494</v>
      </c>
      <c r="H4" s="16"/>
      <c r="I4" s="16"/>
      <c r="J4" s="16"/>
      <c r="K4" s="14" t="s">
        <v>495</v>
      </c>
      <c r="L4" s="16"/>
      <c r="M4" s="14" t="s">
        <v>496</v>
      </c>
      <c r="N4" s="16"/>
      <c r="O4" s="14" t="s">
        <v>497</v>
      </c>
      <c r="P4" s="16"/>
      <c r="R4" s="17" t="s">
        <v>498</v>
      </c>
      <c r="S4" s="14"/>
      <c r="U4" s="17" t="s">
        <v>499</v>
      </c>
      <c r="V4" s="14"/>
      <c r="W4" s="14"/>
    </row>
    <row r="5" spans="2:23" ht="21" customHeight="1" x14ac:dyDescent="0.15">
      <c r="B5" s="18" t="s">
        <v>500</v>
      </c>
      <c r="C5" s="13" t="s">
        <v>501</v>
      </c>
      <c r="D5" s="19"/>
      <c r="E5" s="13" t="s">
        <v>502</v>
      </c>
      <c r="G5" s="20" t="s">
        <v>503</v>
      </c>
      <c r="H5" s="21">
        <f>D5</f>
        <v>0</v>
      </c>
      <c r="K5" s="13" t="str">
        <f>'Package Reference'!B6</f>
        <v>Basic Intake</v>
      </c>
      <c r="M5" s="13" t="str">
        <f>'Access Models'!B6</f>
        <v>Managed service</v>
      </c>
      <c r="O5" s="13" t="str">
        <f>'Complexity Reference'!L5</f>
        <v>No support</v>
      </c>
      <c r="R5" s="22" t="s">
        <v>379</v>
      </c>
      <c r="S5" s="22"/>
      <c r="U5" s="22" t="s">
        <v>504</v>
      </c>
      <c r="V5" s="22"/>
      <c r="W5" s="22"/>
    </row>
    <row r="6" spans="2:23" ht="21" customHeight="1" x14ac:dyDescent="0.15">
      <c r="B6" s="18" t="s">
        <v>505</v>
      </c>
      <c r="C6" s="13" t="s">
        <v>506</v>
      </c>
      <c r="D6" s="23" t="s">
        <v>317</v>
      </c>
      <c r="E6" s="13" t="s">
        <v>507</v>
      </c>
      <c r="F6" s="13" t="s">
        <v>508</v>
      </c>
      <c r="G6" s="20" t="s">
        <v>307</v>
      </c>
      <c r="H6" s="21" t="str">
        <f>D6</f>
        <v>Basic Intake</v>
      </c>
      <c r="K6" s="13" t="str">
        <f>'Package Reference'!B7</f>
        <v>Basic+ AI Triage</v>
      </c>
      <c r="M6" s="13" t="str">
        <f>'Access Models'!B7</f>
        <v>Logic visibility</v>
      </c>
      <c r="O6" s="13" t="str">
        <f>'Complexity Reference'!L6</f>
        <v>Light support</v>
      </c>
      <c r="R6" s="24" t="s">
        <v>390</v>
      </c>
      <c r="S6" s="24"/>
      <c r="U6" s="24" t="s">
        <v>509</v>
      </c>
      <c r="V6" s="24"/>
      <c r="W6" s="24"/>
    </row>
    <row r="7" spans="2:23" ht="21" customHeight="1" x14ac:dyDescent="0.15">
      <c r="B7" s="18" t="s">
        <v>510</v>
      </c>
      <c r="C7" s="13" t="s">
        <v>511</v>
      </c>
      <c r="D7" s="23" t="s">
        <v>15</v>
      </c>
      <c r="E7" s="13" t="s">
        <v>512</v>
      </c>
      <c r="G7" s="20" t="s">
        <v>314</v>
      </c>
      <c r="H7" s="21" t="str">
        <f>D7</f>
        <v>Managed service</v>
      </c>
      <c r="K7" s="13" t="str">
        <f>'Package Reference'!B8</f>
        <v>Pro Multi-Channel</v>
      </c>
      <c r="M7" s="13" t="str">
        <f>'Access Models'!B8</f>
        <v>Limited admin</v>
      </c>
      <c r="O7" s="13" t="str">
        <f>'Complexity Reference'!L7</f>
        <v>Normal managed support</v>
      </c>
      <c r="R7" s="23" t="s">
        <v>400</v>
      </c>
      <c r="S7" s="23"/>
      <c r="U7" s="23" t="s">
        <v>513</v>
      </c>
      <c r="V7" s="23"/>
      <c r="W7" s="23"/>
    </row>
    <row r="8" spans="2:23" ht="21" customHeight="1" x14ac:dyDescent="0.15">
      <c r="B8" s="18" t="s">
        <v>514</v>
      </c>
      <c r="C8" s="13" t="s">
        <v>498</v>
      </c>
      <c r="D8" s="23" t="s">
        <v>400</v>
      </c>
      <c r="E8" s="13" t="s">
        <v>515</v>
      </c>
      <c r="G8" s="20" t="s">
        <v>498</v>
      </c>
      <c r="H8" s="21" t="str">
        <f>D8</f>
        <v>Normal managed support</v>
      </c>
      <c r="K8" s="13" t="str">
        <f>'Package Reference'!B9</f>
        <v>Managed Operations</v>
      </c>
      <c r="M8" s="13" t="str">
        <f>'Access Models'!B9</f>
        <v>Client-owned workspace</v>
      </c>
      <c r="O8" s="13" t="str">
        <f>'Complexity Reference'!L8</f>
        <v>High-responsibility maintenance</v>
      </c>
      <c r="R8" s="25" t="s">
        <v>516</v>
      </c>
      <c r="S8" s="25"/>
      <c r="U8" s="25" t="s">
        <v>517</v>
      </c>
      <c r="V8" s="25"/>
      <c r="W8" s="25"/>
    </row>
    <row r="9" spans="2:23" ht="21" customHeight="1" x14ac:dyDescent="0.15">
      <c r="G9" s="20" t="s">
        <v>518</v>
      </c>
      <c r="H9" s="21" t="str">
        <f>"CHF "&amp;ROUND(D35,0)&amp;" - CHF "&amp;ROUND(D36,0)</f>
        <v>CHF 2250 - CHF 6300</v>
      </c>
      <c r="K9" s="13" t="str">
        <f>'Package Reference'!B10</f>
        <v>Agentic Automation</v>
      </c>
      <c r="M9" s="13" t="str">
        <f>'Access Models'!B10</f>
        <v>Build-and-transfer</v>
      </c>
      <c r="O9" s="13" t="str">
        <f>'Complexity Reference'!L9</f>
        <v>Premium transfer support</v>
      </c>
      <c r="R9" s="26" t="s">
        <v>345</v>
      </c>
      <c r="S9" s="26"/>
      <c r="U9" s="26" t="s">
        <v>421</v>
      </c>
      <c r="V9" s="26"/>
      <c r="W9" s="26"/>
    </row>
    <row r="10" spans="2:23" ht="21" customHeight="1" x14ac:dyDescent="0.15">
      <c r="B10" s="18" t="s">
        <v>519</v>
      </c>
      <c r="C10" s="13" t="s">
        <v>520</v>
      </c>
      <c r="D10" s="27">
        <f>IFERROR(VLOOKUP(D6,'Package Reference'!$B$6:$F$10,2,FALSE()),0)</f>
        <v>750</v>
      </c>
      <c r="E10" s="13" t="s">
        <v>521</v>
      </c>
      <c r="G10" s="20" t="s">
        <v>522</v>
      </c>
      <c r="H10" s="21" t="str">
        <f>"CHF "&amp;ROUND(D37,0)&amp;" - CHF "&amp;ROUND(D38,0)</f>
        <v>CHF 500 - CHF 1550</v>
      </c>
      <c r="O10" s="13" t="str">
        <f>'Complexity Reference'!L10</f>
        <v>Critical support</v>
      </c>
      <c r="R10" s="28" t="s">
        <v>431</v>
      </c>
      <c r="S10" s="28"/>
      <c r="U10" s="28" t="s">
        <v>523</v>
      </c>
      <c r="V10" s="28"/>
      <c r="W10" s="28"/>
    </row>
    <row r="11" spans="2:23" ht="21" customHeight="1" x14ac:dyDescent="0.15">
      <c r="B11" s="18" t="s">
        <v>524</v>
      </c>
      <c r="C11" s="13" t="s">
        <v>525</v>
      </c>
      <c r="D11" s="27">
        <f>IFERROR(VLOOKUP(D6,'Package Reference'!$B$6:$F$10,3,FALSE()),0)</f>
        <v>1800</v>
      </c>
      <c r="E11" s="13" t="s">
        <v>521</v>
      </c>
      <c r="G11" s="20" t="s">
        <v>526</v>
      </c>
      <c r="H11" s="21" t="str">
        <f>"CHF "&amp;ROUND(D39,0)</f>
        <v>CHF 4300</v>
      </c>
    </row>
    <row r="12" spans="2:23" ht="21" customHeight="1" x14ac:dyDescent="0.15">
      <c r="B12" s="18" t="s">
        <v>527</v>
      </c>
      <c r="C12" s="13" t="s">
        <v>528</v>
      </c>
      <c r="D12" s="27">
        <f>IFERROR(VLOOKUP(D6,'Package Reference'!$B$6:$F$10,4,FALSE()),0)</f>
        <v>150</v>
      </c>
      <c r="E12" s="13" t="s">
        <v>521</v>
      </c>
      <c r="G12" s="20" t="s">
        <v>529</v>
      </c>
      <c r="H12" s="21" t="str">
        <f>"CHF "&amp;ROUND(D40,0)</f>
        <v>CHF 1000</v>
      </c>
    </row>
    <row r="13" spans="2:23" ht="21" customHeight="1" x14ac:dyDescent="0.15">
      <c r="B13" s="18" t="s">
        <v>530</v>
      </c>
      <c r="C13" s="13" t="s">
        <v>531</v>
      </c>
      <c r="D13" s="27">
        <f>IFERROR(VLOOKUP(D6,'Package Reference'!$B$6:$F$10,5,FALSE()),0)</f>
        <v>450</v>
      </c>
      <c r="E13" s="13" t="s">
        <v>521</v>
      </c>
      <c r="G13" s="20" t="s">
        <v>364</v>
      </c>
      <c r="H13" s="21" t="s">
        <v>532</v>
      </c>
    </row>
    <row r="14" spans="2:23" ht="21" customHeight="1" x14ac:dyDescent="0.15">
      <c r="B14" s="18" t="s">
        <v>533</v>
      </c>
      <c r="C14" s="13" t="s">
        <v>534</v>
      </c>
      <c r="D14" s="27">
        <f>IFERROR(VLOOKUP(D7,'Access Models'!$B$6:$L$10,10,FALSE()),1)</f>
        <v>1</v>
      </c>
      <c r="E14" s="13" t="s">
        <v>535</v>
      </c>
      <c r="F14" s="13" t="s">
        <v>508</v>
      </c>
      <c r="G14" s="20" t="s">
        <v>536</v>
      </c>
      <c r="H14" s="21" t="s">
        <v>537</v>
      </c>
    </row>
    <row r="15" spans="2:23" ht="21" customHeight="1" x14ac:dyDescent="0.15">
      <c r="B15" s="18" t="s">
        <v>538</v>
      </c>
      <c r="C15" s="13" t="s">
        <v>539</v>
      </c>
      <c r="D15" s="27">
        <f>IFERROR(VLOOKUP(D8,'Complexity Reference'!$L$5:$N$10,2,FALSE()),1)</f>
        <v>1</v>
      </c>
      <c r="E15" s="13" t="s">
        <v>540</v>
      </c>
    </row>
    <row r="17" spans="2:8" ht="21" customHeight="1" x14ac:dyDescent="0.2">
      <c r="B17" s="18" t="s">
        <v>541</v>
      </c>
      <c r="C17" s="13" t="s">
        <v>542</v>
      </c>
      <c r="D17" s="19">
        <v>0</v>
      </c>
      <c r="E17" s="13" t="s">
        <v>543</v>
      </c>
      <c r="F17" s="13" t="s">
        <v>508</v>
      </c>
      <c r="G17" s="85" t="s">
        <v>544</v>
      </c>
      <c r="H17" s="21" t="s">
        <v>545</v>
      </c>
    </row>
    <row r="18" spans="2:8" ht="21" customHeight="1" x14ac:dyDescent="0.15">
      <c r="B18" s="18" t="s">
        <v>546</v>
      </c>
      <c r="C18" s="13" t="s">
        <v>547</v>
      </c>
      <c r="D18" s="19">
        <v>1</v>
      </c>
      <c r="E18" s="13" t="s">
        <v>548</v>
      </c>
      <c r="F18" s="13" t="s">
        <v>508</v>
      </c>
      <c r="G18" s="21" t="s">
        <v>549</v>
      </c>
    </row>
    <row r="19" spans="2:8" ht="21" customHeight="1" x14ac:dyDescent="0.15">
      <c r="B19" s="18" t="s">
        <v>550</v>
      </c>
      <c r="C19" s="13" t="s">
        <v>551</v>
      </c>
      <c r="D19" s="19">
        <v>1</v>
      </c>
      <c r="E19" s="29" t="s">
        <v>552</v>
      </c>
      <c r="F19" s="13" t="s">
        <v>508</v>
      </c>
      <c r="G19" s="21" t="s">
        <v>553</v>
      </c>
    </row>
    <row r="20" spans="2:8" ht="21" customHeight="1" x14ac:dyDescent="0.15">
      <c r="B20" s="18" t="s">
        <v>554</v>
      </c>
      <c r="C20" s="13" t="s">
        <v>555</v>
      </c>
      <c r="D20" s="19">
        <v>1</v>
      </c>
      <c r="E20" s="29" t="s">
        <v>556</v>
      </c>
      <c r="F20" s="13" t="s">
        <v>508</v>
      </c>
      <c r="G20" s="21" t="s">
        <v>557</v>
      </c>
    </row>
    <row r="21" spans="2:8" ht="21" customHeight="1" x14ac:dyDescent="0.15">
      <c r="B21" s="18" t="s">
        <v>558</v>
      </c>
      <c r="C21" s="13" t="s">
        <v>559</v>
      </c>
      <c r="D21" s="19">
        <v>0</v>
      </c>
      <c r="E21" s="29" t="s">
        <v>560</v>
      </c>
      <c r="F21" s="13" t="s">
        <v>508</v>
      </c>
      <c r="G21" s="21" t="s">
        <v>561</v>
      </c>
    </row>
    <row r="22" spans="2:8" ht="21" customHeight="1" x14ac:dyDescent="0.15">
      <c r="B22" s="18" t="s">
        <v>562</v>
      </c>
      <c r="C22" s="13" t="s">
        <v>563</v>
      </c>
      <c r="D22" s="19">
        <v>1</v>
      </c>
      <c r="E22" s="29" t="s">
        <v>564</v>
      </c>
      <c r="F22" s="13" t="s">
        <v>508</v>
      </c>
      <c r="G22" s="21" t="s">
        <v>565</v>
      </c>
    </row>
    <row r="23" spans="2:8" ht="21" customHeight="1" x14ac:dyDescent="0.15">
      <c r="B23" s="18" t="s">
        <v>566</v>
      </c>
      <c r="C23" s="13" t="s">
        <v>567</v>
      </c>
      <c r="D23" s="19">
        <v>1</v>
      </c>
      <c r="E23" s="29" t="s">
        <v>568</v>
      </c>
      <c r="F23" s="13" t="s">
        <v>508</v>
      </c>
      <c r="G23" s="13" t="s">
        <v>508</v>
      </c>
    </row>
    <row r="24" spans="2:8" ht="21" customHeight="1" x14ac:dyDescent="0.2">
      <c r="B24" s="18" t="s">
        <v>569</v>
      </c>
      <c r="C24" s="13" t="s">
        <v>570</v>
      </c>
      <c r="D24" s="30"/>
      <c r="E24" s="31" t="s">
        <v>571</v>
      </c>
      <c r="F24" s="13" t="s">
        <v>508</v>
      </c>
      <c r="G24" s="85" t="s">
        <v>572</v>
      </c>
      <c r="H24" s="21" t="s">
        <v>573</v>
      </c>
    </row>
    <row r="25" spans="2:8" ht="21" customHeight="1" x14ac:dyDescent="0.15">
      <c r="B25" s="18" t="s">
        <v>574</v>
      </c>
      <c r="C25" s="13" t="s">
        <v>575</v>
      </c>
      <c r="D25" s="30"/>
      <c r="E25" s="31" t="s">
        <v>576</v>
      </c>
      <c r="F25" s="13" t="s">
        <v>508</v>
      </c>
      <c r="G25" s="21" t="s">
        <v>549</v>
      </c>
    </row>
    <row r="26" spans="2:8" ht="21" customHeight="1" x14ac:dyDescent="0.15">
      <c r="B26" s="18" t="s">
        <v>577</v>
      </c>
      <c r="C26" s="13" t="s">
        <v>578</v>
      </c>
      <c r="D26" s="30">
        <v>0</v>
      </c>
      <c r="E26" s="31" t="s">
        <v>579</v>
      </c>
      <c r="F26" s="13" t="s">
        <v>508</v>
      </c>
      <c r="G26" s="21" t="s">
        <v>580</v>
      </c>
    </row>
    <row r="27" spans="2:8" ht="21" customHeight="1" x14ac:dyDescent="0.15">
      <c r="B27" s="18" t="s">
        <v>581</v>
      </c>
      <c r="C27" s="13" t="s">
        <v>582</v>
      </c>
      <c r="D27" s="30">
        <v>0</v>
      </c>
      <c r="E27" s="31" t="s">
        <v>583</v>
      </c>
      <c r="F27" s="13" t="s">
        <v>508</v>
      </c>
      <c r="G27" s="21" t="s">
        <v>584</v>
      </c>
    </row>
    <row r="28" spans="2:8" ht="21" customHeight="1" x14ac:dyDescent="0.15">
      <c r="G28" s="21" t="s">
        <v>585</v>
      </c>
    </row>
    <row r="29" spans="2:8" ht="21" customHeight="1" x14ac:dyDescent="0.15">
      <c r="C29" s="32" t="s">
        <v>586</v>
      </c>
      <c r="D29" s="32">
        <f>IF(D24="",D14,D24)</f>
        <v>1</v>
      </c>
      <c r="E29" s="32" t="s">
        <v>587</v>
      </c>
    </row>
    <row r="30" spans="2:8" ht="21" customHeight="1" x14ac:dyDescent="0.15">
      <c r="C30" s="32" t="s">
        <v>588</v>
      </c>
      <c r="D30" s="32">
        <f>IF(D25="",D15,D25)</f>
        <v>1</v>
      </c>
      <c r="E30" s="32" t="s">
        <v>587</v>
      </c>
      <c r="G30" s="20" t="s">
        <v>589</v>
      </c>
      <c r="H30" s="21" t="s">
        <v>590</v>
      </c>
    </row>
    <row r="31" spans="2:8" ht="21" customHeight="1" x14ac:dyDescent="0.15">
      <c r="C31" s="32" t="s">
        <v>591</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587</v>
      </c>
      <c r="G31" s="21" t="s">
        <v>549</v>
      </c>
    </row>
    <row r="32" spans="2:8" ht="21" customHeight="1" x14ac:dyDescent="0.15">
      <c r="C32" s="32" t="s">
        <v>592</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587</v>
      </c>
      <c r="G32" s="21" t="s">
        <v>593</v>
      </c>
    </row>
    <row r="33" spans="3:8" ht="21" customHeight="1" x14ac:dyDescent="0.15">
      <c r="C33" s="32" t="s">
        <v>594</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587</v>
      </c>
      <c r="G33" s="21" t="s">
        <v>595</v>
      </c>
    </row>
    <row r="34" spans="3:8" ht="21" customHeight="1" x14ac:dyDescent="0.15">
      <c r="C34" s="32" t="s">
        <v>596</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587</v>
      </c>
      <c r="G34" s="21" t="s">
        <v>597</v>
      </c>
    </row>
    <row r="35" spans="3:8" ht="21" customHeight="1" x14ac:dyDescent="0.15">
      <c r="C35" s="32" t="s">
        <v>598</v>
      </c>
      <c r="D35" s="32">
        <f>ROUND(D31*D22*D23*D29,0)</f>
        <v>2250</v>
      </c>
      <c r="E35" s="32" t="s">
        <v>587</v>
      </c>
    </row>
    <row r="36" spans="3:8" ht="21" customHeight="1" x14ac:dyDescent="0.15">
      <c r="C36" s="32" t="s">
        <v>599</v>
      </c>
      <c r="D36" s="32">
        <f>ROUND(D32*D22*D23*D29,0)</f>
        <v>6300</v>
      </c>
      <c r="E36" s="32" t="s">
        <v>587</v>
      </c>
      <c r="G36" s="20" t="s">
        <v>600</v>
      </c>
      <c r="H36" s="21" t="s">
        <v>601</v>
      </c>
    </row>
    <row r="37" spans="3:8" ht="21" customHeight="1" x14ac:dyDescent="0.15">
      <c r="C37" s="32" t="s">
        <v>602</v>
      </c>
      <c r="D37" s="32">
        <f>ROUND(D33*D22*D30,0)</f>
        <v>500</v>
      </c>
      <c r="E37" s="32" t="s">
        <v>587</v>
      </c>
      <c r="G37" s="21" t="s">
        <v>549</v>
      </c>
    </row>
    <row r="38" spans="3:8" ht="21" customHeight="1" x14ac:dyDescent="0.15">
      <c r="C38" s="32" t="s">
        <v>603</v>
      </c>
      <c r="D38" s="32">
        <f>ROUND(D34*D22*D30,0)</f>
        <v>1550</v>
      </c>
      <c r="E38" s="32" t="s">
        <v>587</v>
      </c>
      <c r="G38" s="21" t="s">
        <v>604</v>
      </c>
    </row>
    <row r="39" spans="3:8" ht="21" customHeight="1" x14ac:dyDescent="0.15">
      <c r="C39" s="32" t="s">
        <v>605</v>
      </c>
      <c r="D39" s="32">
        <f>ROUND((D35+D36)/2,-2)</f>
        <v>4300</v>
      </c>
      <c r="E39" s="32" t="s">
        <v>587</v>
      </c>
      <c r="G39" s="21" t="s">
        <v>606</v>
      </c>
    </row>
    <row r="40" spans="3:8" ht="21" customHeight="1" x14ac:dyDescent="0.15">
      <c r="C40" s="32" t="s">
        <v>607</v>
      </c>
      <c r="D40" s="32">
        <f>ROUND((D37+D38)/2,-2)</f>
        <v>1000</v>
      </c>
      <c r="E40" s="32" t="s">
        <v>587</v>
      </c>
      <c r="G40" s="21" t="s">
        <v>608</v>
      </c>
    </row>
    <row r="42" spans="3:8" ht="21" customHeight="1" x14ac:dyDescent="0.15">
      <c r="C42" s="33" t="s">
        <v>609</v>
      </c>
      <c r="D42" s="33"/>
      <c r="E42" s="33"/>
      <c r="G42" s="20" t="s">
        <v>610</v>
      </c>
    </row>
    <row r="43" spans="3:8" ht="21" customHeight="1" x14ac:dyDescent="0.15">
      <c r="C43" s="34" t="s">
        <v>611</v>
      </c>
      <c r="D43" s="34" t="s">
        <v>612</v>
      </c>
      <c r="E43" s="34" t="s">
        <v>613</v>
      </c>
      <c r="G43" s="21" t="s">
        <v>549</v>
      </c>
    </row>
    <row r="44" spans="3:8" ht="21" customHeight="1" x14ac:dyDescent="0.15">
      <c r="C44" s="35" t="s">
        <v>614</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615</v>
      </c>
    </row>
    <row r="45" spans="3:8" ht="21" customHeight="1" x14ac:dyDescent="0.15">
      <c r="C45" s="35" t="s">
        <v>616</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617</v>
      </c>
    </row>
    <row r="46" spans="3:8" ht="21" customHeight="1" x14ac:dyDescent="0.15">
      <c r="C46" s="35" t="s">
        <v>618</v>
      </c>
      <c r="D46" s="36" t="str">
        <f>IF(D8="","empty",IF(AND(D15=0,D8&lt;&gt;"No support"),"FAIL","OK"))</f>
        <v>OK</v>
      </c>
      <c r="E46" s="35" t="str">
        <f>IF(D8="","Pick a support model from column N.",IF(AND(D15=0,D8&lt;&gt;"No support"),"Support model doesn't match Complexity Reference — use column N list.","Support model found."))</f>
        <v>Support model found.</v>
      </c>
      <c r="G46" s="21" t="s">
        <v>619</v>
      </c>
    </row>
    <row r="47" spans="3:8" ht="21" customHeight="1" x14ac:dyDescent="0.15">
      <c r="C47" s="35" t="s">
        <v>620</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621</v>
      </c>
    </row>
    <row r="48" spans="3:8" ht="21" customHeight="1" x14ac:dyDescent="0.15">
      <c r="C48" s="35" t="s">
        <v>622</v>
      </c>
      <c r="D48" s="36" t="str">
        <f>IF(OR(D23="",D23&lt;=1),"OK",IF(D23&gt;1.3,"WARN","OK"))</f>
        <v>OK</v>
      </c>
      <c r="E48" s="35" t="str">
        <f>IF(OR(D23="",D23&lt;=1),"No urgency premium.",IF(D23&gt;1.3,"Urgency multiplier above 1.3 — confirm client accepts premium delivery cost.","Urgency premium within normal range."))</f>
        <v>No urgency premium.</v>
      </c>
      <c r="G48" s="21" t="s">
        <v>623</v>
      </c>
    </row>
    <row r="49" spans="3:8" ht="21" customHeight="1" x14ac:dyDescent="0.15">
      <c r="C49" s="35" t="s">
        <v>624</v>
      </c>
      <c r="D49" s="36" t="str">
        <f>IF(AND(D7="Build-and-transfer",D8="No support"),"NOTE","n/a")</f>
        <v>n/a</v>
      </c>
      <c r="E49" s="35" t="str">
        <f>IF(AND(D7="Build-and-transfer",D8="No support"),"Build-and-transfer + No support: client takes full operational risk after handover. Document this clearly.","")</f>
        <v/>
      </c>
      <c r="G49" s="21" t="s">
        <v>625</v>
      </c>
    </row>
    <row r="50" spans="3:8" ht="21" customHeight="1" x14ac:dyDescent="0.15">
      <c r="C50" s="35" t="s">
        <v>626</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627</v>
      </c>
    </row>
    <row r="51" spans="3:8" ht="21" customHeight="1" x14ac:dyDescent="0.15">
      <c r="C51" s="37"/>
      <c r="G51" s="20" t="s">
        <v>628</v>
      </c>
    </row>
    <row r="52" spans="3:8" ht="21" customHeight="1" x14ac:dyDescent="0.15">
      <c r="C52" s="37" t="s">
        <v>629</v>
      </c>
      <c r="D52" s="37" t="s">
        <v>630</v>
      </c>
      <c r="G52" s="21" t="s">
        <v>631</v>
      </c>
    </row>
    <row r="53" spans="3:8" ht="21" customHeight="1" x14ac:dyDescent="0.15">
      <c r="C53" s="37"/>
      <c r="D53" s="37" t="s">
        <v>632</v>
      </c>
      <c r="G53" s="21" t="s">
        <v>633</v>
      </c>
    </row>
    <row r="54" spans="3:8" ht="21" customHeight="1" x14ac:dyDescent="0.15">
      <c r="C54" s="37"/>
      <c r="D54" s="37" t="s">
        <v>634</v>
      </c>
    </row>
    <row r="55" spans="3:8" ht="21" customHeight="1" x14ac:dyDescent="0.15">
      <c r="C55" s="37"/>
      <c r="D55" s="37" t="s">
        <v>635</v>
      </c>
      <c r="G55" s="38" t="s">
        <v>636</v>
      </c>
      <c r="H55" s="38"/>
    </row>
    <row r="56" spans="3:8" ht="21" customHeight="1" x14ac:dyDescent="0.15">
      <c r="C56" s="37"/>
      <c r="G56" s="20" t="s">
        <v>491</v>
      </c>
      <c r="H56" s="20" t="s">
        <v>492</v>
      </c>
    </row>
    <row r="57" spans="3:8" ht="21" customHeight="1" x14ac:dyDescent="0.15">
      <c r="G57" s="18" t="s">
        <v>637</v>
      </c>
      <c r="H57" s="39">
        <v>0</v>
      </c>
    </row>
    <row r="58" spans="3:8" ht="21" customHeight="1" x14ac:dyDescent="0.15">
      <c r="G58" s="18" t="s">
        <v>638</v>
      </c>
      <c r="H58" s="39">
        <v>1</v>
      </c>
    </row>
    <row r="59" spans="3:8" ht="21" customHeight="1" x14ac:dyDescent="0.15">
      <c r="G59" s="18" t="s">
        <v>639</v>
      </c>
      <c r="H59" s="39">
        <v>1</v>
      </c>
    </row>
    <row r="60" spans="3:8" ht="21" customHeight="1" x14ac:dyDescent="0.15">
      <c r="G60" s="18" t="s">
        <v>640</v>
      </c>
      <c r="H60" s="39">
        <v>1</v>
      </c>
    </row>
    <row r="61" spans="3:8" ht="21" customHeight="1" x14ac:dyDescent="0.15">
      <c r="G61" s="18" t="s">
        <v>641</v>
      </c>
      <c r="H61" s="39">
        <v>0</v>
      </c>
    </row>
    <row r="62" spans="3:8" ht="21" customHeight="1" x14ac:dyDescent="0.15">
      <c r="G62" s="13" t="s">
        <v>642</v>
      </c>
      <c r="H62" s="13" t="s">
        <v>643</v>
      </c>
    </row>
    <row r="63" spans="3:8" ht="21" customHeight="1" x14ac:dyDescent="0.15">
      <c r="G63" s="13" t="s">
        <v>644</v>
      </c>
      <c r="H63" s="13" t="s">
        <v>645</v>
      </c>
    </row>
    <row r="64" spans="3:8" ht="21" customHeight="1" x14ac:dyDescent="0.15">
      <c r="G64" s="13" t="s">
        <v>646</v>
      </c>
      <c r="H64" s="13" t="s">
        <v>647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10" width="8.83203125" style="40" customWidth="1"/>
    <col min="11" max="16384" width="8.83203125" style="40"/>
  </cols>
  <sheetData>
    <row r="1" spans="1:11" ht="16" customHeight="1" x14ac:dyDescent="0.25">
      <c r="A1" s="41"/>
      <c r="B1" s="41"/>
      <c r="C1" s="41"/>
      <c r="D1" s="41"/>
      <c r="E1" s="41"/>
    </row>
    <row r="2" spans="1:11" ht="34" customHeight="1" x14ac:dyDescent="0.25">
      <c r="A2" s="41"/>
      <c r="B2" s="86" t="s">
        <v>648</v>
      </c>
      <c r="C2" s="86"/>
      <c r="D2" s="86"/>
      <c r="E2" s="41"/>
    </row>
    <row r="3" spans="1:11" ht="16" customHeight="1" x14ac:dyDescent="0.25">
      <c r="A3" s="41"/>
      <c r="B3" s="41"/>
      <c r="C3" s="41"/>
      <c r="D3" s="41"/>
      <c r="E3" s="41"/>
    </row>
    <row r="4" spans="1:11" ht="16" customHeight="1" x14ac:dyDescent="0.25">
      <c r="A4" s="41"/>
      <c r="B4" s="42" t="s">
        <v>491</v>
      </c>
      <c r="C4" s="42" t="s">
        <v>492</v>
      </c>
      <c r="D4" s="42" t="s">
        <v>649</v>
      </c>
      <c r="E4" s="41"/>
      <c r="G4" s="40" t="s">
        <v>650</v>
      </c>
      <c r="J4" s="40" t="s">
        <v>650</v>
      </c>
    </row>
    <row r="5" spans="1:11" ht="16" customHeight="1" x14ac:dyDescent="0.25">
      <c r="A5" s="41"/>
      <c r="B5" s="162" t="s">
        <v>651</v>
      </c>
      <c r="C5" s="163"/>
      <c r="D5" s="163"/>
      <c r="E5" s="41"/>
      <c r="G5" s="43" t="s">
        <v>652</v>
      </c>
      <c r="H5" s="44"/>
      <c r="J5" s="43" t="s">
        <v>653</v>
      </c>
      <c r="K5" s="44"/>
    </row>
    <row r="6" spans="1:11" ht="16" customHeight="1" x14ac:dyDescent="0.25">
      <c r="A6" s="41"/>
      <c r="B6" s="45" t="s">
        <v>654</v>
      </c>
      <c r="C6" s="46"/>
      <c r="D6" s="46"/>
      <c r="E6" s="41"/>
    </row>
    <row r="7" spans="1:11" ht="16" customHeight="1" x14ac:dyDescent="0.25">
      <c r="A7" s="41"/>
      <c r="B7" s="47" t="s">
        <v>655</v>
      </c>
      <c r="C7" s="48">
        <v>2</v>
      </c>
      <c r="D7" s="49" t="s">
        <v>656</v>
      </c>
      <c r="E7" s="41"/>
      <c r="G7" s="48">
        <v>4</v>
      </c>
      <c r="H7" s="49" t="s">
        <v>656</v>
      </c>
      <c r="J7" s="48">
        <v>2</v>
      </c>
      <c r="K7" s="49" t="s">
        <v>656</v>
      </c>
    </row>
    <row r="8" spans="1:11" ht="16" customHeight="1" x14ac:dyDescent="0.25">
      <c r="A8" s="41"/>
      <c r="B8" s="47" t="s">
        <v>657</v>
      </c>
      <c r="C8" s="48">
        <v>5</v>
      </c>
      <c r="D8" s="49" t="s">
        <v>658</v>
      </c>
      <c r="E8" s="41"/>
      <c r="G8" s="48">
        <v>2</v>
      </c>
      <c r="H8" s="49" t="s">
        <v>658</v>
      </c>
      <c r="J8" s="48">
        <v>2</v>
      </c>
      <c r="K8" s="49" t="s">
        <v>658</v>
      </c>
    </row>
    <row r="9" spans="1:11" ht="16" customHeight="1" x14ac:dyDescent="0.25">
      <c r="A9" s="41"/>
      <c r="B9" s="47" t="s">
        <v>659</v>
      </c>
      <c r="C9" s="48">
        <v>100</v>
      </c>
      <c r="D9" s="49" t="s">
        <v>660</v>
      </c>
      <c r="E9" s="41"/>
      <c r="G9" s="48">
        <v>80</v>
      </c>
      <c r="H9" s="49" t="s">
        <v>660</v>
      </c>
      <c r="J9" s="48">
        <v>80</v>
      </c>
      <c r="K9" s="49" t="s">
        <v>660</v>
      </c>
    </row>
    <row r="10" spans="1:11" ht="16" customHeight="1" x14ac:dyDescent="0.25">
      <c r="A10" s="41"/>
      <c r="B10" s="46"/>
      <c r="C10" s="46"/>
      <c r="D10" s="46"/>
      <c r="E10" s="41"/>
      <c r="G10" s="46"/>
      <c r="H10" s="46"/>
      <c r="J10" s="46"/>
      <c r="K10" s="46"/>
    </row>
    <row r="11" spans="1:11" ht="16" customHeight="1" x14ac:dyDescent="0.25">
      <c r="A11" s="41"/>
      <c r="B11" s="45" t="s">
        <v>661</v>
      </c>
      <c r="C11" s="46"/>
      <c r="D11" s="46"/>
      <c r="E11" s="41"/>
      <c r="G11" s="46"/>
      <c r="H11" s="46"/>
      <c r="J11" s="46"/>
      <c r="K11" s="46"/>
    </row>
    <row r="12" spans="1:11" ht="16" customHeight="1" x14ac:dyDescent="0.25">
      <c r="A12" s="41"/>
      <c r="B12" s="47" t="s">
        <v>662</v>
      </c>
      <c r="C12" s="48">
        <v>5</v>
      </c>
      <c r="D12" s="49" t="s">
        <v>663</v>
      </c>
      <c r="E12" s="41"/>
      <c r="G12" s="48">
        <v>1</v>
      </c>
      <c r="H12" s="49" t="s">
        <v>663</v>
      </c>
      <c r="J12" s="48">
        <v>1</v>
      </c>
      <c r="K12" s="49" t="s">
        <v>663</v>
      </c>
    </row>
    <row r="13" spans="1:11" ht="16" customHeight="1" x14ac:dyDescent="0.25">
      <c r="A13" s="41"/>
      <c r="B13" s="47" t="s">
        <v>664</v>
      </c>
      <c r="C13" s="48">
        <v>200</v>
      </c>
      <c r="D13" s="49" t="s">
        <v>665</v>
      </c>
      <c r="E13" s="41"/>
      <c r="G13" s="48">
        <v>75</v>
      </c>
      <c r="H13" s="49" t="s">
        <v>665</v>
      </c>
      <c r="J13" s="48">
        <v>125</v>
      </c>
      <c r="K13" s="49" t="s">
        <v>665</v>
      </c>
    </row>
    <row r="14" spans="1:11" ht="16" customHeight="1" x14ac:dyDescent="0.25">
      <c r="A14" s="41"/>
      <c r="B14" s="46"/>
      <c r="C14" s="46"/>
      <c r="D14" s="46"/>
      <c r="E14" s="41"/>
      <c r="G14" s="46"/>
      <c r="H14" s="46"/>
      <c r="J14" s="46"/>
      <c r="K14" s="46"/>
    </row>
    <row r="15" spans="1:11" ht="16" customHeight="1" x14ac:dyDescent="0.25">
      <c r="A15" s="41"/>
      <c r="B15" s="45" t="s">
        <v>666</v>
      </c>
      <c r="C15" s="46"/>
      <c r="D15" s="46"/>
      <c r="E15" s="41"/>
      <c r="G15" s="46"/>
      <c r="H15" s="46"/>
      <c r="J15" s="46"/>
      <c r="K15" s="46"/>
    </row>
    <row r="16" spans="1:11" ht="16" customHeight="1" x14ac:dyDescent="0.25">
      <c r="A16" s="41"/>
      <c r="B16" s="47" t="s">
        <v>667</v>
      </c>
      <c r="C16" s="48">
        <v>10</v>
      </c>
      <c r="D16" s="49" t="s">
        <v>668</v>
      </c>
      <c r="E16" s="41"/>
      <c r="G16" s="48">
        <v>1</v>
      </c>
      <c r="H16" s="49" t="s">
        <v>668</v>
      </c>
      <c r="J16" s="48">
        <v>2</v>
      </c>
      <c r="K16" s="49" t="s">
        <v>668</v>
      </c>
    </row>
    <row r="17" spans="1:11" ht="16" customHeight="1" x14ac:dyDescent="0.25">
      <c r="A17" s="41"/>
      <c r="B17" s="47" t="s">
        <v>669</v>
      </c>
      <c r="C17" s="48">
        <v>1500</v>
      </c>
      <c r="D17" s="49" t="s">
        <v>670</v>
      </c>
      <c r="E17" s="41"/>
      <c r="G17" s="48">
        <v>1000</v>
      </c>
      <c r="H17" s="49" t="s">
        <v>670</v>
      </c>
      <c r="J17" s="48">
        <v>125</v>
      </c>
      <c r="K17" s="49" t="s">
        <v>670</v>
      </c>
    </row>
    <row r="18" spans="1:11" ht="16" customHeight="1" x14ac:dyDescent="0.25">
      <c r="A18" s="41"/>
      <c r="B18" s="46"/>
      <c r="C18" s="46"/>
      <c r="D18" s="46"/>
      <c r="E18" s="41"/>
      <c r="G18" s="46"/>
      <c r="H18" s="46"/>
      <c r="J18" s="46"/>
      <c r="K18" s="46"/>
    </row>
    <row r="19" spans="1:11" ht="16" customHeight="1" x14ac:dyDescent="0.25">
      <c r="A19" s="41"/>
      <c r="B19" s="45" t="s">
        <v>671</v>
      </c>
      <c r="C19" s="46"/>
      <c r="D19" s="46"/>
      <c r="E19" s="41"/>
      <c r="G19" s="46"/>
      <c r="H19" s="46"/>
      <c r="J19" s="46"/>
      <c r="K19" s="46"/>
    </row>
    <row r="20" spans="1:11" ht="16" customHeight="1" x14ac:dyDescent="0.25">
      <c r="A20" s="41"/>
      <c r="B20" s="47" t="s">
        <v>672</v>
      </c>
      <c r="C20" s="48">
        <v>20000</v>
      </c>
      <c r="D20" s="49" t="s">
        <v>673</v>
      </c>
      <c r="E20" s="41"/>
      <c r="G20" s="48">
        <v>3500</v>
      </c>
      <c r="H20" s="49" t="s">
        <v>673</v>
      </c>
      <c r="J20" s="48">
        <v>2500</v>
      </c>
      <c r="K20" s="49" t="s">
        <v>673</v>
      </c>
    </row>
    <row r="21" spans="1:11" ht="16" customHeight="1" x14ac:dyDescent="0.25">
      <c r="A21" s="41"/>
      <c r="B21" s="47" t="s">
        <v>674</v>
      </c>
      <c r="C21" s="48">
        <v>2350</v>
      </c>
      <c r="D21" s="49" t="s">
        <v>675</v>
      </c>
      <c r="E21" s="41"/>
      <c r="G21" s="48">
        <v>1600</v>
      </c>
      <c r="H21" s="49" t="s">
        <v>676</v>
      </c>
      <c r="J21" s="48">
        <v>800</v>
      </c>
      <c r="K21" s="49" t="s">
        <v>676</v>
      </c>
    </row>
    <row r="22" spans="1:11" ht="16" customHeight="1" x14ac:dyDescent="0.25">
      <c r="A22" s="41"/>
      <c r="B22" s="46"/>
      <c r="C22" s="46"/>
      <c r="D22" s="46"/>
      <c r="E22" s="41"/>
    </row>
    <row r="23" spans="1:11" ht="16" customHeight="1" x14ac:dyDescent="0.25">
      <c r="A23" s="41"/>
      <c r="B23" s="162" t="s">
        <v>677</v>
      </c>
      <c r="C23" s="163"/>
      <c r="D23" s="163"/>
      <c r="E23" s="41"/>
      <c r="G23" s="43" t="s">
        <v>678</v>
      </c>
      <c r="H23" s="44"/>
      <c r="J23" s="43" t="s">
        <v>678</v>
      </c>
      <c r="K23" s="44"/>
    </row>
    <row r="24" spans="1:11" ht="16" customHeight="1" x14ac:dyDescent="0.25">
      <c r="A24" s="41"/>
      <c r="B24" s="46"/>
      <c r="C24" s="46"/>
      <c r="D24" s="46"/>
      <c r="E24" s="41"/>
    </row>
    <row r="25" spans="1:11" ht="16" customHeight="1" x14ac:dyDescent="0.25">
      <c r="A25" s="41"/>
      <c r="B25" s="49" t="s">
        <v>679</v>
      </c>
      <c r="C25" s="50">
        <f>C7*C8*C9*4</f>
        <v>4000</v>
      </c>
      <c r="D25" s="49" t="s">
        <v>680</v>
      </c>
      <c r="E25" s="41"/>
      <c r="G25" s="50">
        <f>G7*G8*G9*4</f>
        <v>2560</v>
      </c>
      <c r="H25" s="49" t="s">
        <v>680</v>
      </c>
      <c r="J25" s="50">
        <f>J7*J8*J9*4</f>
        <v>1280</v>
      </c>
      <c r="K25" s="49" t="s">
        <v>680</v>
      </c>
    </row>
    <row r="26" spans="1:11" ht="16" customHeight="1" x14ac:dyDescent="0.25">
      <c r="A26" s="41"/>
      <c r="B26" s="49" t="s">
        <v>681</v>
      </c>
      <c r="C26" s="50">
        <f>C12*C13*4</f>
        <v>4000</v>
      </c>
      <c r="D26" s="49" t="s">
        <v>680</v>
      </c>
      <c r="E26" s="41"/>
      <c r="G26" s="50">
        <f>G12*G13*4</f>
        <v>300</v>
      </c>
      <c r="H26" s="49" t="s">
        <v>680</v>
      </c>
      <c r="J26" s="50">
        <f>J12*J13*4</f>
        <v>500</v>
      </c>
      <c r="K26" s="49" t="s">
        <v>680</v>
      </c>
    </row>
    <row r="27" spans="1:11" ht="16" customHeight="1" x14ac:dyDescent="0.25">
      <c r="A27" s="41"/>
      <c r="B27" s="49" t="s">
        <v>682</v>
      </c>
      <c r="C27" s="50">
        <f>C16*C17</f>
        <v>15000</v>
      </c>
      <c r="D27" s="49" t="s">
        <v>680</v>
      </c>
      <c r="E27" s="41"/>
      <c r="G27" s="50">
        <f>G16*G17</f>
        <v>1000</v>
      </c>
      <c r="H27" s="49" t="s">
        <v>680</v>
      </c>
      <c r="J27" s="50">
        <f>J16*J17</f>
        <v>250</v>
      </c>
      <c r="K27" s="49" t="s">
        <v>680</v>
      </c>
    </row>
    <row r="28" spans="1:11" ht="16" customHeight="1" x14ac:dyDescent="0.25">
      <c r="A28" s="41"/>
      <c r="B28" s="45" t="s">
        <v>683</v>
      </c>
      <c r="C28" s="51">
        <f>SUM(C25:C27)</f>
        <v>23000</v>
      </c>
      <c r="D28" s="45" t="s">
        <v>684</v>
      </c>
      <c r="E28" s="41"/>
      <c r="G28" s="51">
        <f>SUM(G25:G27)</f>
        <v>3860</v>
      </c>
      <c r="H28" s="45" t="s">
        <v>684</v>
      </c>
      <c r="J28" s="51">
        <f>SUM(J25:J27)</f>
        <v>2030</v>
      </c>
      <c r="K28" s="45" t="s">
        <v>684</v>
      </c>
    </row>
    <row r="29" spans="1:11" ht="16" customHeight="1" x14ac:dyDescent="0.25">
      <c r="A29" s="41"/>
      <c r="B29" s="49" t="s">
        <v>685</v>
      </c>
      <c r="C29" s="52">
        <f>C21</f>
        <v>2350</v>
      </c>
      <c r="D29" s="49" t="s">
        <v>680</v>
      </c>
      <c r="E29" s="41"/>
      <c r="G29" s="52">
        <f>G21</f>
        <v>1600</v>
      </c>
      <c r="H29" s="49" t="s">
        <v>680</v>
      </c>
      <c r="J29" s="52">
        <f>J21</f>
        <v>800</v>
      </c>
      <c r="K29" s="49" t="s">
        <v>680</v>
      </c>
    </row>
    <row r="30" spans="1:11" ht="16" customHeight="1" x14ac:dyDescent="0.25">
      <c r="A30" s="41"/>
      <c r="B30" s="45" t="s">
        <v>686</v>
      </c>
      <c r="C30" s="53">
        <f>C28-C29</f>
        <v>20650</v>
      </c>
      <c r="D30" s="45" t="s">
        <v>680</v>
      </c>
      <c r="E30" s="41"/>
      <c r="G30" s="53">
        <f>G28-G29</f>
        <v>2260</v>
      </c>
      <c r="H30" s="45" t="s">
        <v>680</v>
      </c>
      <c r="J30" s="53">
        <f>J28-J29</f>
        <v>1230</v>
      </c>
      <c r="K30" s="45" t="s">
        <v>680</v>
      </c>
    </row>
    <row r="31" spans="1:11" ht="16" customHeight="1" x14ac:dyDescent="0.25">
      <c r="A31" s="41"/>
      <c r="B31" s="45" t="s">
        <v>687</v>
      </c>
      <c r="C31" s="99">
        <f>C30*12</f>
        <v>247800</v>
      </c>
      <c r="D31" s="45" t="s">
        <v>680</v>
      </c>
      <c r="E31" s="41"/>
      <c r="G31" s="99">
        <f>G30*12</f>
        <v>27120</v>
      </c>
      <c r="H31" s="45" t="s">
        <v>680</v>
      </c>
      <c r="J31" s="99">
        <f>J30*12</f>
        <v>14760</v>
      </c>
      <c r="K31" s="45" t="s">
        <v>680</v>
      </c>
    </row>
    <row r="32" spans="1:11" ht="16" customHeight="1" x14ac:dyDescent="0.25">
      <c r="B32" s="91" t="s">
        <v>688</v>
      </c>
      <c r="C32" s="92">
        <f>C20+C21*12</f>
        <v>48200</v>
      </c>
      <c r="D32" s="98" t="s">
        <v>689</v>
      </c>
      <c r="G32" s="92">
        <f>G20+G21*12</f>
        <v>22700</v>
      </c>
      <c r="H32" s="91" t="s">
        <v>680</v>
      </c>
      <c r="J32" s="92">
        <f>J20+J21*12</f>
        <v>12100</v>
      </c>
      <c r="K32" s="91" t="s">
        <v>680</v>
      </c>
    </row>
    <row r="33" spans="1:11" ht="16" customHeight="1" x14ac:dyDescent="0.25">
      <c r="A33" s="41"/>
      <c r="B33" s="45" t="s">
        <v>690</v>
      </c>
      <c r="C33" s="100">
        <f>IF(C30&lt;=0,"N/A",C20/C30)</f>
        <v>0.96852300242130751</v>
      </c>
      <c r="D33" s="45" t="s">
        <v>691</v>
      </c>
      <c r="E33" s="41"/>
      <c r="G33" s="100">
        <f>IF(G30&lt;=0,"N/A",G20/G30)</f>
        <v>1.5486725663716814</v>
      </c>
      <c r="H33" s="45" t="s">
        <v>691</v>
      </c>
      <c r="J33" s="100">
        <f>IF(J30&lt;=0,"N/A",J20/J30)</f>
        <v>2.0325203252032522</v>
      </c>
      <c r="K33" s="45" t="s">
        <v>691</v>
      </c>
    </row>
    <row r="34" spans="1:11" ht="16" customHeight="1" x14ac:dyDescent="0.25">
      <c r="A34" s="41"/>
      <c r="B34" s="91" t="s">
        <v>692</v>
      </c>
      <c r="C34" s="93">
        <f>IF(C32=0,"N/A",(C31-C20)/C32)</f>
        <v>4.7261410788381744</v>
      </c>
      <c r="D34" s="98" t="s">
        <v>693</v>
      </c>
      <c r="E34" s="41"/>
      <c r="G34" s="93">
        <f>IF(G32=0,"N/A",(G31-G20)/G32)</f>
        <v>1.0405286343612334</v>
      </c>
      <c r="H34" s="91" t="s">
        <v>694</v>
      </c>
      <c r="J34" s="93">
        <f>IF(J32=0,"N/A",(J31-J20)/J32)</f>
        <v>1.0132231404958678</v>
      </c>
      <c r="K34" s="91" t="s">
        <v>694</v>
      </c>
    </row>
    <row r="35" spans="1:11" ht="16" customHeight="1" x14ac:dyDescent="0.25">
      <c r="A35" s="41"/>
      <c r="B35" s="91" t="s">
        <v>695</v>
      </c>
      <c r="C35" s="101">
        <f>IF(C21=0,"N/A",C30*12/(C21*12))</f>
        <v>8.787234042553191</v>
      </c>
      <c r="E35" s="41"/>
      <c r="G35" s="102">
        <f>IF(G21=0,"N/A",G30*12/(G21*12))</f>
        <v>1.4125000000000001</v>
      </c>
      <c r="H35" s="91" t="s">
        <v>694</v>
      </c>
      <c r="J35" s="102">
        <f>IF(J21=0,"N/A",J30*12/(J21*12))</f>
        <v>1.5375000000000001</v>
      </c>
      <c r="K35" s="91" t="s">
        <v>694</v>
      </c>
    </row>
    <row r="36" spans="1:11" ht="16" customHeight="1" x14ac:dyDescent="0.25">
      <c r="A36" s="41"/>
      <c r="B36" s="91"/>
      <c r="C36" s="91"/>
      <c r="E36" s="41"/>
      <c r="G36" s="91"/>
      <c r="H36" s="91"/>
      <c r="J36" s="91"/>
      <c r="K36" s="91"/>
    </row>
    <row r="37" spans="1:11" ht="16" customHeight="1" x14ac:dyDescent="0.25">
      <c r="B37" s="162" t="s">
        <v>696</v>
      </c>
      <c r="C37" s="163"/>
      <c r="D37" s="163"/>
    </row>
    <row r="38" spans="1:11" ht="16" customHeight="1" x14ac:dyDescent="0.25">
      <c r="B38" s="91" t="s">
        <v>697</v>
      </c>
      <c r="C38" s="103">
        <f>IF(C20+C28=0,"N/A",(C28*12-C20)/12)</f>
        <v>21333.333333333332</v>
      </c>
      <c r="D38" s="98" t="s">
        <v>698</v>
      </c>
      <c r="G38" s="103">
        <f>IF(G20+G28=0,"N/A",(G28*12-G20)/12)</f>
        <v>3568.3333333333335</v>
      </c>
      <c r="H38" s="98" t="s">
        <v>699</v>
      </c>
      <c r="J38" s="103">
        <f>IF(J20+J28=0,"N/A",(J28*12-J20)/12)</f>
        <v>1821.6666666666667</v>
      </c>
      <c r="K38" s="98" t="s">
        <v>699</v>
      </c>
    </row>
    <row r="39" spans="1:11" ht="16" customHeight="1" x14ac:dyDescent="0.25">
      <c r="B39" s="91" t="s">
        <v>700</v>
      </c>
      <c r="C39" s="103">
        <f>IF(C38="N/A","N/A",C38-C21)</f>
        <v>18983.333333333332</v>
      </c>
      <c r="D39" s="98" t="s">
        <v>701</v>
      </c>
      <c r="G39" s="103">
        <f>IF(G38="N/A","N/A",G38-G21)</f>
        <v>1968.3333333333335</v>
      </c>
      <c r="H39" s="98" t="s">
        <v>699</v>
      </c>
      <c r="J39" s="103">
        <f>IF(J38="N/A","N/A",J38-J21)</f>
        <v>1021.6666666666667</v>
      </c>
      <c r="K39" s="98" t="s">
        <v>699</v>
      </c>
    </row>
    <row r="40" spans="1:11" ht="16" customHeight="1" x14ac:dyDescent="0.25">
      <c r="B40" s="91"/>
      <c r="C40" s="98"/>
      <c r="D40" s="98"/>
      <c r="G40" s="98"/>
      <c r="H40" s="98"/>
      <c r="J40" s="98"/>
      <c r="K40" s="98"/>
    </row>
    <row r="41" spans="1:11" ht="16" customHeight="1" x14ac:dyDescent="0.25">
      <c r="B41" s="104" t="s">
        <v>702</v>
      </c>
    </row>
    <row r="42" spans="1:11" ht="16" customHeight="1" x14ac:dyDescent="0.25">
      <c r="B42" s="91" t="s">
        <v>703</v>
      </c>
      <c r="C42" s="105">
        <v>0</v>
      </c>
      <c r="D42" s="98" t="s">
        <v>704</v>
      </c>
      <c r="G42" s="105">
        <v>0</v>
      </c>
      <c r="H42" s="98" t="s">
        <v>699</v>
      </c>
      <c r="J42" s="105">
        <v>0</v>
      </c>
      <c r="K42" s="98" t="s">
        <v>699</v>
      </c>
    </row>
    <row r="43" spans="1:11" ht="16" customHeight="1" x14ac:dyDescent="0.25">
      <c r="B43" s="91" t="s">
        <v>705</v>
      </c>
      <c r="C43" s="106" t="str">
        <f>IF(C42=0,"(enter staffing cost above)",C42-C21)</f>
        <v>(enter staffing cost above)</v>
      </c>
      <c r="D43" s="98" t="s">
        <v>706</v>
      </c>
      <c r="G43" s="106" t="str">
        <f>IF(G42=0,"(enter staffing cost above)",G42-G21)</f>
        <v>(enter staffing cost above)</v>
      </c>
      <c r="H43" s="98" t="s">
        <v>699</v>
      </c>
      <c r="J43" s="106" t="str">
        <f>IF(J42=0,"(enter staffing cost above)",J42-J21)</f>
        <v>(enter staffing cost above)</v>
      </c>
      <c r="K43" s="98" t="s">
        <v>699</v>
      </c>
    </row>
    <row r="44" spans="1:11" ht="89" customHeight="1" x14ac:dyDescent="0.25">
      <c r="B44" s="165" t="s">
        <v>707</v>
      </c>
      <c r="C44" s="163"/>
      <c r="D44" s="163"/>
      <c r="E44" s="41"/>
      <c r="J44" s="98"/>
    </row>
    <row r="46" spans="1:11" ht="89" customHeight="1" x14ac:dyDescent="0.25">
      <c r="A46" s="41"/>
      <c r="B46" s="164" t="s">
        <v>708</v>
      </c>
      <c r="C46" s="163"/>
      <c r="D46" s="163"/>
      <c r="E46" s="41"/>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x14ac:dyDescent="0.25">
      <c r="A1" s="41"/>
      <c r="B1" s="41"/>
      <c r="C1" s="41"/>
      <c r="D1" s="41"/>
      <c r="E1" s="41"/>
    </row>
    <row r="2" spans="1:8" ht="34" customHeight="1" x14ac:dyDescent="0.25">
      <c r="A2" s="41"/>
      <c r="B2" s="86" t="s">
        <v>648</v>
      </c>
      <c r="C2" s="86"/>
      <c r="D2" s="86"/>
      <c r="E2" s="41"/>
    </row>
    <row r="3" spans="1:8" ht="16" customHeight="1" x14ac:dyDescent="0.25">
      <c r="A3" s="41"/>
      <c r="B3" s="42" t="s">
        <v>491</v>
      </c>
      <c r="C3" s="42" t="s">
        <v>492</v>
      </c>
      <c r="D3" s="42" t="s">
        <v>649</v>
      </c>
      <c r="E3" s="41"/>
    </row>
    <row r="4" spans="1:8" ht="16" customHeight="1" x14ac:dyDescent="0.25">
      <c r="A4" s="41"/>
      <c r="B4" s="162" t="s">
        <v>651</v>
      </c>
      <c r="C4" s="163"/>
      <c r="D4" s="163"/>
      <c r="E4" s="41"/>
      <c r="G4" s="43" t="s">
        <v>709</v>
      </c>
      <c r="H4" s="44"/>
    </row>
    <row r="5" spans="1:8" ht="16" customHeight="1" x14ac:dyDescent="0.25">
      <c r="A5" s="41"/>
      <c r="B5" s="45" t="s">
        <v>654</v>
      </c>
      <c r="C5" s="46"/>
      <c r="D5" s="46"/>
      <c r="E5" s="41"/>
    </row>
    <row r="6" spans="1:8" ht="16" customHeight="1" x14ac:dyDescent="0.25">
      <c r="A6" s="41"/>
      <c r="B6" s="47" t="s">
        <v>655</v>
      </c>
      <c r="C6" s="48">
        <v>2</v>
      </c>
      <c r="D6" s="49" t="s">
        <v>656</v>
      </c>
      <c r="E6" s="41"/>
      <c r="G6" s="48">
        <v>4</v>
      </c>
      <c r="H6" s="49" t="s">
        <v>656</v>
      </c>
    </row>
    <row r="7" spans="1:8" ht="16" customHeight="1" x14ac:dyDescent="0.25">
      <c r="A7" s="41"/>
      <c r="B7" s="47" t="s">
        <v>657</v>
      </c>
      <c r="C7" s="48">
        <v>5</v>
      </c>
      <c r="D7" s="49" t="s">
        <v>658</v>
      </c>
      <c r="E7" s="41"/>
      <c r="G7" s="48">
        <v>2</v>
      </c>
      <c r="H7" s="49" t="s">
        <v>658</v>
      </c>
    </row>
    <row r="8" spans="1:8" ht="16" customHeight="1" x14ac:dyDescent="0.25">
      <c r="A8" s="41"/>
      <c r="B8" s="47" t="s">
        <v>659</v>
      </c>
      <c r="C8" s="48">
        <v>100</v>
      </c>
      <c r="D8" s="49" t="s">
        <v>660</v>
      </c>
      <c r="E8" s="41"/>
      <c r="G8" s="48">
        <v>80</v>
      </c>
      <c r="H8" s="49" t="s">
        <v>660</v>
      </c>
    </row>
    <row r="9" spans="1:8" ht="16" customHeight="1" x14ac:dyDescent="0.25">
      <c r="A9" s="41"/>
      <c r="B9" s="46"/>
      <c r="C9" s="46"/>
      <c r="D9" s="46"/>
      <c r="E9" s="41"/>
      <c r="G9" s="46"/>
      <c r="H9" s="46"/>
    </row>
    <row r="10" spans="1:8" ht="16" customHeight="1" x14ac:dyDescent="0.25">
      <c r="A10" s="41"/>
      <c r="B10" s="45" t="s">
        <v>661</v>
      </c>
      <c r="C10" s="46"/>
      <c r="D10" s="46"/>
      <c r="E10" s="41"/>
      <c r="G10" s="46"/>
      <c r="H10" s="46"/>
    </row>
    <row r="11" spans="1:8" ht="16" customHeight="1" x14ac:dyDescent="0.25">
      <c r="A11" s="41"/>
      <c r="B11" s="47" t="s">
        <v>662</v>
      </c>
      <c r="C11" s="48">
        <v>5</v>
      </c>
      <c r="D11" s="49" t="s">
        <v>663</v>
      </c>
      <c r="E11" s="41"/>
      <c r="G11" s="48">
        <v>1</v>
      </c>
      <c r="H11" s="49" t="s">
        <v>663</v>
      </c>
    </row>
    <row r="12" spans="1:8" ht="16" customHeight="1" x14ac:dyDescent="0.25">
      <c r="A12" s="41"/>
      <c r="B12" s="47" t="s">
        <v>664</v>
      </c>
      <c r="C12" s="48">
        <v>200</v>
      </c>
      <c r="D12" s="49" t="s">
        <v>665</v>
      </c>
      <c r="E12" s="41"/>
      <c r="G12" s="48">
        <v>75</v>
      </c>
      <c r="H12" s="49" t="s">
        <v>665</v>
      </c>
    </row>
    <row r="13" spans="1:8" ht="16" customHeight="1" x14ac:dyDescent="0.25">
      <c r="A13" s="41"/>
      <c r="B13" s="46"/>
      <c r="C13" s="46"/>
      <c r="D13" s="46"/>
      <c r="E13" s="41"/>
      <c r="G13" s="46"/>
      <c r="H13" s="46"/>
    </row>
    <row r="14" spans="1:8" ht="16" customHeight="1" x14ac:dyDescent="0.25">
      <c r="A14" s="41"/>
      <c r="B14" s="45" t="s">
        <v>666</v>
      </c>
      <c r="C14" s="46"/>
      <c r="D14" s="46"/>
      <c r="E14" s="41"/>
      <c r="G14" s="46"/>
      <c r="H14" s="46"/>
    </row>
    <row r="15" spans="1:8" ht="16" customHeight="1" x14ac:dyDescent="0.25">
      <c r="A15" s="41"/>
      <c r="B15" s="47" t="s">
        <v>667</v>
      </c>
      <c r="C15" s="48">
        <v>10</v>
      </c>
      <c r="D15" s="49" t="s">
        <v>668</v>
      </c>
      <c r="E15" s="41"/>
      <c r="G15" s="48">
        <v>1</v>
      </c>
      <c r="H15" s="49" t="s">
        <v>668</v>
      </c>
    </row>
    <row r="16" spans="1:8" ht="16" customHeight="1" x14ac:dyDescent="0.25">
      <c r="A16" s="41"/>
      <c r="B16" s="47" t="s">
        <v>669</v>
      </c>
      <c r="C16" s="48">
        <v>1500</v>
      </c>
      <c r="D16" s="49" t="s">
        <v>670</v>
      </c>
      <c r="E16" s="41"/>
      <c r="G16" s="48">
        <v>1000</v>
      </c>
      <c r="H16" s="49" t="s">
        <v>670</v>
      </c>
    </row>
    <row r="17" spans="1:8" ht="16" customHeight="1" x14ac:dyDescent="0.25">
      <c r="A17" s="41"/>
      <c r="B17" s="46"/>
      <c r="C17" s="46"/>
      <c r="D17" s="46"/>
      <c r="E17" s="41"/>
      <c r="G17" s="46"/>
      <c r="H17" s="46"/>
    </row>
    <row r="18" spans="1:8" ht="16" customHeight="1" x14ac:dyDescent="0.25">
      <c r="A18" s="41"/>
      <c r="B18" s="45" t="s">
        <v>671</v>
      </c>
      <c r="C18" s="46"/>
      <c r="D18" s="46"/>
      <c r="E18" s="41"/>
      <c r="G18" s="46"/>
      <c r="H18" s="46"/>
    </row>
    <row r="19" spans="1:8" ht="16" customHeight="1" x14ac:dyDescent="0.25">
      <c r="A19" s="41"/>
      <c r="B19" s="47" t="s">
        <v>672</v>
      </c>
      <c r="C19" s="48">
        <v>20000</v>
      </c>
      <c r="D19" s="49" t="s">
        <v>673</v>
      </c>
      <c r="E19" s="41"/>
      <c r="G19" s="48">
        <v>3500</v>
      </c>
      <c r="H19" s="49" t="s">
        <v>673</v>
      </c>
    </row>
    <row r="20" spans="1:8" ht="16" customHeight="1" x14ac:dyDescent="0.25">
      <c r="A20" s="41"/>
      <c r="B20" s="47" t="s">
        <v>674</v>
      </c>
      <c r="C20" s="48">
        <v>2350</v>
      </c>
      <c r="D20" s="49" t="s">
        <v>675</v>
      </c>
      <c r="E20" s="41"/>
      <c r="G20" s="48">
        <v>1600</v>
      </c>
      <c r="H20" s="49" t="s">
        <v>676</v>
      </c>
    </row>
    <row r="21" spans="1:8" ht="16" customHeight="1" x14ac:dyDescent="0.25">
      <c r="A21" s="41"/>
      <c r="B21" s="46"/>
      <c r="C21" s="46"/>
      <c r="D21" s="46"/>
      <c r="E21" s="41"/>
    </row>
    <row r="22" spans="1:8" ht="16" customHeight="1" x14ac:dyDescent="0.25">
      <c r="A22" s="41"/>
      <c r="B22" s="162" t="s">
        <v>677</v>
      </c>
      <c r="C22" s="163"/>
      <c r="D22" s="163"/>
      <c r="E22" s="41"/>
      <c r="G22" s="43" t="s">
        <v>678</v>
      </c>
      <c r="H22" s="44"/>
    </row>
    <row r="23" spans="1:8" ht="16" customHeight="1" x14ac:dyDescent="0.25">
      <c r="A23" s="41"/>
      <c r="B23" s="46"/>
      <c r="C23" s="46"/>
      <c r="D23" s="46"/>
      <c r="E23" s="41"/>
    </row>
    <row r="24" spans="1:8" ht="16" customHeight="1" x14ac:dyDescent="0.25">
      <c r="A24" s="41"/>
      <c r="B24" s="49" t="s">
        <v>679</v>
      </c>
      <c r="C24" s="50">
        <f>C6*C7*C8*4</f>
        <v>4000</v>
      </c>
      <c r="D24" s="49" t="s">
        <v>680</v>
      </c>
      <c r="E24" s="41"/>
      <c r="G24" s="50">
        <f>G6*G7*G8*4</f>
        <v>2560</v>
      </c>
      <c r="H24" s="49" t="s">
        <v>680</v>
      </c>
    </row>
    <row r="25" spans="1:8" ht="16" customHeight="1" x14ac:dyDescent="0.25">
      <c r="A25" s="41"/>
      <c r="B25" s="49" t="s">
        <v>681</v>
      </c>
      <c r="C25" s="50">
        <f>C11*C12*4</f>
        <v>4000</v>
      </c>
      <c r="D25" s="49" t="s">
        <v>680</v>
      </c>
      <c r="E25" s="41"/>
      <c r="G25" s="50">
        <f>G11*G12*4</f>
        <v>300</v>
      </c>
      <c r="H25" s="49" t="s">
        <v>680</v>
      </c>
    </row>
    <row r="26" spans="1:8" ht="16" customHeight="1" x14ac:dyDescent="0.25">
      <c r="A26" s="41"/>
      <c r="B26" s="49" t="s">
        <v>682</v>
      </c>
      <c r="C26" s="50">
        <f>C15*C16</f>
        <v>15000</v>
      </c>
      <c r="D26" s="49" t="s">
        <v>680</v>
      </c>
      <c r="E26" s="41"/>
      <c r="G26" s="50">
        <f>G15*G16</f>
        <v>1000</v>
      </c>
      <c r="H26" s="49" t="s">
        <v>680</v>
      </c>
    </row>
    <row r="27" spans="1:8" ht="16" customHeight="1" x14ac:dyDescent="0.25">
      <c r="A27" s="41"/>
      <c r="B27" s="45" t="s">
        <v>683</v>
      </c>
      <c r="C27" s="51">
        <f>SUM(C24:C26)</f>
        <v>23000</v>
      </c>
      <c r="D27" s="45" t="s">
        <v>684</v>
      </c>
      <c r="E27" s="41"/>
      <c r="G27" s="51">
        <f>SUM(G24:G26)</f>
        <v>3860</v>
      </c>
      <c r="H27" s="45" t="s">
        <v>684</v>
      </c>
    </row>
    <row r="28" spans="1:8" ht="16" customHeight="1" x14ac:dyDescent="0.25">
      <c r="A28" s="41"/>
      <c r="B28" s="49" t="s">
        <v>685</v>
      </c>
      <c r="C28" s="52">
        <f>C20</f>
        <v>2350</v>
      </c>
      <c r="D28" s="49" t="s">
        <v>680</v>
      </c>
      <c r="E28" s="41"/>
      <c r="G28" s="52">
        <f>G20</f>
        <v>1600</v>
      </c>
      <c r="H28" s="49" t="s">
        <v>680</v>
      </c>
    </row>
    <row r="29" spans="1:8" ht="16" customHeight="1" x14ac:dyDescent="0.25">
      <c r="A29" s="41"/>
      <c r="B29" s="45" t="s">
        <v>686</v>
      </c>
      <c r="C29" s="53">
        <f>C27-C28</f>
        <v>20650</v>
      </c>
      <c r="D29" s="45" t="s">
        <v>680</v>
      </c>
      <c r="E29" s="41"/>
      <c r="G29" s="53">
        <f>G27-G28</f>
        <v>2260</v>
      </c>
      <c r="H29" s="45" t="s">
        <v>680</v>
      </c>
    </row>
    <row r="30" spans="1:8" ht="16" customHeight="1" x14ac:dyDescent="0.25">
      <c r="A30" s="41"/>
      <c r="B30" s="45" t="s">
        <v>687</v>
      </c>
      <c r="C30" s="54">
        <f>C29*12</f>
        <v>247800</v>
      </c>
      <c r="D30" s="45" t="s">
        <v>680</v>
      </c>
      <c r="E30" s="41"/>
      <c r="G30" s="54">
        <f>G29*12</f>
        <v>27120</v>
      </c>
      <c r="H30" s="45" t="s">
        <v>680</v>
      </c>
    </row>
    <row r="31" spans="1:8" ht="16" customHeight="1" x14ac:dyDescent="0.25">
      <c r="B31" s="91" t="s">
        <v>688</v>
      </c>
      <c r="C31" s="92">
        <f>C19+C20*12</f>
        <v>48200</v>
      </c>
      <c r="D31" s="98" t="s">
        <v>689</v>
      </c>
      <c r="G31" s="92">
        <f>G19+G20*12</f>
        <v>22700</v>
      </c>
      <c r="H31" s="91" t="s">
        <v>680</v>
      </c>
    </row>
    <row r="32" spans="1:8" ht="16" customHeight="1" x14ac:dyDescent="0.25">
      <c r="A32" s="41"/>
      <c r="B32" s="45" t="s">
        <v>690</v>
      </c>
      <c r="C32" s="55">
        <f>IF(C29&lt;=0,"N/A",C19/C29)</f>
        <v>0.96852300242130751</v>
      </c>
      <c r="D32" s="45" t="s">
        <v>691</v>
      </c>
      <c r="E32" s="41"/>
      <c r="G32" s="55">
        <f>IF(G29&lt;=0,"N/A",G19/G29)</f>
        <v>1.5486725663716814</v>
      </c>
      <c r="H32" s="45" t="s">
        <v>691</v>
      </c>
    </row>
    <row r="33" spans="1:8" ht="16" customHeight="1" x14ac:dyDescent="0.25">
      <c r="A33" s="41"/>
      <c r="B33" s="91" t="s">
        <v>692</v>
      </c>
      <c r="C33" s="93">
        <f>IF(C31=0,"N/A",(C30-C19)/C31)</f>
        <v>4.7261410788381744</v>
      </c>
      <c r="D33" s="98" t="s">
        <v>693</v>
      </c>
      <c r="E33" s="41"/>
      <c r="G33" s="93">
        <f>IF(G31=0,"N/A",(G30-G19)/G31)</f>
        <v>1.0405286343612334</v>
      </c>
      <c r="H33" s="91" t="s">
        <v>694</v>
      </c>
    </row>
    <row r="34" spans="1:8" ht="16" customHeight="1" x14ac:dyDescent="0.25">
      <c r="A34" s="41"/>
      <c r="B34" s="91" t="s">
        <v>695</v>
      </c>
      <c r="C34" s="94">
        <f>IF(C20=0,"N/A",C29*12/(C20*12))</f>
        <v>8.787234042553191</v>
      </c>
      <c r="E34" s="41"/>
      <c r="G34" s="95">
        <f>IF(G20=0,"N/A",G29*12/(G20*12))</f>
        <v>1.4125000000000001</v>
      </c>
      <c r="H34" s="91" t="s">
        <v>694</v>
      </c>
    </row>
    <row r="35" spans="1:8" ht="89" customHeight="1" x14ac:dyDescent="0.25">
      <c r="A35" s="41"/>
      <c r="B35" s="166" t="s">
        <v>708</v>
      </c>
      <c r="C35" s="163"/>
      <c r="D35" s="163"/>
      <c r="E35" s="41"/>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ht="16" customHeight="1" x14ac:dyDescent="0.25">
      <c r="A1" s="41"/>
      <c r="B1" s="41"/>
      <c r="C1" s="41"/>
      <c r="D1" s="41"/>
      <c r="E1" s="41"/>
    </row>
    <row r="2" spans="1:8" ht="34" customHeight="1" x14ac:dyDescent="0.25">
      <c r="A2" s="41"/>
      <c r="B2" s="86" t="s">
        <v>648</v>
      </c>
      <c r="C2" s="86"/>
      <c r="D2" s="86"/>
      <c r="E2" s="41"/>
    </row>
    <row r="3" spans="1:8" ht="16" customHeight="1" x14ac:dyDescent="0.25">
      <c r="A3" s="41"/>
      <c r="B3" s="42" t="s">
        <v>491</v>
      </c>
      <c r="C3" s="42" t="s">
        <v>492</v>
      </c>
      <c r="D3" s="42" t="s">
        <v>649</v>
      </c>
      <c r="E3" s="41"/>
    </row>
    <row r="4" spans="1:8" ht="16" customHeight="1" x14ac:dyDescent="0.25">
      <c r="A4" s="41"/>
      <c r="B4" s="162" t="s">
        <v>651</v>
      </c>
      <c r="C4" s="163"/>
      <c r="D4" s="163"/>
      <c r="E4" s="41"/>
      <c r="G4" s="43" t="s">
        <v>709</v>
      </c>
      <c r="H4" s="44"/>
    </row>
    <row r="5" spans="1:8" ht="16" customHeight="1" x14ac:dyDescent="0.25">
      <c r="A5" s="41"/>
      <c r="B5" s="45" t="s">
        <v>654</v>
      </c>
      <c r="C5" s="46"/>
      <c r="D5" s="46"/>
      <c r="E5" s="41"/>
    </row>
    <row r="6" spans="1:8" ht="16" customHeight="1" x14ac:dyDescent="0.25">
      <c r="A6" s="41"/>
      <c r="B6" s="47" t="s">
        <v>655</v>
      </c>
      <c r="C6" s="48">
        <v>2</v>
      </c>
      <c r="D6" s="49" t="s">
        <v>656</v>
      </c>
      <c r="E6" s="41"/>
      <c r="G6" s="48">
        <v>4</v>
      </c>
      <c r="H6" s="49" t="s">
        <v>656</v>
      </c>
    </row>
    <row r="7" spans="1:8" ht="16" customHeight="1" x14ac:dyDescent="0.25">
      <c r="A7" s="41"/>
      <c r="B7" s="47" t="s">
        <v>657</v>
      </c>
      <c r="C7" s="48">
        <v>5</v>
      </c>
      <c r="D7" s="49" t="s">
        <v>658</v>
      </c>
      <c r="E7" s="41"/>
      <c r="G7" s="48">
        <v>2</v>
      </c>
      <c r="H7" s="49" t="s">
        <v>658</v>
      </c>
    </row>
    <row r="8" spans="1:8" ht="16" customHeight="1" x14ac:dyDescent="0.25">
      <c r="A8" s="41"/>
      <c r="B8" s="47" t="s">
        <v>659</v>
      </c>
      <c r="C8" s="48">
        <v>100</v>
      </c>
      <c r="D8" s="49" t="s">
        <v>660</v>
      </c>
      <c r="E8" s="41"/>
      <c r="G8" s="48">
        <v>80</v>
      </c>
      <c r="H8" s="49" t="s">
        <v>660</v>
      </c>
    </row>
    <row r="9" spans="1:8" ht="16" customHeight="1" x14ac:dyDescent="0.25">
      <c r="A9" s="41"/>
      <c r="B9" s="46"/>
      <c r="C9" s="46"/>
      <c r="D9" s="46"/>
      <c r="E9" s="41"/>
      <c r="G9" s="46"/>
      <c r="H9" s="46"/>
    </row>
    <row r="10" spans="1:8" ht="16" customHeight="1" x14ac:dyDescent="0.25">
      <c r="A10" s="41"/>
      <c r="B10" s="45" t="s">
        <v>661</v>
      </c>
      <c r="C10" s="46"/>
      <c r="D10" s="46"/>
      <c r="E10" s="41"/>
      <c r="G10" s="46"/>
      <c r="H10" s="46"/>
    </row>
    <row r="11" spans="1:8" ht="16" customHeight="1" x14ac:dyDescent="0.25">
      <c r="A11" s="41"/>
      <c r="B11" s="47" t="s">
        <v>662</v>
      </c>
      <c r="C11" s="48">
        <v>5</v>
      </c>
      <c r="D11" s="49" t="s">
        <v>663</v>
      </c>
      <c r="E11" s="41"/>
      <c r="G11" s="48">
        <v>1</v>
      </c>
      <c r="H11" s="49" t="s">
        <v>663</v>
      </c>
    </row>
    <row r="12" spans="1:8" ht="16" customHeight="1" x14ac:dyDescent="0.25">
      <c r="A12" s="41"/>
      <c r="B12" s="47" t="s">
        <v>664</v>
      </c>
      <c r="C12" s="48">
        <v>200</v>
      </c>
      <c r="D12" s="49" t="s">
        <v>665</v>
      </c>
      <c r="E12" s="41"/>
      <c r="G12" s="48">
        <v>75</v>
      </c>
      <c r="H12" s="49" t="s">
        <v>665</v>
      </c>
    </row>
    <row r="13" spans="1:8" ht="16" customHeight="1" x14ac:dyDescent="0.25">
      <c r="A13" s="41"/>
      <c r="B13" s="46"/>
      <c r="C13" s="46"/>
      <c r="D13" s="46"/>
      <c r="E13" s="41"/>
      <c r="G13" s="46"/>
      <c r="H13" s="46"/>
    </row>
    <row r="14" spans="1:8" ht="16" customHeight="1" x14ac:dyDescent="0.25">
      <c r="A14" s="41"/>
      <c r="B14" s="45" t="s">
        <v>666</v>
      </c>
      <c r="C14" s="46"/>
      <c r="D14" s="46"/>
      <c r="E14" s="41"/>
      <c r="G14" s="46"/>
      <c r="H14" s="46"/>
    </row>
    <row r="15" spans="1:8" ht="16" customHeight="1" x14ac:dyDescent="0.25">
      <c r="A15" s="41"/>
      <c r="B15" s="47" t="s">
        <v>667</v>
      </c>
      <c r="C15" s="48">
        <v>10</v>
      </c>
      <c r="D15" s="49" t="s">
        <v>668</v>
      </c>
      <c r="E15" s="41"/>
      <c r="G15" s="48">
        <v>1</v>
      </c>
      <c r="H15" s="49" t="s">
        <v>668</v>
      </c>
    </row>
    <row r="16" spans="1:8" ht="16" customHeight="1" x14ac:dyDescent="0.25">
      <c r="A16" s="41"/>
      <c r="B16" s="47" t="s">
        <v>669</v>
      </c>
      <c r="C16" s="48">
        <v>1500</v>
      </c>
      <c r="D16" s="49" t="s">
        <v>670</v>
      </c>
      <c r="E16" s="41"/>
      <c r="G16" s="48">
        <v>1000</v>
      </c>
      <c r="H16" s="49" t="s">
        <v>670</v>
      </c>
    </row>
    <row r="17" spans="1:8" ht="16" customHeight="1" x14ac:dyDescent="0.25">
      <c r="A17" s="41"/>
      <c r="B17" s="46"/>
      <c r="C17" s="46"/>
      <c r="D17" s="46"/>
      <c r="E17" s="41"/>
      <c r="G17" s="46"/>
      <c r="H17" s="46"/>
    </row>
    <row r="18" spans="1:8" ht="16" customHeight="1" x14ac:dyDescent="0.25">
      <c r="A18" s="41"/>
      <c r="B18" s="45" t="s">
        <v>671</v>
      </c>
      <c r="C18" s="46"/>
      <c r="D18" s="46"/>
      <c r="E18" s="41"/>
      <c r="G18" s="46"/>
      <c r="H18" s="46"/>
    </row>
    <row r="19" spans="1:8" ht="16" customHeight="1" x14ac:dyDescent="0.25">
      <c r="A19" s="41"/>
      <c r="B19" s="47" t="s">
        <v>672</v>
      </c>
      <c r="C19" s="48">
        <v>20000</v>
      </c>
      <c r="D19" s="49" t="s">
        <v>673</v>
      </c>
      <c r="E19" s="41"/>
      <c r="G19" s="48">
        <v>3500</v>
      </c>
      <c r="H19" s="49" t="s">
        <v>673</v>
      </c>
    </row>
    <row r="20" spans="1:8" ht="16" customHeight="1" x14ac:dyDescent="0.25">
      <c r="A20" s="41"/>
      <c r="B20" s="47" t="s">
        <v>674</v>
      </c>
      <c r="C20" s="48">
        <v>2350</v>
      </c>
      <c r="D20" s="49" t="s">
        <v>675</v>
      </c>
      <c r="E20" s="41"/>
      <c r="G20" s="48">
        <v>1600</v>
      </c>
      <c r="H20" s="49" t="s">
        <v>676</v>
      </c>
    </row>
    <row r="21" spans="1:8" ht="16" customHeight="1" x14ac:dyDescent="0.25">
      <c r="A21" s="41"/>
      <c r="B21" s="46"/>
      <c r="C21" s="46"/>
      <c r="D21" s="46"/>
      <c r="E21" s="41"/>
    </row>
    <row r="22" spans="1:8" ht="16" customHeight="1" x14ac:dyDescent="0.25">
      <c r="A22" s="41"/>
      <c r="B22" s="162" t="s">
        <v>677</v>
      </c>
      <c r="C22" s="163"/>
      <c r="D22" s="163"/>
      <c r="E22" s="41"/>
      <c r="G22" s="43" t="s">
        <v>678</v>
      </c>
      <c r="H22" s="44"/>
    </row>
    <row r="23" spans="1:8" ht="16" customHeight="1" x14ac:dyDescent="0.25">
      <c r="A23" s="41"/>
      <c r="B23" s="46"/>
      <c r="C23" s="46"/>
      <c r="D23" s="46"/>
      <c r="E23" s="41"/>
    </row>
    <row r="24" spans="1:8" ht="16" customHeight="1" x14ac:dyDescent="0.25">
      <c r="A24" s="41"/>
      <c r="B24" s="49" t="s">
        <v>679</v>
      </c>
      <c r="C24" s="50">
        <f>C6*C7*C8*4</f>
        <v>4000</v>
      </c>
      <c r="D24" s="49" t="s">
        <v>680</v>
      </c>
      <c r="E24" s="41"/>
      <c r="G24" s="50">
        <f>G6*G7*G8*4</f>
        <v>2560</v>
      </c>
      <c r="H24" s="49" t="s">
        <v>680</v>
      </c>
    </row>
    <row r="25" spans="1:8" ht="16" customHeight="1" x14ac:dyDescent="0.25">
      <c r="A25" s="41"/>
      <c r="B25" s="49" t="s">
        <v>681</v>
      </c>
      <c r="C25" s="50">
        <f>C11*C12*4</f>
        <v>4000</v>
      </c>
      <c r="D25" s="49" t="s">
        <v>680</v>
      </c>
      <c r="E25" s="41"/>
      <c r="G25" s="50">
        <f>G11*G12*4</f>
        <v>300</v>
      </c>
      <c r="H25" s="49" t="s">
        <v>680</v>
      </c>
    </row>
    <row r="26" spans="1:8" ht="16" customHeight="1" x14ac:dyDescent="0.25">
      <c r="A26" s="41"/>
      <c r="B26" s="49" t="s">
        <v>682</v>
      </c>
      <c r="C26" s="50">
        <f>C15*C16</f>
        <v>15000</v>
      </c>
      <c r="D26" s="49" t="s">
        <v>680</v>
      </c>
      <c r="E26" s="41"/>
      <c r="G26" s="50">
        <f>G15*G16</f>
        <v>1000</v>
      </c>
      <c r="H26" s="49" t="s">
        <v>680</v>
      </c>
    </row>
    <row r="27" spans="1:8" ht="16" customHeight="1" x14ac:dyDescent="0.25">
      <c r="A27" s="41"/>
      <c r="B27" s="45" t="s">
        <v>683</v>
      </c>
      <c r="C27" s="51">
        <f>SUM(C24:C26)</f>
        <v>23000</v>
      </c>
      <c r="D27" s="45" t="s">
        <v>684</v>
      </c>
      <c r="E27" s="41"/>
      <c r="G27" s="51">
        <f>SUM(G24:G26)</f>
        <v>3860</v>
      </c>
      <c r="H27" s="45" t="s">
        <v>684</v>
      </c>
    </row>
    <row r="28" spans="1:8" ht="16" customHeight="1" x14ac:dyDescent="0.25">
      <c r="A28" s="41"/>
      <c r="B28" s="49" t="s">
        <v>685</v>
      </c>
      <c r="C28" s="52">
        <f>C20</f>
        <v>2350</v>
      </c>
      <c r="D28" s="49" t="s">
        <v>680</v>
      </c>
      <c r="E28" s="41"/>
      <c r="G28" s="52">
        <f>G20</f>
        <v>1600</v>
      </c>
      <c r="H28" s="49" t="s">
        <v>680</v>
      </c>
    </row>
    <row r="29" spans="1:8" ht="16" customHeight="1" x14ac:dyDescent="0.25">
      <c r="A29" s="41"/>
      <c r="B29" s="45" t="s">
        <v>686</v>
      </c>
      <c r="C29" s="53">
        <f>C27-C28</f>
        <v>20650</v>
      </c>
      <c r="D29" s="45" t="s">
        <v>680</v>
      </c>
      <c r="E29" s="41"/>
      <c r="G29" s="53">
        <f>G27-G28</f>
        <v>2260</v>
      </c>
      <c r="H29" s="45" t="s">
        <v>680</v>
      </c>
    </row>
    <row r="30" spans="1:8" ht="16" customHeight="1" x14ac:dyDescent="0.25">
      <c r="A30" s="41"/>
      <c r="B30" s="45" t="s">
        <v>687</v>
      </c>
      <c r="C30" s="54">
        <f>C29*12</f>
        <v>247800</v>
      </c>
      <c r="D30" s="45" t="s">
        <v>680</v>
      </c>
      <c r="E30" s="41"/>
      <c r="G30" s="54">
        <f>G29*12</f>
        <v>27120</v>
      </c>
      <c r="H30" s="45" t="s">
        <v>680</v>
      </c>
    </row>
    <row r="31" spans="1:8" ht="16" customHeight="1" x14ac:dyDescent="0.25">
      <c r="A31" s="41"/>
      <c r="B31" s="45" t="s">
        <v>690</v>
      </c>
      <c r="C31" s="55">
        <f>IF(C29&lt;=0,"N/A",C19/C29)</f>
        <v>0.96852300242130751</v>
      </c>
      <c r="D31" s="45" t="s">
        <v>691</v>
      </c>
      <c r="E31" s="41"/>
      <c r="G31" s="55">
        <f>IF(G29&lt;=0,"N/A",G19/G29)</f>
        <v>1.5486725663716814</v>
      </c>
      <c r="H31" s="45" t="s">
        <v>691</v>
      </c>
    </row>
    <row r="32" spans="1:8" ht="16" customHeight="1" x14ac:dyDescent="0.25">
      <c r="A32" s="41"/>
      <c r="B32" s="45" t="s">
        <v>692</v>
      </c>
      <c r="C32" s="56">
        <f>IF(C19=0,"N/A",(C29*12-C19)/C19)</f>
        <v>11.39</v>
      </c>
      <c r="D32" s="45" t="s">
        <v>710</v>
      </c>
      <c r="E32" s="41"/>
      <c r="G32" s="56">
        <f>IF(G19=0,"N/A",(G29*12-G19)/G19)</f>
        <v>6.7485714285714282</v>
      </c>
      <c r="H32" s="45" t="s">
        <v>710</v>
      </c>
    </row>
    <row r="33" spans="1:5" ht="16" customHeight="1" x14ac:dyDescent="0.25">
      <c r="A33" s="41"/>
      <c r="B33" s="46"/>
      <c r="C33" s="46"/>
      <c r="D33" s="46"/>
      <c r="E33" s="41"/>
    </row>
    <row r="34" spans="1:5" ht="89" customHeight="1" x14ac:dyDescent="0.25">
      <c r="A34" s="41"/>
      <c r="B34" s="167" t="s">
        <v>711</v>
      </c>
      <c r="C34" s="163"/>
      <c r="D34" s="163"/>
      <c r="E34" s="41"/>
    </row>
  </sheetData>
  <mergeCells count="3">
    <mergeCell ref="B22:D22"/>
    <mergeCell ref="B4:D4"/>
    <mergeCell ref="B34:D3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
  <sheetViews>
    <sheetView tabSelected="1"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61" t="s">
        <v>712</v>
      </c>
      <c r="C2" s="61"/>
      <c r="D2" s="61"/>
      <c r="E2" s="61"/>
      <c r="F2" s="61"/>
      <c r="G2" s="61"/>
      <c r="H2" s="61"/>
      <c r="I2" s="61"/>
      <c r="J2" s="61"/>
      <c r="K2" s="61"/>
    </row>
    <row r="4" spans="2:11" ht="27.75" customHeight="1" x14ac:dyDescent="0.2">
      <c r="B4" s="5" t="s">
        <v>365</v>
      </c>
      <c r="C4" s="5" t="s">
        <v>307</v>
      </c>
      <c r="D4" s="5" t="s">
        <v>308</v>
      </c>
      <c r="E4" s="5" t="s">
        <v>309</v>
      </c>
      <c r="F4" s="5" t="s">
        <v>310</v>
      </c>
      <c r="G4" s="5" t="s">
        <v>311</v>
      </c>
      <c r="H4" s="5" t="s">
        <v>713</v>
      </c>
      <c r="I4" s="5" t="s">
        <v>314</v>
      </c>
      <c r="J4" s="5" t="s">
        <v>364</v>
      </c>
      <c r="K4" s="5" t="s">
        <v>714</v>
      </c>
    </row>
    <row r="5" spans="2:11" ht="30" customHeight="1" x14ac:dyDescent="0.2">
      <c r="B5" s="81" t="s">
        <v>715</v>
      </c>
      <c r="C5" t="s">
        <v>324</v>
      </c>
      <c r="D5">
        <v>1500</v>
      </c>
      <c r="E5">
        <v>3000</v>
      </c>
      <c r="F5">
        <v>250</v>
      </c>
      <c r="G5">
        <v>600</v>
      </c>
      <c r="H5" s="81" t="s">
        <v>716</v>
      </c>
      <c r="I5" t="s">
        <v>717</v>
      </c>
      <c r="J5" s="81" t="s">
        <v>718</v>
      </c>
      <c r="K5" t="s">
        <v>329</v>
      </c>
    </row>
    <row r="6" spans="2:11" ht="30" customHeight="1" x14ac:dyDescent="0.2">
      <c r="B6" s="81" t="s">
        <v>719</v>
      </c>
      <c r="C6" t="s">
        <v>317</v>
      </c>
      <c r="D6">
        <v>1200</v>
      </c>
      <c r="E6">
        <v>2500</v>
      </c>
      <c r="F6">
        <v>250</v>
      </c>
      <c r="G6">
        <v>500</v>
      </c>
      <c r="H6" s="81" t="s">
        <v>720</v>
      </c>
      <c r="I6" t="s">
        <v>717</v>
      </c>
      <c r="J6" s="81" t="s">
        <v>721</v>
      </c>
      <c r="K6" t="s">
        <v>322</v>
      </c>
    </row>
    <row r="7" spans="2:11" ht="30" customHeight="1" x14ac:dyDescent="0.2">
      <c r="B7" s="81" t="s">
        <v>722</v>
      </c>
      <c r="C7" t="s">
        <v>331</v>
      </c>
      <c r="D7">
        <v>3500</v>
      </c>
      <c r="E7">
        <v>7500</v>
      </c>
      <c r="F7">
        <v>750</v>
      </c>
      <c r="G7">
        <v>1500</v>
      </c>
      <c r="H7" s="81" t="s">
        <v>723</v>
      </c>
      <c r="I7" t="s">
        <v>724</v>
      </c>
      <c r="J7" s="81" t="s">
        <v>725</v>
      </c>
      <c r="K7" t="s">
        <v>336</v>
      </c>
    </row>
    <row r="8" spans="2:11" ht="30" customHeight="1" x14ac:dyDescent="0.2">
      <c r="B8" s="81" t="s">
        <v>726</v>
      </c>
      <c r="C8" t="s">
        <v>338</v>
      </c>
      <c r="D8">
        <v>7500</v>
      </c>
      <c r="E8">
        <v>15000</v>
      </c>
      <c r="F8">
        <v>1500</v>
      </c>
      <c r="G8">
        <v>3500</v>
      </c>
      <c r="H8" s="81" t="s">
        <v>727</v>
      </c>
      <c r="I8" t="s">
        <v>724</v>
      </c>
      <c r="J8" s="81" t="s">
        <v>728</v>
      </c>
      <c r="K8" t="s">
        <v>343</v>
      </c>
    </row>
    <row r="9" spans="2:11" ht="30" customHeight="1" x14ac:dyDescent="0.2">
      <c r="B9" s="81" t="s">
        <v>729</v>
      </c>
      <c r="C9" t="s">
        <v>345</v>
      </c>
      <c r="D9">
        <v>12000</v>
      </c>
      <c r="E9">
        <v>30000</v>
      </c>
      <c r="F9">
        <v>2500</v>
      </c>
      <c r="G9">
        <v>6000</v>
      </c>
      <c r="H9" s="81" t="s">
        <v>730</v>
      </c>
      <c r="I9" t="s">
        <v>731</v>
      </c>
      <c r="J9" s="81" t="s">
        <v>349</v>
      </c>
      <c r="K9" t="s">
        <v>350</v>
      </c>
    </row>
    <row r="10" spans="2:11" ht="30" customHeight="1" x14ac:dyDescent="0.2">
      <c r="B10" s="81" t="s">
        <v>732</v>
      </c>
      <c r="C10" t="s">
        <v>352</v>
      </c>
      <c r="D10">
        <v>4500</v>
      </c>
      <c r="E10">
        <v>15000</v>
      </c>
      <c r="F10">
        <v>0</v>
      </c>
      <c r="G10">
        <v>1000</v>
      </c>
      <c r="H10" s="81" t="s">
        <v>733</v>
      </c>
      <c r="I10" t="s">
        <v>734</v>
      </c>
      <c r="J10" s="81" t="s">
        <v>735</v>
      </c>
      <c r="K10" t="s">
        <v>357</v>
      </c>
    </row>
    <row r="11" spans="2:11" ht="30" customHeight="1" x14ac:dyDescent="0.2">
      <c r="B11" s="81" t="s">
        <v>736</v>
      </c>
      <c r="C11" t="s">
        <v>324</v>
      </c>
      <c r="D11">
        <v>1300</v>
      </c>
      <c r="E11">
        <v>2700</v>
      </c>
      <c r="F11">
        <v>200</v>
      </c>
      <c r="G11">
        <v>500</v>
      </c>
      <c r="H11" s="81" t="s">
        <v>737</v>
      </c>
      <c r="I11" t="s">
        <v>717</v>
      </c>
      <c r="J11" s="81" t="s">
        <v>738</v>
      </c>
      <c r="K11" t="s">
        <v>329</v>
      </c>
    </row>
    <row r="12" spans="2:11" ht="30" customHeight="1" x14ac:dyDescent="0.2">
      <c r="B12" s="81" t="s">
        <v>739</v>
      </c>
      <c r="C12" t="s">
        <v>324</v>
      </c>
      <c r="D12">
        <v>2000</v>
      </c>
      <c r="E12">
        <v>4500</v>
      </c>
      <c r="F12">
        <v>400</v>
      </c>
      <c r="G12">
        <v>900</v>
      </c>
      <c r="H12" s="81" t="s">
        <v>740</v>
      </c>
      <c r="I12" t="s">
        <v>717</v>
      </c>
      <c r="J12" s="81" t="s">
        <v>741</v>
      </c>
      <c r="K12" t="s">
        <v>329</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0</v>
      </c>
      <c r="C2" s="61"/>
      <c r="D2" s="61"/>
      <c r="E2" s="61"/>
      <c r="F2" s="61"/>
      <c r="G2" s="61"/>
      <c r="H2" s="61"/>
      <c r="I2" s="61"/>
      <c r="J2" s="61"/>
      <c r="K2" s="61"/>
      <c r="L2" s="61"/>
      <c r="M2" s="61"/>
      <c r="N2" s="61"/>
    </row>
    <row r="3" spans="2:14" ht="15" customHeight="1" x14ac:dyDescent="0.2">
      <c r="B3" s="84" t="s">
        <v>1</v>
      </c>
    </row>
    <row r="4" spans="2:14" ht="15" customHeight="1" x14ac:dyDescent="0.2"/>
    <row r="5" spans="2:14" ht="27.75" customHeight="1" x14ac:dyDescent="0.2">
      <c r="B5" s="5" t="s">
        <v>2</v>
      </c>
      <c r="C5" s="123" t="s">
        <v>3</v>
      </c>
      <c r="D5" s="5" t="s">
        <v>4</v>
      </c>
      <c r="E5" s="5" t="s">
        <v>5</v>
      </c>
      <c r="F5" s="5" t="s">
        <v>6</v>
      </c>
      <c r="G5" s="5" t="s">
        <v>7</v>
      </c>
      <c r="H5" s="5" t="s">
        <v>8</v>
      </c>
      <c r="I5" s="5" t="s">
        <v>9</v>
      </c>
      <c r="J5" s="5" t="s">
        <v>10</v>
      </c>
      <c r="K5" s="5" t="s">
        <v>11</v>
      </c>
      <c r="L5" s="5" t="s">
        <v>12</v>
      </c>
      <c r="M5" s="5" t="s">
        <v>13</v>
      </c>
      <c r="N5" s="5" t="s">
        <v>14</v>
      </c>
    </row>
    <row r="6" spans="2:14" ht="34" customHeight="1" x14ac:dyDescent="0.2">
      <c r="B6" t="s">
        <v>15</v>
      </c>
      <c r="C6" s="81" t="s">
        <v>16</v>
      </c>
      <c r="D6" s="81" t="s">
        <v>17</v>
      </c>
      <c r="E6" s="81" t="s">
        <v>18</v>
      </c>
      <c r="F6" s="81" t="s">
        <v>19</v>
      </c>
      <c r="G6" t="s">
        <v>20</v>
      </c>
      <c r="H6" s="81" t="s">
        <v>21</v>
      </c>
      <c r="I6" s="81" t="s">
        <v>22</v>
      </c>
      <c r="J6" t="s">
        <v>23</v>
      </c>
      <c r="K6" s="121">
        <v>1</v>
      </c>
      <c r="L6" s="121" t="s">
        <v>24</v>
      </c>
      <c r="M6" s="81" t="s">
        <v>25</v>
      </c>
      <c r="N6" s="119" t="s">
        <v>26</v>
      </c>
    </row>
    <row r="7" spans="2:14" ht="34" customHeight="1" x14ac:dyDescent="0.2">
      <c r="B7" t="s">
        <v>27</v>
      </c>
      <c r="C7" s="81" t="s">
        <v>28</v>
      </c>
      <c r="D7" s="81" t="s">
        <v>29</v>
      </c>
      <c r="E7" s="81" t="s">
        <v>30</v>
      </c>
      <c r="F7" s="81" t="s">
        <v>19</v>
      </c>
      <c r="G7" t="s">
        <v>20</v>
      </c>
      <c r="H7" s="81" t="s">
        <v>31</v>
      </c>
      <c r="I7" s="81" t="s">
        <v>32</v>
      </c>
      <c r="J7" t="s">
        <v>33</v>
      </c>
      <c r="K7" s="121">
        <v>1.1000000000000001</v>
      </c>
      <c r="L7" s="121" t="s">
        <v>34</v>
      </c>
      <c r="M7" s="81" t="s">
        <v>35</v>
      </c>
      <c r="N7" s="119" t="s">
        <v>36</v>
      </c>
    </row>
    <row r="8" spans="2:14" ht="34" customHeight="1" x14ac:dyDescent="0.2">
      <c r="B8" t="s">
        <v>37</v>
      </c>
      <c r="C8" s="81" t="s">
        <v>38</v>
      </c>
      <c r="D8" s="81" t="s">
        <v>39</v>
      </c>
      <c r="E8" s="81" t="s">
        <v>40</v>
      </c>
      <c r="F8" s="81" t="s">
        <v>41</v>
      </c>
      <c r="G8" t="s">
        <v>42</v>
      </c>
      <c r="H8" s="81" t="s">
        <v>43</v>
      </c>
      <c r="I8" s="81" t="s">
        <v>44</v>
      </c>
      <c r="J8" t="s">
        <v>45</v>
      </c>
      <c r="K8" s="121">
        <v>1.2</v>
      </c>
      <c r="L8" s="121" t="s">
        <v>46</v>
      </c>
      <c r="M8" s="81" t="s">
        <v>47</v>
      </c>
      <c r="N8" s="119" t="s">
        <v>36</v>
      </c>
    </row>
    <row r="9" spans="2:14" ht="34" customHeight="1" x14ac:dyDescent="0.2">
      <c r="B9" t="s">
        <v>48</v>
      </c>
      <c r="C9" s="81" t="s">
        <v>49</v>
      </c>
      <c r="D9" s="81" t="s">
        <v>50</v>
      </c>
      <c r="E9" s="81" t="s">
        <v>51</v>
      </c>
      <c r="F9" s="81" t="s">
        <v>52</v>
      </c>
      <c r="G9" t="s">
        <v>42</v>
      </c>
      <c r="H9" s="81" t="s">
        <v>53</v>
      </c>
      <c r="I9" s="81" t="s">
        <v>54</v>
      </c>
      <c r="J9" t="s">
        <v>55</v>
      </c>
      <c r="K9" s="121">
        <v>1.5</v>
      </c>
      <c r="L9" s="121" t="s">
        <v>56</v>
      </c>
      <c r="M9" s="81" t="s">
        <v>57</v>
      </c>
      <c r="N9" s="119" t="s">
        <v>36</v>
      </c>
    </row>
    <row r="10" spans="2:14" ht="34" customHeight="1" x14ac:dyDescent="0.2">
      <c r="B10" t="s">
        <v>58</v>
      </c>
      <c r="C10" s="81" t="s">
        <v>59</v>
      </c>
      <c r="D10" s="81" t="s">
        <v>60</v>
      </c>
      <c r="E10" s="81" t="s">
        <v>61</v>
      </c>
      <c r="F10" s="81" t="s">
        <v>62</v>
      </c>
      <c r="G10" t="s">
        <v>63</v>
      </c>
      <c r="H10" s="120" t="s">
        <v>64</v>
      </c>
      <c r="I10" s="81" t="s">
        <v>65</v>
      </c>
      <c r="J10" s="117" t="s">
        <v>66</v>
      </c>
      <c r="K10" s="121">
        <v>2</v>
      </c>
      <c r="L10" s="121" t="s">
        <v>67</v>
      </c>
      <c r="M10" s="81" t="s">
        <v>68</v>
      </c>
      <c r="N10" s="116" t="s">
        <v>69</v>
      </c>
    </row>
    <row r="12" spans="2:14" ht="16" customHeight="1" x14ac:dyDescent="0.2">
      <c r="B12" s="124"/>
      <c r="C12" s="138" t="s">
        <v>70</v>
      </c>
      <c r="D12" s="138" t="s">
        <v>71</v>
      </c>
      <c r="E12" s="138" t="s">
        <v>72</v>
      </c>
    </row>
    <row r="13" spans="2:14" x14ac:dyDescent="0.2">
      <c r="C13" s="87" t="s">
        <v>73</v>
      </c>
      <c r="E13" s="139" t="s">
        <v>74</v>
      </c>
    </row>
    <row r="14" spans="2:14" x14ac:dyDescent="0.2">
      <c r="C14" s="87" t="s">
        <v>75</v>
      </c>
      <c r="E14" s="139" t="s">
        <v>76</v>
      </c>
    </row>
    <row r="15" spans="2:14" x14ac:dyDescent="0.2">
      <c r="C15" s="87" t="s">
        <v>77</v>
      </c>
      <c r="E15" s="139" t="s">
        <v>78</v>
      </c>
    </row>
    <row r="16" spans="2:14" x14ac:dyDescent="0.2">
      <c r="C16" s="87" t="s">
        <v>79</v>
      </c>
      <c r="E16" s="139" t="s">
        <v>80</v>
      </c>
    </row>
    <row r="17" spans="3:5" x14ac:dyDescent="0.2">
      <c r="C17" s="87" t="s">
        <v>81</v>
      </c>
      <c r="E17" s="139" t="s">
        <v>82</v>
      </c>
    </row>
    <row r="18" spans="3:5" x14ac:dyDescent="0.2">
      <c r="C18" s="87" t="s">
        <v>83</v>
      </c>
      <c r="E18" s="139" t="s">
        <v>84</v>
      </c>
    </row>
    <row r="19" spans="3:5" x14ac:dyDescent="0.2">
      <c r="C19" s="87" t="s">
        <v>85</v>
      </c>
      <c r="E19" s="139" t="s">
        <v>86</v>
      </c>
    </row>
    <row r="20" spans="3:5" x14ac:dyDescent="0.2">
      <c r="C20" s="87" t="s">
        <v>87</v>
      </c>
      <c r="E20" s="139" t="s">
        <v>88</v>
      </c>
    </row>
    <row r="21" spans="3:5" x14ac:dyDescent="0.2">
      <c r="C21" s="87" t="s">
        <v>89</v>
      </c>
      <c r="E21" s="139" t="s">
        <v>90</v>
      </c>
    </row>
    <row r="22" spans="3:5" x14ac:dyDescent="0.2">
      <c r="C22" s="87" t="s">
        <v>91</v>
      </c>
      <c r="E22" s="139" t="s">
        <v>92</v>
      </c>
    </row>
    <row r="23" spans="3:5" x14ac:dyDescent="0.2">
      <c r="C23" s="87" t="s">
        <v>93</v>
      </c>
      <c r="E23" s="139" t="s">
        <v>94</v>
      </c>
    </row>
    <row r="24" spans="3:5" x14ac:dyDescent="0.2">
      <c r="D24" s="87" t="s">
        <v>95</v>
      </c>
      <c r="E24" s="139" t="s">
        <v>96</v>
      </c>
    </row>
    <row r="25" spans="3:5" x14ac:dyDescent="0.2">
      <c r="C25" s="87" t="s">
        <v>97</v>
      </c>
      <c r="E25" s="139" t="s">
        <v>98</v>
      </c>
    </row>
    <row r="26" spans="3:5" x14ac:dyDescent="0.2">
      <c r="C26" s="87" t="s">
        <v>99</v>
      </c>
      <c r="E26" s="139" t="s">
        <v>100</v>
      </c>
    </row>
    <row r="27" spans="3:5" x14ac:dyDescent="0.2">
      <c r="D27" s="87" t="s">
        <v>101</v>
      </c>
      <c r="E27" s="139" t="s">
        <v>102</v>
      </c>
    </row>
    <row r="28" spans="3:5" x14ac:dyDescent="0.2">
      <c r="D28" s="87" t="s">
        <v>103</v>
      </c>
      <c r="E28" s="139" t="s">
        <v>104</v>
      </c>
    </row>
    <row r="29" spans="3:5" x14ac:dyDescent="0.2">
      <c r="D29" s="87" t="s">
        <v>105</v>
      </c>
      <c r="E29" s="139" t="s">
        <v>106</v>
      </c>
    </row>
    <row r="30" spans="3:5" x14ac:dyDescent="0.2">
      <c r="D30" s="87" t="s">
        <v>107</v>
      </c>
      <c r="E30" s="139" t="s">
        <v>108</v>
      </c>
    </row>
    <row r="31" spans="3:5" x14ac:dyDescent="0.2">
      <c r="D31" s="87" t="s">
        <v>109</v>
      </c>
      <c r="E31" s="139" t="s">
        <v>110</v>
      </c>
    </row>
    <row r="32" spans="3:5" x14ac:dyDescent="0.2">
      <c r="D32" s="87" t="s">
        <v>111</v>
      </c>
      <c r="E32" s="139" t="s">
        <v>112</v>
      </c>
    </row>
    <row r="33" spans="4:5" x14ac:dyDescent="0.2">
      <c r="D33" s="87" t="s">
        <v>113</v>
      </c>
      <c r="E33" s="139" t="s">
        <v>114</v>
      </c>
    </row>
    <row r="34" spans="4:5" x14ac:dyDescent="0.2">
      <c r="D34" s="87" t="s">
        <v>115</v>
      </c>
      <c r="E34" s="139" t="s">
        <v>116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742</v>
      </c>
      <c r="C2" s="61"/>
      <c r="D2" s="61"/>
      <c r="E2" s="61"/>
      <c r="F2" s="61"/>
      <c r="G2" s="61"/>
      <c r="H2" s="61"/>
      <c r="I2" s="61"/>
    </row>
    <row r="3" spans="2:9" ht="34" customHeight="1" x14ac:dyDescent="0.2">
      <c r="B3" s="170" t="s">
        <v>743</v>
      </c>
      <c r="C3" s="155"/>
      <c r="D3" s="155"/>
      <c r="E3" s="155"/>
      <c r="F3" s="155"/>
      <c r="G3" s="155"/>
      <c r="H3" s="155"/>
      <c r="I3" s="155"/>
    </row>
    <row r="5" spans="2:9" ht="15" customHeight="1" x14ac:dyDescent="0.2">
      <c r="B5" s="122" t="s">
        <v>744</v>
      </c>
      <c r="C5" s="122"/>
      <c r="D5" s="122"/>
      <c r="E5" s="122"/>
      <c r="F5" s="122"/>
      <c r="G5" s="122"/>
      <c r="H5" s="122"/>
      <c r="I5" s="122"/>
    </row>
    <row r="6" spans="2:9" ht="28" customHeight="1" x14ac:dyDescent="0.2">
      <c r="B6" s="108" t="s">
        <v>745</v>
      </c>
      <c r="C6" s="109">
        <v>0.5</v>
      </c>
      <c r="D6" s="168" t="s">
        <v>746</v>
      </c>
      <c r="E6" s="155"/>
      <c r="F6" s="155"/>
      <c r="G6" s="155"/>
      <c r="H6" s="155"/>
      <c r="I6" s="155"/>
    </row>
    <row r="7" spans="2:9" x14ac:dyDescent="0.2">
      <c r="B7" s="108" t="s">
        <v>747</v>
      </c>
      <c r="C7" s="110">
        <v>1.3</v>
      </c>
      <c r="D7" s="168" t="s">
        <v>748</v>
      </c>
      <c r="E7" s="155"/>
      <c r="F7" s="155"/>
      <c r="G7" s="155"/>
      <c r="H7" s="155"/>
      <c r="I7" s="155"/>
    </row>
    <row r="8" spans="2:9" ht="28" customHeight="1" x14ac:dyDescent="0.2">
      <c r="B8" s="108" t="s">
        <v>749</v>
      </c>
      <c r="C8" s="111">
        <v>2.5</v>
      </c>
      <c r="D8" s="168" t="s">
        <v>750</v>
      </c>
      <c r="E8" s="155"/>
      <c r="F8" s="155"/>
      <c r="G8" s="155"/>
      <c r="H8" s="155"/>
      <c r="I8" s="155"/>
    </row>
    <row r="10" spans="2:9" ht="30" customHeight="1" x14ac:dyDescent="0.2">
      <c r="B10" s="5" t="s">
        <v>307</v>
      </c>
      <c r="C10" s="5" t="s">
        <v>751</v>
      </c>
      <c r="D10" s="5" t="s">
        <v>752</v>
      </c>
      <c r="E10" s="5" t="s">
        <v>753</v>
      </c>
      <c r="F10" s="5" t="s">
        <v>754</v>
      </c>
      <c r="G10" s="5" t="s">
        <v>755</v>
      </c>
      <c r="H10" s="118" t="s">
        <v>756</v>
      </c>
      <c r="I10" s="118" t="s">
        <v>757</v>
      </c>
    </row>
    <row r="11" spans="2:9" ht="15" customHeight="1" x14ac:dyDescent="0.2">
      <c r="B11" s="112" t="str">
        <f>'Package Reference'!B6</f>
        <v>Basic Intake</v>
      </c>
      <c r="C11" s="113">
        <f>ROUND(('Package Reference'!C6+'Package Reference'!D6)/2,0)</f>
        <v>1275</v>
      </c>
      <c r="D11" s="113">
        <f>ROUND(('Package Reference'!E6+'Package Reference'!F6)/2,0)</f>
        <v>300</v>
      </c>
      <c r="E11" s="113">
        <f>ROUND(C11*$C$7,0)</f>
        <v>1658</v>
      </c>
      <c r="F11" s="113">
        <f>ROUND(D11*12*$C$6,0)</f>
        <v>1800</v>
      </c>
      <c r="G11" s="113">
        <f>ROUND(F11/12,0)</f>
        <v>150</v>
      </c>
      <c r="H11" s="113">
        <f>ROUND(C11+$C$8*12*D11,0)</f>
        <v>10275</v>
      </c>
      <c r="I11" s="113">
        <v>0</v>
      </c>
    </row>
    <row r="12" spans="2:9" ht="15" customHeight="1" x14ac:dyDescent="0.2">
      <c r="B12" s="114" t="str">
        <f>'Package Reference'!B7</f>
        <v>Basic+ AI Triage</v>
      </c>
      <c r="C12" s="115">
        <f>ROUND(('Package Reference'!C7+'Package Reference'!D7)/2,0)</f>
        <v>2500</v>
      </c>
      <c r="D12" s="115">
        <f>ROUND(('Package Reference'!E7+'Package Reference'!F7)/2,0)</f>
        <v>525</v>
      </c>
      <c r="E12" s="115">
        <f>ROUND(C12*$C$7,0)</f>
        <v>3250</v>
      </c>
      <c r="F12" s="115">
        <f>ROUND(D12*12*$C$6,0)</f>
        <v>3150</v>
      </c>
      <c r="G12" s="115">
        <f>ROUND(F12/12,0)</f>
        <v>263</v>
      </c>
      <c r="H12" s="115">
        <f>ROUND(C12+$C$8*12*D12,0)</f>
        <v>18250</v>
      </c>
      <c r="I12" s="115">
        <v>0</v>
      </c>
    </row>
    <row r="13" spans="2:9" ht="15" customHeight="1" x14ac:dyDescent="0.2">
      <c r="B13" s="112" t="str">
        <f>'Package Reference'!B8</f>
        <v>Pro Multi-Channel</v>
      </c>
      <c r="C13" s="113">
        <f>ROUND(('Package Reference'!C8+'Package Reference'!D8)/2,0)</f>
        <v>5500</v>
      </c>
      <c r="D13" s="113">
        <f>ROUND(('Package Reference'!E8+'Package Reference'!F8)/2,0)</f>
        <v>1125</v>
      </c>
      <c r="E13" s="113">
        <f>ROUND(C13*$C$7,0)</f>
        <v>7150</v>
      </c>
      <c r="F13" s="113">
        <f>ROUND(D13*12*$C$6,0)</f>
        <v>6750</v>
      </c>
      <c r="G13" s="113">
        <f>ROUND(F13/12,0)</f>
        <v>563</v>
      </c>
      <c r="H13" s="113">
        <f>ROUND(C13+$C$8*12*D13,0)</f>
        <v>39250</v>
      </c>
      <c r="I13" s="113">
        <v>0</v>
      </c>
    </row>
    <row r="14" spans="2:9" ht="15" customHeight="1" x14ac:dyDescent="0.2">
      <c r="B14" s="114" t="str">
        <f>'Package Reference'!B9</f>
        <v>Managed Operations</v>
      </c>
      <c r="C14" s="115">
        <f>ROUND(('Package Reference'!C9+'Package Reference'!D9)/2,0)</f>
        <v>11250</v>
      </c>
      <c r="D14" s="115">
        <f>ROUND(('Package Reference'!E9+'Package Reference'!F9)/2,0)</f>
        <v>2500</v>
      </c>
      <c r="E14" s="115">
        <f>ROUND(C14*$C$7,0)</f>
        <v>14625</v>
      </c>
      <c r="F14" s="115">
        <f>ROUND(D14*12*$C$6,0)</f>
        <v>15000</v>
      </c>
      <c r="G14" s="115">
        <f>ROUND(F14/12,0)</f>
        <v>1250</v>
      </c>
      <c r="H14" s="115">
        <f>ROUND(C14+$C$8*12*D14,0)</f>
        <v>86250</v>
      </c>
      <c r="I14" s="115">
        <v>0</v>
      </c>
    </row>
    <row r="15" spans="2:9" ht="15" customHeight="1" x14ac:dyDescent="0.2">
      <c r="B15" s="112" t="str">
        <f>'Package Reference'!B10</f>
        <v>Agentic Automation</v>
      </c>
      <c r="C15" s="113">
        <f>ROUND(('Package Reference'!C10+'Package Reference'!D10)/2,0)</f>
        <v>21000</v>
      </c>
      <c r="D15" s="113">
        <f>ROUND(('Package Reference'!E10+'Package Reference'!F10)/2,0)</f>
        <v>4250</v>
      </c>
      <c r="E15" s="113">
        <f>ROUND(C15*$C$7,0)</f>
        <v>27300</v>
      </c>
      <c r="F15" s="113">
        <f>ROUND(D15*12*$C$6,0)</f>
        <v>25500</v>
      </c>
      <c r="G15" s="113">
        <f>ROUND(F15/12,0)</f>
        <v>2125</v>
      </c>
      <c r="H15" s="113">
        <f>ROUND(C15+$C$8*12*D15,0)</f>
        <v>148500</v>
      </c>
      <c r="I15" s="113">
        <v>0</v>
      </c>
    </row>
    <row r="17" spans="2:9" ht="15" customHeight="1" x14ac:dyDescent="0.2">
      <c r="B17" s="122" t="s">
        <v>758</v>
      </c>
      <c r="C17" s="122"/>
      <c r="D17" s="122"/>
      <c r="E17" s="122"/>
      <c r="F17" s="122"/>
      <c r="G17" s="122"/>
      <c r="H17" s="122"/>
      <c r="I17" s="122"/>
    </row>
    <row r="18" spans="2:9" ht="14" customHeight="1" x14ac:dyDescent="0.2">
      <c r="B18" s="168" t="s">
        <v>759</v>
      </c>
      <c r="C18" s="155"/>
      <c r="D18" s="155"/>
      <c r="E18" s="155"/>
      <c r="F18" s="155"/>
      <c r="G18" s="155"/>
      <c r="H18" s="155"/>
      <c r="I18" s="155"/>
    </row>
    <row r="19" spans="2:9" ht="24" customHeight="1" x14ac:dyDescent="0.2">
      <c r="B19" s="168" t="s">
        <v>760</v>
      </c>
      <c r="C19" s="155"/>
      <c r="D19" s="155"/>
      <c r="E19" s="155"/>
      <c r="F19" s="155"/>
      <c r="G19" s="155"/>
      <c r="H19" s="155"/>
      <c r="I19" s="155"/>
    </row>
    <row r="20" spans="2:9" ht="24" customHeight="1" x14ac:dyDescent="0.2">
      <c r="B20" s="168" t="s">
        <v>761</v>
      </c>
      <c r="C20" s="155"/>
      <c r="D20" s="155"/>
      <c r="E20" s="155"/>
      <c r="F20" s="155"/>
      <c r="G20" s="155"/>
      <c r="H20" s="155"/>
      <c r="I20" s="155"/>
    </row>
    <row r="21" spans="2:9" ht="14" customHeight="1" x14ac:dyDescent="0.2">
      <c r="B21" s="168" t="s">
        <v>762</v>
      </c>
      <c r="C21" s="155"/>
      <c r="D21" s="155"/>
      <c r="E21" s="155"/>
      <c r="F21" s="155"/>
      <c r="G21" s="155"/>
      <c r="H21" s="155"/>
      <c r="I21" s="155"/>
    </row>
    <row r="22" spans="2:9" ht="14" customHeight="1" x14ac:dyDescent="0.2">
      <c r="B22" s="168" t="s">
        <v>763</v>
      </c>
      <c r="C22" s="155"/>
      <c r="D22" s="155"/>
      <c r="E22" s="155"/>
      <c r="F22" s="155"/>
      <c r="G22" s="155"/>
      <c r="H22" s="155"/>
      <c r="I22" s="155"/>
    </row>
    <row r="24" spans="2:9" x14ac:dyDescent="0.2">
      <c r="B24" s="169" t="s">
        <v>764</v>
      </c>
      <c r="C24" s="155"/>
      <c r="D24" s="155"/>
      <c r="E24" s="155"/>
      <c r="F24" s="155"/>
      <c r="G24" s="155"/>
      <c r="H24" s="155"/>
      <c r="I24" s="155"/>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S68"/>
  <sheetViews>
    <sheetView zoomScale="150" zoomScaleNormal="150" workbookViewId="0"/>
  </sheetViews>
  <sheetFormatPr baseColWidth="10" defaultColWidth="8.83203125" defaultRowHeight="15" x14ac:dyDescent="0.2"/>
  <cols>
    <col min="1" max="1" width="2.83203125" style="172" customWidth="1"/>
    <col min="2" max="2" width="21.83203125" style="172" customWidth="1"/>
    <col min="3" max="5" width="8.83203125" style="172" customWidth="1"/>
    <col min="6" max="6" width="21.83203125" style="172" customWidth="1"/>
    <col min="7" max="9" width="8.83203125" style="172" customWidth="1"/>
    <col min="10" max="16384" width="8.83203125" style="172"/>
  </cols>
  <sheetData>
    <row r="2" spans="2:10" ht="34" customHeight="1" x14ac:dyDescent="0.2">
      <c r="B2" s="186" t="s">
        <v>765</v>
      </c>
      <c r="C2" s="186"/>
      <c r="D2" s="186"/>
      <c r="E2" s="186"/>
      <c r="F2" s="186"/>
      <c r="G2" s="186"/>
      <c r="H2" s="186"/>
      <c r="I2" s="186"/>
      <c r="J2" s="186"/>
    </row>
    <row r="3" spans="2:10" ht="54" customHeight="1" x14ac:dyDescent="0.2">
      <c r="B3" s="196" t="s">
        <v>766</v>
      </c>
      <c r="C3" s="196"/>
      <c r="D3" s="196"/>
      <c r="E3" s="196"/>
      <c r="F3" s="196"/>
      <c r="G3" s="196"/>
      <c r="H3" s="196"/>
      <c r="I3" s="196"/>
    </row>
    <row r="5" spans="2:10" ht="15" customHeight="1" x14ac:dyDescent="0.2">
      <c r="B5" s="173" t="s">
        <v>767</v>
      </c>
      <c r="C5" s="173"/>
      <c r="D5" s="173"/>
      <c r="E5" s="173"/>
      <c r="F5" s="173"/>
      <c r="G5" s="173"/>
      <c r="H5" s="173"/>
      <c r="I5" s="173"/>
      <c r="J5" s="173"/>
    </row>
    <row r="6" spans="2:10" ht="15" customHeight="1" x14ac:dyDescent="0.2">
      <c r="B6" s="177" t="s">
        <v>768</v>
      </c>
      <c r="C6" s="197" t="s">
        <v>769</v>
      </c>
      <c r="D6" s="197"/>
      <c r="E6" s="197"/>
      <c r="F6" s="197"/>
      <c r="G6" s="197"/>
      <c r="H6" s="197"/>
      <c r="I6" s="197"/>
    </row>
    <row r="7" spans="2:10" ht="32" x14ac:dyDescent="0.2">
      <c r="B7" s="187" t="s">
        <v>307</v>
      </c>
      <c r="C7" s="187" t="s">
        <v>771</v>
      </c>
      <c r="D7" s="187" t="s">
        <v>771</v>
      </c>
      <c r="E7" s="187" t="s">
        <v>771</v>
      </c>
      <c r="F7" s="187" t="s">
        <v>770</v>
      </c>
      <c r="G7" s="187" t="s">
        <v>1543</v>
      </c>
      <c r="H7" s="187" t="s">
        <v>1545</v>
      </c>
      <c r="I7" s="187" t="s">
        <v>772</v>
      </c>
      <c r="J7" s="187"/>
    </row>
    <row r="8" spans="2:10" ht="16" x14ac:dyDescent="0.2">
      <c r="B8" s="187"/>
      <c r="C8" s="187" t="s">
        <v>1514</v>
      </c>
      <c r="D8" s="187" t="s">
        <v>1515</v>
      </c>
      <c r="E8" s="187" t="s">
        <v>1516</v>
      </c>
      <c r="F8" s="187"/>
      <c r="G8" s="187" t="s">
        <v>1542</v>
      </c>
      <c r="H8" s="187" t="s">
        <v>1544</v>
      </c>
      <c r="I8" s="187"/>
      <c r="J8" s="187"/>
    </row>
    <row r="9" spans="2:10" ht="30" customHeight="1" x14ac:dyDescent="0.2">
      <c r="B9" s="179" t="s">
        <v>773</v>
      </c>
      <c r="C9" s="198">
        <v>0</v>
      </c>
      <c r="D9" s="198">
        <v>250</v>
      </c>
      <c r="E9" s="199" t="s">
        <v>1519</v>
      </c>
      <c r="F9" s="180" t="s">
        <v>774</v>
      </c>
      <c r="G9" s="181" t="s">
        <v>775</v>
      </c>
      <c r="H9" s="182" t="s">
        <v>776</v>
      </c>
      <c r="I9" s="201" t="s">
        <v>777</v>
      </c>
      <c r="J9" s="181"/>
    </row>
    <row r="10" spans="2:10" ht="30" customHeight="1" x14ac:dyDescent="0.2">
      <c r="B10" s="179" t="s">
        <v>778</v>
      </c>
      <c r="C10" s="198">
        <v>2500</v>
      </c>
      <c r="D10" s="198">
        <v>5000</v>
      </c>
      <c r="E10" s="199" t="s">
        <v>1518</v>
      </c>
      <c r="F10" s="180" t="s">
        <v>779</v>
      </c>
      <c r="G10" s="181" t="s">
        <v>780</v>
      </c>
      <c r="H10" s="182" t="s">
        <v>776</v>
      </c>
      <c r="I10" s="201" t="s">
        <v>781</v>
      </c>
      <c r="J10" s="181"/>
    </row>
    <row r="11" spans="2:10" ht="30" customHeight="1" x14ac:dyDescent="0.2">
      <c r="B11" s="179" t="s">
        <v>724</v>
      </c>
      <c r="C11" s="198">
        <v>500</v>
      </c>
      <c r="D11" s="198">
        <v>1000</v>
      </c>
      <c r="E11" s="199" t="s">
        <v>1517</v>
      </c>
      <c r="F11" s="180" t="s">
        <v>782</v>
      </c>
      <c r="G11" s="181" t="s">
        <v>783</v>
      </c>
      <c r="H11" s="182" t="s">
        <v>784</v>
      </c>
      <c r="I11" s="201" t="s">
        <v>785</v>
      </c>
      <c r="J11" s="181"/>
    </row>
    <row r="12" spans="2:10" ht="15" customHeight="1" x14ac:dyDescent="0.2">
      <c r="B12" s="183" t="s">
        <v>786</v>
      </c>
      <c r="C12" s="174"/>
      <c r="D12" s="174"/>
      <c r="E12" s="174"/>
      <c r="F12" s="174"/>
      <c r="G12" s="174"/>
    </row>
    <row r="14" spans="2:10" ht="15" customHeight="1" x14ac:dyDescent="0.2">
      <c r="B14" s="173" t="s">
        <v>787</v>
      </c>
      <c r="C14" s="173"/>
      <c r="D14" s="173"/>
      <c r="E14" s="173"/>
      <c r="F14" s="173"/>
      <c r="G14" s="173"/>
      <c r="H14" s="173"/>
      <c r="I14" s="173"/>
      <c r="J14" s="173"/>
    </row>
    <row r="15" spans="2:10" ht="15" customHeight="1" x14ac:dyDescent="0.2">
      <c r="B15" s="184" t="s">
        <v>788</v>
      </c>
      <c r="C15" s="174"/>
      <c r="D15" s="174"/>
      <c r="E15" s="174"/>
      <c r="F15" s="174"/>
      <c r="G15" s="174"/>
    </row>
    <row r="16" spans="2:10" ht="15" customHeight="1" x14ac:dyDescent="0.2">
      <c r="B16" s="188" t="s">
        <v>789</v>
      </c>
      <c r="C16" s="188"/>
      <c r="D16" s="188"/>
      <c r="E16" s="188"/>
      <c r="F16" s="188"/>
      <c r="G16" s="188"/>
      <c r="H16" s="188"/>
      <c r="I16" s="188"/>
      <c r="J16" s="188"/>
    </row>
    <row r="17" spans="2:10" ht="32" x14ac:dyDescent="0.2">
      <c r="B17" s="187" t="s">
        <v>790</v>
      </c>
      <c r="C17" s="187"/>
      <c r="D17" s="187"/>
      <c r="E17" s="187"/>
      <c r="F17" s="187" t="s">
        <v>791</v>
      </c>
      <c r="G17" s="187" t="s">
        <v>792</v>
      </c>
      <c r="H17" s="189" t="s">
        <v>793</v>
      </c>
      <c r="I17" s="189"/>
      <c r="J17" s="189"/>
    </row>
    <row r="18" spans="2:10" ht="30" customHeight="1" x14ac:dyDescent="0.2">
      <c r="B18" s="179" t="s">
        <v>794</v>
      </c>
      <c r="F18" s="180" t="s">
        <v>795</v>
      </c>
      <c r="G18" s="181" t="s">
        <v>796</v>
      </c>
      <c r="H18" s="185" t="s">
        <v>797</v>
      </c>
    </row>
    <row r="19" spans="2:10" ht="30" customHeight="1" x14ac:dyDescent="0.2">
      <c r="B19" s="179" t="s">
        <v>798</v>
      </c>
      <c r="F19" s="180" t="s">
        <v>799</v>
      </c>
      <c r="G19" s="181" t="s">
        <v>796</v>
      </c>
      <c r="H19" s="185" t="s">
        <v>800</v>
      </c>
    </row>
    <row r="20" spans="2:10" ht="30" customHeight="1" x14ac:dyDescent="0.2">
      <c r="B20" s="179" t="s">
        <v>801</v>
      </c>
      <c r="F20" s="180" t="s">
        <v>802</v>
      </c>
      <c r="G20" s="181" t="s">
        <v>803</v>
      </c>
      <c r="H20" s="185" t="s">
        <v>804</v>
      </c>
    </row>
    <row r="21" spans="2:10" ht="30" customHeight="1" x14ac:dyDescent="0.2">
      <c r="B21" s="179" t="s">
        <v>805</v>
      </c>
      <c r="F21" s="180" t="s">
        <v>806</v>
      </c>
      <c r="G21" s="181" t="s">
        <v>807</v>
      </c>
      <c r="H21" s="185" t="s">
        <v>808</v>
      </c>
    </row>
    <row r="22" spans="2:10" ht="15" customHeight="1" x14ac:dyDescent="0.2">
      <c r="B22" s="188" t="s">
        <v>809</v>
      </c>
      <c r="C22" s="188"/>
      <c r="D22" s="188"/>
      <c r="E22" s="188"/>
      <c r="F22" s="188"/>
      <c r="G22" s="188"/>
      <c r="H22" s="188"/>
      <c r="I22" s="188"/>
      <c r="J22" s="188"/>
    </row>
    <row r="23" spans="2:10" ht="16" x14ac:dyDescent="0.2">
      <c r="B23" s="179" t="s">
        <v>810</v>
      </c>
      <c r="C23" s="190" t="s">
        <v>811</v>
      </c>
      <c r="D23" s="175"/>
      <c r="E23" s="175"/>
      <c r="F23" s="175"/>
      <c r="G23" s="176"/>
    </row>
    <row r="24" spans="2:10" ht="15" customHeight="1" x14ac:dyDescent="0.2">
      <c r="B24" s="179" t="s">
        <v>812</v>
      </c>
      <c r="C24" s="190" t="s">
        <v>813</v>
      </c>
      <c r="D24" s="175"/>
      <c r="E24" s="175"/>
      <c r="F24" s="175"/>
      <c r="G24" s="176"/>
    </row>
    <row r="25" spans="2:10" ht="15" customHeight="1" x14ac:dyDescent="0.2">
      <c r="B25" s="179" t="s">
        <v>814</v>
      </c>
      <c r="C25" s="190" t="s">
        <v>815</v>
      </c>
      <c r="D25" s="175"/>
      <c r="E25" s="175"/>
      <c r="F25" s="175"/>
      <c r="G25" s="176"/>
    </row>
    <row r="26" spans="2:10" ht="15" customHeight="1" x14ac:dyDescent="0.2">
      <c r="B26" s="183" t="s">
        <v>816</v>
      </c>
      <c r="C26" s="174"/>
      <c r="D26" s="174"/>
      <c r="E26" s="174"/>
      <c r="F26" s="174"/>
      <c r="G26" s="174"/>
    </row>
    <row r="28" spans="2:10" ht="15" customHeight="1" x14ac:dyDescent="0.2">
      <c r="B28" s="191" t="s">
        <v>817</v>
      </c>
      <c r="C28" s="191"/>
      <c r="D28" s="191"/>
      <c r="E28" s="191"/>
      <c r="F28" s="191"/>
      <c r="G28" s="191"/>
      <c r="H28" s="191"/>
      <c r="I28" s="191"/>
      <c r="J28" s="191"/>
    </row>
    <row r="29" spans="2:10" ht="32" x14ac:dyDescent="0.2">
      <c r="B29" s="187" t="s">
        <v>818</v>
      </c>
      <c r="C29" s="187" t="s">
        <v>771</v>
      </c>
      <c r="D29" s="187" t="s">
        <v>771</v>
      </c>
      <c r="E29" s="187" t="s">
        <v>771</v>
      </c>
      <c r="F29" s="187" t="s">
        <v>770</v>
      </c>
      <c r="G29" s="187" t="s">
        <v>1547</v>
      </c>
      <c r="H29" s="187" t="s">
        <v>1545</v>
      </c>
      <c r="I29" s="187" t="s">
        <v>772</v>
      </c>
      <c r="J29" s="187"/>
    </row>
    <row r="30" spans="2:10" ht="16" x14ac:dyDescent="0.2">
      <c r="B30" s="187"/>
      <c r="C30" s="187" t="s">
        <v>1514</v>
      </c>
      <c r="D30" s="187" t="s">
        <v>1515</v>
      </c>
      <c r="E30" s="187" t="s">
        <v>1516</v>
      </c>
      <c r="F30" s="187"/>
      <c r="G30" s="187" t="s">
        <v>1546</v>
      </c>
      <c r="H30" s="187" t="s">
        <v>1544</v>
      </c>
      <c r="I30" s="187"/>
      <c r="J30" s="187"/>
    </row>
    <row r="31" spans="2:10" ht="30" customHeight="1" x14ac:dyDescent="0.2">
      <c r="B31" s="179" t="s">
        <v>819</v>
      </c>
      <c r="C31" s="198">
        <v>0</v>
      </c>
      <c r="D31" s="198">
        <v>0</v>
      </c>
      <c r="E31" s="199" t="s">
        <v>1519</v>
      </c>
      <c r="F31" s="180" t="s">
        <v>820</v>
      </c>
      <c r="G31" s="181" t="s">
        <v>821</v>
      </c>
      <c r="H31" s="182" t="s">
        <v>776</v>
      </c>
      <c r="I31" s="201" t="s">
        <v>822</v>
      </c>
    </row>
    <row r="32" spans="2:10" ht="30" customHeight="1" x14ac:dyDescent="0.2">
      <c r="B32" s="179" t="s">
        <v>778</v>
      </c>
      <c r="C32" s="198">
        <v>1500</v>
      </c>
      <c r="D32" s="198">
        <v>3500</v>
      </c>
      <c r="E32" s="199" t="s">
        <v>1518</v>
      </c>
      <c r="F32" s="180" t="s">
        <v>823</v>
      </c>
      <c r="G32" s="181" t="s">
        <v>824</v>
      </c>
      <c r="H32" s="182" t="s">
        <v>776</v>
      </c>
      <c r="I32" s="201" t="s">
        <v>825</v>
      </c>
    </row>
    <row r="33" spans="2:10" ht="30" customHeight="1" x14ac:dyDescent="0.2">
      <c r="B33" s="179" t="s">
        <v>826</v>
      </c>
      <c r="C33" s="198">
        <v>300</v>
      </c>
      <c r="D33" s="198">
        <v>800</v>
      </c>
      <c r="E33" s="199" t="s">
        <v>1520</v>
      </c>
      <c r="F33" s="180" t="s">
        <v>827</v>
      </c>
      <c r="G33" s="181" t="s">
        <v>828</v>
      </c>
      <c r="H33" s="182" t="s">
        <v>776</v>
      </c>
      <c r="I33" s="201" t="s">
        <v>829</v>
      </c>
    </row>
    <row r="34" spans="2:10" ht="30" customHeight="1" x14ac:dyDescent="0.2">
      <c r="B34" s="179" t="s">
        <v>724</v>
      </c>
      <c r="C34" s="198">
        <v>300</v>
      </c>
      <c r="D34" s="198">
        <v>700</v>
      </c>
      <c r="E34" s="199" t="s">
        <v>1517</v>
      </c>
      <c r="F34" s="180" t="s">
        <v>830</v>
      </c>
      <c r="G34" s="181" t="s">
        <v>831</v>
      </c>
      <c r="H34" s="182" t="s">
        <v>784</v>
      </c>
      <c r="I34" s="201" t="s">
        <v>832</v>
      </c>
    </row>
    <row r="36" spans="2:10" ht="15" customHeight="1" x14ac:dyDescent="0.2">
      <c r="B36" s="192" t="s">
        <v>833</v>
      </c>
      <c r="C36" s="192"/>
      <c r="D36" s="192"/>
      <c r="E36" s="192"/>
      <c r="F36" s="192"/>
      <c r="G36" s="192"/>
      <c r="H36" s="192"/>
      <c r="I36" s="192"/>
      <c r="J36" s="192"/>
    </row>
    <row r="37" spans="2:10" ht="15" customHeight="1" x14ac:dyDescent="0.2">
      <c r="B37" s="178" t="s">
        <v>834</v>
      </c>
      <c r="C37" s="178"/>
      <c r="D37" s="178"/>
      <c r="E37" s="178"/>
      <c r="F37" s="178"/>
      <c r="G37" s="178"/>
    </row>
    <row r="38" spans="2:10" ht="15" customHeight="1" x14ac:dyDescent="0.2">
      <c r="B38" s="178" t="s">
        <v>835</v>
      </c>
      <c r="C38" s="178"/>
      <c r="D38" s="178"/>
      <c r="E38" s="178"/>
      <c r="F38" s="178"/>
      <c r="G38" s="178"/>
    </row>
    <row r="39" spans="2:10" ht="15" customHeight="1" x14ac:dyDescent="0.2">
      <c r="B39" s="178" t="s">
        <v>836</v>
      </c>
      <c r="C39" s="178"/>
      <c r="D39" s="178"/>
      <c r="E39" s="178"/>
      <c r="F39" s="178"/>
      <c r="G39" s="178"/>
    </row>
    <row r="40" spans="2:10" ht="15" customHeight="1" x14ac:dyDescent="0.2">
      <c r="B40" s="178" t="s">
        <v>837</v>
      </c>
      <c r="C40" s="178"/>
      <c r="D40" s="178"/>
      <c r="E40" s="178"/>
      <c r="F40" s="178"/>
      <c r="G40" s="178"/>
    </row>
    <row r="41" spans="2:10" ht="15" customHeight="1" x14ac:dyDescent="0.2">
      <c r="B41" s="193" t="s">
        <v>838</v>
      </c>
      <c r="C41" s="193"/>
      <c r="D41" s="193"/>
      <c r="E41" s="193"/>
      <c r="F41" s="193"/>
      <c r="G41" s="193"/>
    </row>
    <row r="43" spans="2:10" ht="15" customHeight="1" x14ac:dyDescent="0.2">
      <c r="B43" s="192" t="s">
        <v>839</v>
      </c>
      <c r="C43" s="192"/>
      <c r="D43" s="192"/>
      <c r="E43" s="192"/>
      <c r="F43" s="192"/>
      <c r="G43" s="192"/>
      <c r="H43" s="192"/>
      <c r="I43" s="192"/>
      <c r="J43" s="192"/>
    </row>
    <row r="44" spans="2:10" ht="28" customHeight="1" x14ac:dyDescent="0.2">
      <c r="B44" s="194" t="s">
        <v>840</v>
      </c>
      <c r="C44" s="194"/>
      <c r="D44" s="194"/>
      <c r="E44" s="194"/>
      <c r="F44" s="194"/>
      <c r="G44" s="194"/>
    </row>
    <row r="45" spans="2:10" ht="15" customHeight="1" x14ac:dyDescent="0.2">
      <c r="B45" s="173" t="s">
        <v>841</v>
      </c>
      <c r="C45" s="173"/>
      <c r="D45" s="173"/>
      <c r="E45" s="173"/>
      <c r="F45" s="173"/>
      <c r="G45" s="173"/>
      <c r="H45" s="173"/>
      <c r="I45" s="173"/>
      <c r="J45" s="173"/>
    </row>
    <row r="46" spans="2:10" ht="16" x14ac:dyDescent="0.2">
      <c r="B46" s="187" t="s">
        <v>818</v>
      </c>
      <c r="C46" s="187" t="s">
        <v>1522</v>
      </c>
      <c r="D46" s="187" t="s">
        <v>1522</v>
      </c>
      <c r="E46" s="187" t="s">
        <v>1522</v>
      </c>
      <c r="F46" s="187" t="s">
        <v>842</v>
      </c>
      <c r="G46" s="187" t="s">
        <v>1524</v>
      </c>
      <c r="H46" s="187" t="s">
        <v>1524</v>
      </c>
      <c r="I46" s="187" t="s">
        <v>1524</v>
      </c>
      <c r="J46" s="189" t="s">
        <v>843</v>
      </c>
    </row>
    <row r="47" spans="2:10" ht="16" x14ac:dyDescent="0.2">
      <c r="B47" s="187"/>
      <c r="C47" s="187" t="s">
        <v>1514</v>
      </c>
      <c r="D47" s="187" t="s">
        <v>1515</v>
      </c>
      <c r="E47" s="187" t="s">
        <v>1516</v>
      </c>
      <c r="F47" s="187" t="s">
        <v>1523</v>
      </c>
      <c r="G47" s="187" t="s">
        <v>1514</v>
      </c>
      <c r="H47" s="187" t="s">
        <v>1515</v>
      </c>
      <c r="I47" s="187" t="s">
        <v>1516</v>
      </c>
      <c r="J47" s="189"/>
    </row>
    <row r="48" spans="2:10" ht="30" customHeight="1" x14ac:dyDescent="0.2">
      <c r="B48" s="179" t="s">
        <v>844</v>
      </c>
      <c r="C48" s="198">
        <v>0</v>
      </c>
      <c r="D48" s="198">
        <v>250</v>
      </c>
      <c r="E48" s="199" t="s">
        <v>1519</v>
      </c>
      <c r="F48" s="180" t="s">
        <v>1529</v>
      </c>
      <c r="G48" s="198">
        <v>50</v>
      </c>
      <c r="H48" s="198">
        <v>1000</v>
      </c>
      <c r="I48" s="200" t="s">
        <v>1517</v>
      </c>
      <c r="J48" s="201" t="s">
        <v>845</v>
      </c>
    </row>
    <row r="49" spans="2:19" ht="30" customHeight="1" x14ac:dyDescent="0.2">
      <c r="B49" s="179" t="s">
        <v>846</v>
      </c>
      <c r="C49" s="198">
        <v>2500</v>
      </c>
      <c r="D49" s="198">
        <v>5000</v>
      </c>
      <c r="E49" s="199" t="s">
        <v>1519</v>
      </c>
      <c r="F49" s="180" t="s">
        <v>1531</v>
      </c>
      <c r="G49" s="198">
        <v>1500</v>
      </c>
      <c r="H49" s="198">
        <v>5000</v>
      </c>
      <c r="I49" s="200" t="s">
        <v>1530</v>
      </c>
      <c r="J49" s="201" t="s">
        <v>847</v>
      </c>
    </row>
    <row r="50" spans="2:19" ht="30" customHeight="1" x14ac:dyDescent="0.2">
      <c r="B50" s="179" t="s">
        <v>848</v>
      </c>
      <c r="C50" s="198">
        <v>500</v>
      </c>
      <c r="D50" s="198">
        <v>1000</v>
      </c>
      <c r="E50" s="199" t="s">
        <v>1519</v>
      </c>
      <c r="F50" s="180" t="s">
        <v>1533</v>
      </c>
      <c r="G50" s="198">
        <v>3000</v>
      </c>
      <c r="H50" s="198">
        <v>6000</v>
      </c>
      <c r="I50" s="200" t="s">
        <v>1532</v>
      </c>
      <c r="J50" s="201" t="s">
        <v>849</v>
      </c>
    </row>
    <row r="51" spans="2:19" ht="30" customHeight="1" x14ac:dyDescent="0.2">
      <c r="B51" s="179" t="s">
        <v>850</v>
      </c>
      <c r="C51" s="198" t="s">
        <v>1519</v>
      </c>
      <c r="D51" s="198" t="s">
        <v>1519</v>
      </c>
      <c r="E51" s="199" t="s">
        <v>1521</v>
      </c>
      <c r="F51" s="180" t="s">
        <v>1534</v>
      </c>
      <c r="G51" s="198">
        <v>10000</v>
      </c>
      <c r="H51" s="198">
        <v>30000</v>
      </c>
      <c r="I51" s="172" t="s">
        <v>1517</v>
      </c>
      <c r="J51" s="201" t="s">
        <v>851</v>
      </c>
    </row>
    <row r="52" spans="2:19" ht="15" customHeight="1" x14ac:dyDescent="0.2">
      <c r="B52" s="195" t="s">
        <v>852</v>
      </c>
      <c r="C52" s="195"/>
      <c r="D52" s="195"/>
      <c r="E52" s="195"/>
      <c r="F52" s="195"/>
      <c r="G52" s="195"/>
      <c r="H52" s="195"/>
      <c r="I52" s="195"/>
    </row>
    <row r="53" spans="2:19" x14ac:dyDescent="0.2">
      <c r="L53" s="172" t="s">
        <v>1539</v>
      </c>
      <c r="M53" s="172" t="s">
        <v>1537</v>
      </c>
      <c r="N53" s="172" t="s">
        <v>1538</v>
      </c>
      <c r="P53" s="172" t="s">
        <v>1539</v>
      </c>
      <c r="Q53" s="172" t="s">
        <v>1537</v>
      </c>
      <c r="R53" s="172" t="s">
        <v>1538</v>
      </c>
    </row>
    <row r="54" spans="2:19" ht="15" customHeight="1" x14ac:dyDescent="0.2">
      <c r="B54" s="173" t="s">
        <v>293</v>
      </c>
      <c r="C54" s="173"/>
      <c r="D54" s="173"/>
      <c r="E54" s="173"/>
      <c r="F54" s="173"/>
      <c r="G54" s="173"/>
      <c r="H54" s="173"/>
      <c r="I54" s="173"/>
      <c r="J54" s="173"/>
      <c r="M54" s="172" t="s">
        <v>680</v>
      </c>
      <c r="N54" s="172" t="s">
        <v>680</v>
      </c>
      <c r="Q54" s="172" t="s">
        <v>680</v>
      </c>
      <c r="R54" s="172" t="s">
        <v>680</v>
      </c>
    </row>
    <row r="55" spans="2:19" ht="16" x14ac:dyDescent="0.2">
      <c r="B55" s="187" t="s">
        <v>818</v>
      </c>
      <c r="C55" s="187" t="s">
        <v>1522</v>
      </c>
      <c r="D55" s="187" t="s">
        <v>1522</v>
      </c>
      <c r="E55" s="187" t="s">
        <v>1522</v>
      </c>
      <c r="F55" s="187" t="s">
        <v>842</v>
      </c>
      <c r="G55" s="187" t="s">
        <v>1524</v>
      </c>
      <c r="H55" s="187" t="s">
        <v>1524</v>
      </c>
      <c r="I55" s="187" t="s">
        <v>1524</v>
      </c>
      <c r="J55" s="189" t="s">
        <v>843</v>
      </c>
      <c r="L55" s="172" t="s">
        <v>1540</v>
      </c>
      <c r="M55" s="202">
        <v>0.85</v>
      </c>
      <c r="N55" s="202">
        <v>0.94</v>
      </c>
      <c r="O55" s="172" t="s">
        <v>1536</v>
      </c>
      <c r="P55" s="172" t="s">
        <v>1540</v>
      </c>
      <c r="Q55" s="202">
        <v>0.85</v>
      </c>
      <c r="R55" s="202">
        <v>0.94</v>
      </c>
      <c r="S55" s="172" t="s">
        <v>1536</v>
      </c>
    </row>
    <row r="56" spans="2:19" ht="16" x14ac:dyDescent="0.2">
      <c r="B56" s="187"/>
      <c r="C56" s="187" t="s">
        <v>1514</v>
      </c>
      <c r="D56" s="187" t="s">
        <v>1515</v>
      </c>
      <c r="E56" s="187" t="s">
        <v>1516</v>
      </c>
      <c r="F56" s="187" t="s">
        <v>1523</v>
      </c>
      <c r="G56" s="187" t="s">
        <v>1514</v>
      </c>
      <c r="H56" s="187" t="s">
        <v>1515</v>
      </c>
      <c r="I56" s="187" t="s">
        <v>1516</v>
      </c>
      <c r="J56" s="189"/>
      <c r="L56" s="172" t="s">
        <v>1514</v>
      </c>
      <c r="M56" s="172" t="s">
        <v>1537</v>
      </c>
      <c r="N56" s="172" t="s">
        <v>680</v>
      </c>
      <c r="O56" s="172" t="s">
        <v>1514</v>
      </c>
      <c r="P56" s="172" t="s">
        <v>1515</v>
      </c>
      <c r="Q56" s="172" t="s">
        <v>1537</v>
      </c>
      <c r="R56" s="172" t="s">
        <v>680</v>
      </c>
      <c r="S56" s="172" t="s">
        <v>1515</v>
      </c>
    </row>
    <row r="57" spans="2:19" ht="30" customHeight="1" x14ac:dyDescent="0.2">
      <c r="B57" s="179" t="s">
        <v>819</v>
      </c>
      <c r="C57" s="198">
        <v>0</v>
      </c>
      <c r="D57" s="198">
        <v>0</v>
      </c>
      <c r="E57" s="199" t="s">
        <v>1519</v>
      </c>
      <c r="F57" s="180" t="s">
        <v>1526</v>
      </c>
      <c r="G57" s="198">
        <v>1000</v>
      </c>
      <c r="H57" s="198">
        <v>1000</v>
      </c>
      <c r="I57" s="172" t="s">
        <v>1525</v>
      </c>
      <c r="J57" s="201" t="s">
        <v>853</v>
      </c>
      <c r="K57" s="181"/>
      <c r="L57" s="181"/>
    </row>
    <row r="58" spans="2:19" ht="30" customHeight="1" x14ac:dyDescent="0.2">
      <c r="B58" s="179" t="s">
        <v>854</v>
      </c>
      <c r="C58" s="198">
        <v>1500</v>
      </c>
      <c r="D58" s="198">
        <v>3500</v>
      </c>
      <c r="E58" s="199" t="s">
        <v>1519</v>
      </c>
      <c r="F58" s="180" t="s">
        <v>855</v>
      </c>
      <c r="G58" s="198">
        <v>4000</v>
      </c>
      <c r="H58" s="198">
        <v>10000</v>
      </c>
      <c r="I58" s="200" t="s">
        <v>1527</v>
      </c>
      <c r="J58" s="201" t="s">
        <v>856</v>
      </c>
      <c r="K58" s="181"/>
      <c r="L58" s="181"/>
    </row>
    <row r="59" spans="2:19" ht="30" customHeight="1" x14ac:dyDescent="0.2">
      <c r="B59" s="179" t="s">
        <v>857</v>
      </c>
      <c r="C59" s="198">
        <v>300</v>
      </c>
      <c r="D59" s="198">
        <v>800</v>
      </c>
      <c r="E59" s="199" t="s">
        <v>1520</v>
      </c>
      <c r="F59" s="180" t="s">
        <v>858</v>
      </c>
      <c r="G59" s="199" t="s">
        <v>1519</v>
      </c>
      <c r="H59" s="199" t="s">
        <v>1519</v>
      </c>
      <c r="I59" s="199" t="s">
        <v>1519</v>
      </c>
      <c r="J59" s="201" t="s">
        <v>859</v>
      </c>
      <c r="K59" s="181"/>
      <c r="L59" s="181"/>
    </row>
    <row r="60" spans="2:19" ht="30" customHeight="1" x14ac:dyDescent="0.2">
      <c r="B60" s="179" t="s">
        <v>848</v>
      </c>
      <c r="C60" s="198">
        <v>300</v>
      </c>
      <c r="D60" s="198">
        <v>700</v>
      </c>
      <c r="E60" s="199" t="s">
        <v>1517</v>
      </c>
      <c r="F60" s="180" t="s">
        <v>1541</v>
      </c>
      <c r="G60" s="198">
        <f>M60</f>
        <v>3318</v>
      </c>
      <c r="H60" s="198">
        <f>Q60</f>
        <v>8847</v>
      </c>
      <c r="I60" s="200" t="s">
        <v>1528</v>
      </c>
      <c r="J60" s="201" t="s">
        <v>860</v>
      </c>
      <c r="K60" s="181"/>
      <c r="L60" s="198">
        <f>ROUND(M60/12,0)</f>
        <v>277</v>
      </c>
      <c r="M60" s="198">
        <f>ROUND(N60/M55,0)</f>
        <v>3318</v>
      </c>
      <c r="N60" s="198">
        <f>O60*N55</f>
        <v>2820</v>
      </c>
      <c r="O60" s="203">
        <v>3000</v>
      </c>
      <c r="P60" s="198">
        <f>ROUND(Q60/12,0)</f>
        <v>737</v>
      </c>
      <c r="Q60" s="198">
        <f>ROUND(R60/Q55,0)</f>
        <v>8847</v>
      </c>
      <c r="R60" s="198">
        <f>S60*R55</f>
        <v>7520</v>
      </c>
      <c r="S60" s="203">
        <v>8000</v>
      </c>
    </row>
    <row r="61" spans="2:19" ht="30" customHeight="1" x14ac:dyDescent="0.2">
      <c r="B61" s="179" t="s">
        <v>861</v>
      </c>
      <c r="C61" s="198" t="s">
        <v>1519</v>
      </c>
      <c r="D61" s="198" t="s">
        <v>1519</v>
      </c>
      <c r="E61" s="199" t="s">
        <v>1521</v>
      </c>
      <c r="F61" s="180" t="s">
        <v>1535</v>
      </c>
      <c r="G61" s="198">
        <v>5000</v>
      </c>
      <c r="H61" s="198">
        <v>30000</v>
      </c>
      <c r="J61" s="201" t="s">
        <v>862</v>
      </c>
      <c r="K61" s="181"/>
      <c r="L61" s="181"/>
    </row>
    <row r="62" spans="2:19" ht="15" customHeight="1" x14ac:dyDescent="0.2">
      <c r="B62" s="195" t="s">
        <v>863</v>
      </c>
      <c r="C62" s="195"/>
      <c r="D62" s="195"/>
      <c r="E62" s="195"/>
      <c r="F62" s="195"/>
      <c r="J62" s="195"/>
      <c r="K62" s="195"/>
      <c r="L62" s="195"/>
    </row>
    <row r="64" spans="2:19" ht="15" customHeight="1" x14ac:dyDescent="0.2">
      <c r="B64" s="188" t="s">
        <v>864</v>
      </c>
      <c r="C64" s="188"/>
      <c r="D64" s="188"/>
      <c r="E64" s="188"/>
      <c r="F64" s="188"/>
      <c r="G64" s="188"/>
      <c r="H64" s="188"/>
      <c r="I64" s="188"/>
      <c r="J64" s="188"/>
    </row>
    <row r="65" spans="2:9" ht="15" customHeight="1" x14ac:dyDescent="0.2">
      <c r="B65" s="178" t="s">
        <v>865</v>
      </c>
      <c r="C65" s="178"/>
      <c r="D65" s="178"/>
      <c r="E65" s="178"/>
      <c r="F65" s="178"/>
      <c r="G65" s="178"/>
      <c r="H65" s="178"/>
      <c r="I65" s="178"/>
    </row>
    <row r="66" spans="2:9" ht="15" customHeight="1" x14ac:dyDescent="0.2">
      <c r="B66" s="178" t="s">
        <v>866</v>
      </c>
      <c r="C66" s="178"/>
      <c r="D66" s="178"/>
      <c r="E66" s="178"/>
      <c r="F66" s="178"/>
      <c r="G66" s="178"/>
      <c r="H66" s="178"/>
      <c r="I66" s="178"/>
    </row>
    <row r="67" spans="2:9" ht="15" customHeight="1" x14ac:dyDescent="0.2">
      <c r="B67" s="178" t="s">
        <v>867</v>
      </c>
      <c r="C67" s="178"/>
      <c r="D67" s="178"/>
      <c r="E67" s="178"/>
      <c r="F67" s="178"/>
      <c r="G67" s="178"/>
      <c r="H67" s="178"/>
      <c r="I67" s="178"/>
    </row>
    <row r="68" spans="2:9" ht="15" customHeight="1" x14ac:dyDescent="0.2">
      <c r="B68" s="178" t="s">
        <v>868</v>
      </c>
      <c r="C68" s="178"/>
      <c r="D68" s="178"/>
      <c r="E68" s="178"/>
      <c r="F68" s="178"/>
      <c r="G68" s="178"/>
      <c r="H68" s="178"/>
      <c r="I68" s="178"/>
    </row>
  </sheetData>
  <mergeCells count="1">
    <mergeCell ref="B3:I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0"/>
  <sheetViews>
    <sheetView zoomScale="150" zoomScaleNormal="150" workbookViewId="0">
      <selection activeCell="B2" sqref="B2"/>
    </sheetView>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869</v>
      </c>
      <c r="C2" s="61"/>
      <c r="D2" s="61"/>
      <c r="E2" s="61"/>
      <c r="F2" s="61"/>
      <c r="G2" s="61"/>
    </row>
    <row r="4" spans="2:7" ht="15" customHeight="1" x14ac:dyDescent="0.2">
      <c r="B4" s="57" t="s">
        <v>870</v>
      </c>
      <c r="C4" t="s">
        <v>871</v>
      </c>
    </row>
    <row r="5" spans="2:7" ht="15" customHeight="1" x14ac:dyDescent="0.2">
      <c r="B5" s="57" t="s">
        <v>872</v>
      </c>
      <c r="C5" t="s">
        <v>873</v>
      </c>
    </row>
    <row r="6" spans="2:7" ht="15" customHeight="1" x14ac:dyDescent="0.2">
      <c r="B6" s="57" t="s">
        <v>874</v>
      </c>
      <c r="C6" t="s">
        <v>875</v>
      </c>
    </row>
    <row r="7" spans="2:7" ht="15" customHeight="1" x14ac:dyDescent="0.2">
      <c r="B7" s="57" t="s">
        <v>876</v>
      </c>
      <c r="C7" t="s">
        <v>877</v>
      </c>
    </row>
    <row r="8" spans="2:7" ht="15" customHeight="1" x14ac:dyDescent="0.2">
      <c r="B8" s="57" t="s">
        <v>878</v>
      </c>
      <c r="C8" t="s">
        <v>879</v>
      </c>
    </row>
    <row r="9" spans="2:7" ht="15" customHeight="1" x14ac:dyDescent="0.2">
      <c r="B9" s="57" t="s">
        <v>880</v>
      </c>
      <c r="C9" t="s">
        <v>881</v>
      </c>
    </row>
    <row r="10" spans="2:7" ht="15" customHeight="1" x14ac:dyDescent="0.2">
      <c r="B10" s="57" t="s">
        <v>882</v>
      </c>
      <c r="C10" t="s">
        <v>883</v>
      </c>
    </row>
    <row r="11" spans="2:7" ht="15" customHeight="1" x14ac:dyDescent="0.2">
      <c r="B11" s="57" t="s">
        <v>314</v>
      </c>
      <c r="C11" t="s">
        <v>884</v>
      </c>
    </row>
    <row r="12" spans="2:7" ht="15" customHeight="1" x14ac:dyDescent="0.2">
      <c r="B12" s="57" t="s">
        <v>885</v>
      </c>
      <c r="C12" t="s">
        <v>886</v>
      </c>
    </row>
    <row r="13" spans="2:7" ht="15" customHeight="1" x14ac:dyDescent="0.2">
      <c r="B13" s="57" t="s">
        <v>887</v>
      </c>
      <c r="C13" t="s">
        <v>888</v>
      </c>
    </row>
    <row r="14" spans="2:7" ht="15" customHeight="1" x14ac:dyDescent="0.2">
      <c r="B14" s="57" t="s">
        <v>889</v>
      </c>
      <c r="C14" t="s">
        <v>890</v>
      </c>
    </row>
    <row r="15" spans="2:7" ht="15" customHeight="1" x14ac:dyDescent="0.2">
      <c r="B15" s="57" t="s">
        <v>364</v>
      </c>
      <c r="C15" t="s">
        <v>891</v>
      </c>
    </row>
    <row r="16" spans="2:7" ht="15" customHeight="1" x14ac:dyDescent="0.2">
      <c r="B16" s="57"/>
    </row>
    <row r="17" spans="2:3" ht="15" customHeight="1" x14ac:dyDescent="0.2">
      <c r="B17" s="57" t="s">
        <v>892</v>
      </c>
      <c r="C17" t="s">
        <v>893</v>
      </c>
    </row>
    <row r="18" spans="2:3" ht="15" customHeight="1" x14ac:dyDescent="0.2">
      <c r="B18" s="57" t="s">
        <v>894</v>
      </c>
      <c r="C18" t="s">
        <v>135</v>
      </c>
    </row>
    <row r="19" spans="2:3" ht="15" customHeight="1" x14ac:dyDescent="0.2">
      <c r="B19" s="57" t="s">
        <v>445</v>
      </c>
      <c r="C19" t="s">
        <v>895</v>
      </c>
    </row>
    <row r="20" spans="2:3" ht="15" customHeight="1" x14ac:dyDescent="0.2">
      <c r="B20" s="57" t="s">
        <v>896</v>
      </c>
      <c r="C20" t="s">
        <v>897</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F13"/>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140"/>
    </row>
    <row r="2" spans="2:6" ht="34" customHeight="1" x14ac:dyDescent="0.2">
      <c r="B2" s="61" t="s">
        <v>898</v>
      </c>
      <c r="C2" s="61"/>
      <c r="D2" s="61"/>
      <c r="E2" s="61"/>
      <c r="F2" s="61"/>
    </row>
    <row r="3" spans="2:6" ht="15" customHeight="1" x14ac:dyDescent="0.2">
      <c r="B3" s="131" t="s">
        <v>899</v>
      </c>
    </row>
    <row r="4" spans="2:6" ht="15" customHeight="1" x14ac:dyDescent="0.2">
      <c r="B4" s="171"/>
    </row>
    <row r="5" spans="2:6" ht="54.75" customHeight="1" x14ac:dyDescent="0.2">
      <c r="B5" s="62" t="s">
        <v>144</v>
      </c>
      <c r="C5" s="62" t="s">
        <v>900</v>
      </c>
      <c r="D5" s="62" t="s">
        <v>901</v>
      </c>
      <c r="E5" s="62" t="s">
        <v>5</v>
      </c>
      <c r="F5" s="62" t="s">
        <v>902</v>
      </c>
    </row>
    <row r="6" spans="2:6" ht="54.75" customHeight="1" x14ac:dyDescent="0.2">
      <c r="B6" s="8" t="s">
        <v>903</v>
      </c>
      <c r="C6" s="8" t="s">
        <v>904</v>
      </c>
      <c r="D6" s="8" t="s">
        <v>905</v>
      </c>
      <c r="E6" s="8" t="s">
        <v>906</v>
      </c>
      <c r="F6" s="8" t="s">
        <v>907</v>
      </c>
    </row>
    <row r="7" spans="2:6" ht="54.75" customHeight="1" x14ac:dyDescent="0.2">
      <c r="B7" s="8" t="s">
        <v>908</v>
      </c>
      <c r="C7" s="8" t="s">
        <v>909</v>
      </c>
      <c r="D7" s="8" t="s">
        <v>910</v>
      </c>
      <c r="E7" s="8" t="s">
        <v>911</v>
      </c>
      <c r="F7" s="8" t="s">
        <v>912</v>
      </c>
    </row>
    <row r="8" spans="2:6" ht="54.75" customHeight="1" x14ac:dyDescent="0.2">
      <c r="B8" s="8" t="s">
        <v>913</v>
      </c>
      <c r="C8" s="8" t="s">
        <v>914</v>
      </c>
      <c r="D8" s="8" t="s">
        <v>915</v>
      </c>
      <c r="E8" s="8" t="s">
        <v>916</v>
      </c>
      <c r="F8" s="8" t="s">
        <v>917</v>
      </c>
    </row>
    <row r="9" spans="2:6" ht="54.75" customHeight="1" x14ac:dyDescent="0.2">
      <c r="B9" s="8" t="s">
        <v>918</v>
      </c>
      <c r="C9" s="8" t="s">
        <v>919</v>
      </c>
      <c r="D9" s="8" t="s">
        <v>920</v>
      </c>
      <c r="E9" s="8" t="s">
        <v>921</v>
      </c>
      <c r="F9" s="8" t="s">
        <v>922</v>
      </c>
    </row>
    <row r="10" spans="2:6" ht="54.75" customHeight="1" x14ac:dyDescent="0.2">
      <c r="B10" s="8" t="s">
        <v>923</v>
      </c>
      <c r="C10" s="8" t="s">
        <v>924</v>
      </c>
      <c r="D10" s="8" t="s">
        <v>925</v>
      </c>
      <c r="E10" s="8" t="s">
        <v>926</v>
      </c>
      <c r="F10" s="8" t="s">
        <v>927</v>
      </c>
    </row>
    <row r="11" spans="2:6" ht="54.75" customHeight="1" x14ac:dyDescent="0.2">
      <c r="B11" s="8" t="s">
        <v>928</v>
      </c>
      <c r="C11" s="8" t="s">
        <v>929</v>
      </c>
      <c r="D11" s="8" t="s">
        <v>930</v>
      </c>
      <c r="E11" s="8" t="s">
        <v>931</v>
      </c>
      <c r="F11" s="8" t="s">
        <v>932</v>
      </c>
    </row>
    <row r="12" spans="2:6" ht="54.75" customHeight="1" x14ac:dyDescent="0.2">
      <c r="B12" s="8" t="s">
        <v>933</v>
      </c>
      <c r="C12" s="8" t="s">
        <v>934</v>
      </c>
      <c r="D12" s="8" t="s">
        <v>935</v>
      </c>
      <c r="E12" s="8" t="s">
        <v>936</v>
      </c>
      <c r="F12" s="8" t="s">
        <v>937</v>
      </c>
    </row>
    <row r="13" spans="2:6" ht="48" customHeight="1" x14ac:dyDescent="0.2">
      <c r="B13" s="63" t="s">
        <v>938</v>
      </c>
      <c r="C13" s="63" t="s">
        <v>939</v>
      </c>
      <c r="D13" s="63" t="s">
        <v>940</v>
      </c>
      <c r="E13" s="63" t="s">
        <v>941</v>
      </c>
      <c r="F13" s="63" t="s">
        <v>942</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943</v>
      </c>
      <c r="C2" s="61"/>
      <c r="D2" s="61"/>
      <c r="E2" s="61"/>
      <c r="F2" s="61"/>
      <c r="G2" s="61"/>
    </row>
    <row r="3" spans="2:7" ht="21" customHeight="1" x14ac:dyDescent="0.2">
      <c r="B3" s="75" t="s">
        <v>944</v>
      </c>
      <c r="C3" s="83" t="s">
        <v>945</v>
      </c>
      <c r="D3" s="76"/>
      <c r="E3" s="76"/>
      <c r="F3" s="76"/>
      <c r="G3" s="76"/>
    </row>
    <row r="4" spans="2:7" ht="21" customHeight="1" x14ac:dyDescent="0.2">
      <c r="B4" s="75" t="s">
        <v>946</v>
      </c>
      <c r="C4" s="83" t="s">
        <v>947</v>
      </c>
      <c r="D4" s="76"/>
      <c r="E4" s="76"/>
      <c r="F4" s="76"/>
      <c r="G4" s="76"/>
    </row>
    <row r="5" spans="2:7" ht="21" customHeight="1" x14ac:dyDescent="0.2">
      <c r="B5" s="76"/>
      <c r="C5" s="76"/>
      <c r="D5" s="76"/>
      <c r="E5" s="76"/>
      <c r="F5" s="76"/>
      <c r="G5" s="76"/>
    </row>
    <row r="6" spans="2:7" ht="33.75" customHeight="1" x14ac:dyDescent="0.2">
      <c r="B6" s="77" t="s">
        <v>948</v>
      </c>
      <c r="C6" s="77" t="s">
        <v>612</v>
      </c>
      <c r="D6" s="77" t="s">
        <v>613</v>
      </c>
      <c r="E6" s="77" t="s">
        <v>949</v>
      </c>
      <c r="F6" s="77" t="s">
        <v>950</v>
      </c>
      <c r="G6" s="77" t="s">
        <v>951</v>
      </c>
    </row>
    <row r="7" spans="2:7" ht="54.75" customHeight="1" x14ac:dyDescent="0.2">
      <c r="B7" s="76" t="s">
        <v>952</v>
      </c>
      <c r="C7" s="76" t="s">
        <v>953</v>
      </c>
      <c r="D7" s="76" t="s">
        <v>954</v>
      </c>
      <c r="E7" s="76" t="s">
        <v>955</v>
      </c>
      <c r="F7" s="76" t="s">
        <v>956</v>
      </c>
      <c r="G7" s="76" t="s">
        <v>42</v>
      </c>
    </row>
    <row r="8" spans="2:7" ht="54.75" customHeight="1" x14ac:dyDescent="0.2">
      <c r="B8" s="76" t="s">
        <v>957</v>
      </c>
      <c r="C8" s="76" t="s">
        <v>958</v>
      </c>
      <c r="D8" s="76" t="s">
        <v>959</v>
      </c>
      <c r="E8" s="76" t="s">
        <v>960</v>
      </c>
      <c r="F8" s="76" t="s">
        <v>961</v>
      </c>
      <c r="G8" s="76" t="s">
        <v>42</v>
      </c>
    </row>
    <row r="9" spans="2:7" ht="54.75" customHeight="1" x14ac:dyDescent="0.2">
      <c r="B9" s="76" t="s">
        <v>352</v>
      </c>
      <c r="C9" s="76" t="s">
        <v>962</v>
      </c>
      <c r="D9" s="76" t="s">
        <v>963</v>
      </c>
      <c r="E9" s="76" t="s">
        <v>964</v>
      </c>
      <c r="F9" s="76" t="s">
        <v>965</v>
      </c>
      <c r="G9" s="76" t="s">
        <v>63</v>
      </c>
    </row>
    <row r="10" spans="2:7" ht="54.75" customHeight="1" x14ac:dyDescent="0.2">
      <c r="B10" s="76" t="s">
        <v>966</v>
      </c>
      <c r="C10" s="76" t="s">
        <v>967</v>
      </c>
      <c r="D10" s="76" t="s">
        <v>968</v>
      </c>
      <c r="E10" s="76" t="s">
        <v>969</v>
      </c>
      <c r="F10" s="76" t="s">
        <v>970</v>
      </c>
      <c r="G10" s="76" t="s">
        <v>63</v>
      </c>
    </row>
    <row r="11" spans="2:7" ht="54.75" customHeight="1" x14ac:dyDescent="0.2">
      <c r="B11" s="76" t="s">
        <v>971</v>
      </c>
      <c r="C11" s="76" t="s">
        <v>967</v>
      </c>
      <c r="D11" s="76" t="s">
        <v>972</v>
      </c>
      <c r="E11" s="76" t="s">
        <v>973</v>
      </c>
      <c r="F11" s="76" t="s">
        <v>974</v>
      </c>
      <c r="G11" s="76" t="s">
        <v>63</v>
      </c>
    </row>
    <row r="12" spans="2:7" ht="54.75" customHeight="1" x14ac:dyDescent="0.2">
      <c r="B12" s="76" t="s">
        <v>975</v>
      </c>
      <c r="C12" s="76" t="s">
        <v>967</v>
      </c>
      <c r="D12" s="76" t="s">
        <v>976</v>
      </c>
      <c r="E12" s="76" t="s">
        <v>977</v>
      </c>
      <c r="F12" s="76" t="s">
        <v>978</v>
      </c>
      <c r="G12" s="76" t="s">
        <v>42</v>
      </c>
    </row>
    <row r="13" spans="2:7" ht="54.75" customHeight="1" x14ac:dyDescent="0.2">
      <c r="B13" s="76" t="s">
        <v>979</v>
      </c>
      <c r="C13" s="76" t="s">
        <v>967</v>
      </c>
      <c r="D13" s="76" t="s">
        <v>980</v>
      </c>
      <c r="E13" s="76" t="s">
        <v>981</v>
      </c>
      <c r="F13" s="76" t="s">
        <v>982</v>
      </c>
      <c r="G13" s="76" t="s">
        <v>63</v>
      </c>
    </row>
    <row r="14" spans="2:7" ht="54.75" customHeight="1" x14ac:dyDescent="0.2">
      <c r="B14" s="76" t="s">
        <v>983</v>
      </c>
      <c r="C14" s="76" t="s">
        <v>984</v>
      </c>
      <c r="D14" s="76" t="s">
        <v>985</v>
      </c>
      <c r="E14" s="76" t="s">
        <v>986</v>
      </c>
      <c r="F14" s="76" t="s">
        <v>987</v>
      </c>
      <c r="G14" s="76" t="s">
        <v>20</v>
      </c>
    </row>
    <row r="15" spans="2:7" ht="54.75" customHeight="1" x14ac:dyDescent="0.2">
      <c r="B15" s="76" t="s">
        <v>988</v>
      </c>
      <c r="C15" s="76" t="s">
        <v>984</v>
      </c>
      <c r="D15" s="76" t="s">
        <v>989</v>
      </c>
      <c r="E15" s="76" t="s">
        <v>990</v>
      </c>
      <c r="F15" s="76" t="s">
        <v>991</v>
      </c>
      <c r="G15" s="76" t="s">
        <v>20</v>
      </c>
    </row>
    <row r="16" spans="2:7" ht="54.75" customHeight="1" x14ac:dyDescent="0.2">
      <c r="B16" s="76" t="s">
        <v>992</v>
      </c>
      <c r="C16" s="76" t="s">
        <v>984</v>
      </c>
      <c r="D16" s="76" t="s">
        <v>993</v>
      </c>
      <c r="E16" s="76" t="s">
        <v>994</v>
      </c>
      <c r="F16" s="76" t="s">
        <v>995</v>
      </c>
      <c r="G16" s="76" t="s">
        <v>42</v>
      </c>
    </row>
    <row r="17" spans="2:7" ht="21" customHeight="1" x14ac:dyDescent="0.2">
      <c r="B17" s="76"/>
      <c r="C17" s="76"/>
      <c r="D17" s="76"/>
      <c r="E17" s="76"/>
      <c r="F17" s="76"/>
      <c r="G17" s="76"/>
    </row>
    <row r="18" spans="2:7" ht="30" customHeight="1" x14ac:dyDescent="0.2">
      <c r="B18" s="78" t="s">
        <v>996</v>
      </c>
      <c r="C18" s="78" t="s">
        <v>492</v>
      </c>
      <c r="D18" s="78"/>
      <c r="E18" s="78"/>
      <c r="F18" s="78"/>
      <c r="G18" s="78"/>
    </row>
    <row r="19" spans="2:7" ht="21" customHeight="1" x14ac:dyDescent="0.2">
      <c r="B19" s="76" t="s">
        <v>997</v>
      </c>
      <c r="C19" s="76" t="s">
        <v>324</v>
      </c>
      <c r="D19" s="76"/>
      <c r="E19" s="76"/>
      <c r="F19" s="76"/>
      <c r="G19" s="76"/>
    </row>
    <row r="20" spans="2:7" ht="21" customHeight="1" x14ac:dyDescent="0.2">
      <c r="B20" s="76" t="s">
        <v>998</v>
      </c>
      <c r="C20" s="76" t="s">
        <v>400</v>
      </c>
      <c r="D20" s="76"/>
      <c r="E20" s="76"/>
      <c r="F20" s="76"/>
      <c r="G20" s="76"/>
    </row>
    <row r="21" spans="2:7" ht="21" customHeight="1" x14ac:dyDescent="0.2">
      <c r="B21" s="76" t="s">
        <v>999</v>
      </c>
      <c r="C21" s="76">
        <v>0</v>
      </c>
      <c r="D21" s="76"/>
      <c r="E21" s="76"/>
      <c r="F21" s="76"/>
      <c r="G21" s="76"/>
    </row>
    <row r="22" spans="2:7" ht="21" customHeight="1" x14ac:dyDescent="0.2">
      <c r="B22" s="76" t="s">
        <v>1000</v>
      </c>
      <c r="C22" s="76">
        <v>1</v>
      </c>
      <c r="D22" s="76"/>
      <c r="E22" s="76"/>
      <c r="F22" s="76"/>
      <c r="G22" s="76"/>
    </row>
    <row r="23" spans="2:7" ht="21" customHeight="1" x14ac:dyDescent="0.2">
      <c r="B23" s="76" t="s">
        <v>1001</v>
      </c>
      <c r="C23" s="76">
        <v>1</v>
      </c>
      <c r="D23" s="76"/>
      <c r="E23" s="76"/>
      <c r="F23" s="76"/>
      <c r="G23" s="76"/>
    </row>
    <row r="24" spans="2:7" ht="21" customHeight="1" x14ac:dyDescent="0.2">
      <c r="B24" s="76" t="s">
        <v>1002</v>
      </c>
      <c r="C24" s="76">
        <v>1</v>
      </c>
      <c r="D24" s="76"/>
      <c r="E24" s="76"/>
      <c r="F24" s="76"/>
      <c r="G24" s="76"/>
    </row>
    <row r="25" spans="2:7" ht="21" customHeight="1" x14ac:dyDescent="0.2">
      <c r="B25" s="76" t="s">
        <v>1003</v>
      </c>
      <c r="C25" s="76">
        <v>0</v>
      </c>
      <c r="D25" s="76"/>
      <c r="E25" s="76"/>
      <c r="F25" s="76"/>
      <c r="G25" s="76"/>
    </row>
    <row r="26" spans="2:7" ht="21" customHeight="1" x14ac:dyDescent="0.2">
      <c r="B26" s="76" t="s">
        <v>1004</v>
      </c>
      <c r="C26" s="76">
        <v>1</v>
      </c>
      <c r="D26" s="76"/>
      <c r="E26" s="76"/>
      <c r="F26" s="76"/>
      <c r="G26" s="76"/>
    </row>
    <row r="27" spans="2:7" ht="21" customHeight="1" x14ac:dyDescent="0.2">
      <c r="B27" s="76" t="s">
        <v>1005</v>
      </c>
      <c r="C27" s="76">
        <v>1</v>
      </c>
      <c r="D27" s="76"/>
      <c r="E27" s="76"/>
      <c r="F27" s="76"/>
      <c r="G27" s="76"/>
    </row>
    <row r="28" spans="2:7" ht="21" customHeight="1" x14ac:dyDescent="0.2">
      <c r="B28" s="76"/>
      <c r="C28" s="79"/>
      <c r="D28" s="79"/>
      <c r="E28" s="79"/>
      <c r="F28" s="79"/>
      <c r="G28" s="76"/>
    </row>
    <row r="29" spans="2:7" ht="30" customHeight="1" x14ac:dyDescent="0.2">
      <c r="B29" s="78" t="s">
        <v>1006</v>
      </c>
      <c r="C29" s="78" t="s">
        <v>1007</v>
      </c>
      <c r="D29" s="78" t="s">
        <v>1008</v>
      </c>
      <c r="E29" s="78" t="s">
        <v>1009</v>
      </c>
      <c r="F29" s="78" t="s">
        <v>1010</v>
      </c>
      <c r="G29" s="78" t="s">
        <v>1011</v>
      </c>
    </row>
    <row r="30" spans="2:7" ht="21" customHeight="1" x14ac:dyDescent="0.2">
      <c r="B30" s="76" t="s">
        <v>1012</v>
      </c>
      <c r="C30" s="79">
        <v>3500</v>
      </c>
      <c r="D30" s="79">
        <v>10000</v>
      </c>
      <c r="E30" s="79">
        <v>800</v>
      </c>
      <c r="F30" s="79">
        <v>2350</v>
      </c>
      <c r="G30" s="76" t="s">
        <v>1013</v>
      </c>
    </row>
    <row r="31" spans="2:7" ht="21" customHeight="1" x14ac:dyDescent="0.2">
      <c r="B31" s="76"/>
      <c r="C31" s="76"/>
      <c r="D31" s="76"/>
      <c r="E31" s="76"/>
      <c r="F31" s="76"/>
      <c r="G31" s="76"/>
    </row>
    <row r="32" spans="2:7" ht="30" customHeight="1" x14ac:dyDescent="0.2">
      <c r="B32" s="78" t="s">
        <v>1014</v>
      </c>
      <c r="C32" s="78" t="s">
        <v>1007</v>
      </c>
      <c r="D32" s="78" t="s">
        <v>1008</v>
      </c>
      <c r="E32" s="78" t="s">
        <v>1009</v>
      </c>
      <c r="F32" s="78" t="s">
        <v>1010</v>
      </c>
      <c r="G32" s="78" t="s">
        <v>1011</v>
      </c>
    </row>
    <row r="33" spans="2:7" ht="21" customHeight="1" x14ac:dyDescent="0.2">
      <c r="B33" s="76" t="s">
        <v>379</v>
      </c>
      <c r="C33" s="79">
        <v>3000</v>
      </c>
      <c r="D33" s="79">
        <v>9750</v>
      </c>
      <c r="E33" s="79">
        <v>0</v>
      </c>
      <c r="F33" s="79">
        <v>0</v>
      </c>
      <c r="G33" s="76" t="s">
        <v>1015</v>
      </c>
    </row>
    <row r="34" spans="2:7" ht="21" customHeight="1" x14ac:dyDescent="0.2">
      <c r="B34" s="76" t="s">
        <v>390</v>
      </c>
      <c r="C34" s="79">
        <v>3000</v>
      </c>
      <c r="D34" s="79">
        <v>9750</v>
      </c>
      <c r="E34" s="79">
        <v>250</v>
      </c>
      <c r="F34" s="79">
        <v>800</v>
      </c>
      <c r="G34" s="76" t="s">
        <v>1016</v>
      </c>
    </row>
    <row r="35" spans="2:7" ht="21" customHeight="1" x14ac:dyDescent="0.2">
      <c r="B35" s="76" t="s">
        <v>400</v>
      </c>
      <c r="C35" s="79">
        <v>2000</v>
      </c>
      <c r="D35" s="79">
        <v>6500</v>
      </c>
      <c r="E35" s="79">
        <v>500</v>
      </c>
      <c r="F35" s="79">
        <v>1600</v>
      </c>
      <c r="G35" s="76" t="s">
        <v>1017</v>
      </c>
    </row>
    <row r="36" spans="2:7" ht="21" customHeight="1" x14ac:dyDescent="0.2">
      <c r="B36" s="76" t="s">
        <v>411</v>
      </c>
      <c r="C36" s="79">
        <v>3000</v>
      </c>
      <c r="D36" s="79">
        <v>9750</v>
      </c>
      <c r="E36" s="79">
        <v>750</v>
      </c>
      <c r="F36" s="79">
        <v>2400</v>
      </c>
      <c r="G36" s="76" t="s">
        <v>1018</v>
      </c>
    </row>
    <row r="37" spans="2:7" ht="21" customHeight="1" x14ac:dyDescent="0.2">
      <c r="B37" s="76" t="s">
        <v>421</v>
      </c>
      <c r="C37" s="79">
        <v>4000</v>
      </c>
      <c r="D37" s="79">
        <v>13000</v>
      </c>
      <c r="E37" s="79">
        <v>1000</v>
      </c>
      <c r="F37" s="79">
        <v>3200</v>
      </c>
      <c r="G37" s="76" t="s">
        <v>1019</v>
      </c>
    </row>
    <row r="38" spans="2:7" ht="21" customHeight="1" x14ac:dyDescent="0.2">
      <c r="B38" s="76" t="s">
        <v>431</v>
      </c>
      <c r="C38" s="79">
        <v>6000</v>
      </c>
      <c r="D38" s="79">
        <v>19500</v>
      </c>
      <c r="E38" s="79">
        <v>1500</v>
      </c>
      <c r="F38" s="79">
        <v>4800</v>
      </c>
      <c r="G38" s="76" t="s">
        <v>1020</v>
      </c>
    </row>
    <row r="39" spans="2:7" ht="21" customHeight="1" x14ac:dyDescent="0.2">
      <c r="B39" s="76"/>
      <c r="C39" s="79"/>
      <c r="D39" s="79"/>
      <c r="E39" s="79"/>
      <c r="F39" s="79"/>
      <c r="G39" s="76"/>
    </row>
    <row r="40" spans="2:7" ht="30" customHeight="1" x14ac:dyDescent="0.2">
      <c r="B40" s="78" t="s">
        <v>1021</v>
      </c>
      <c r="C40" s="78" t="s">
        <v>1007</v>
      </c>
      <c r="D40" s="78" t="s">
        <v>1008</v>
      </c>
      <c r="E40" s="78" t="s">
        <v>1009</v>
      </c>
      <c r="F40" s="78" t="s">
        <v>1010</v>
      </c>
      <c r="G40" s="78" t="s">
        <v>1011</v>
      </c>
    </row>
    <row r="41" spans="2:7" ht="21" customHeight="1" x14ac:dyDescent="0.2">
      <c r="B41" s="76" t="s">
        <v>379</v>
      </c>
      <c r="C41" s="79">
        <v>0</v>
      </c>
      <c r="D41" s="79">
        <v>0</v>
      </c>
      <c r="E41" s="79">
        <v>0</v>
      </c>
      <c r="F41" s="79">
        <v>0</v>
      </c>
      <c r="G41" s="76" t="s">
        <v>1022</v>
      </c>
    </row>
    <row r="42" spans="2:7" ht="21" customHeight="1" x14ac:dyDescent="0.2">
      <c r="B42" s="76" t="s">
        <v>390</v>
      </c>
      <c r="C42" s="79">
        <v>0</v>
      </c>
      <c r="D42" s="79">
        <v>0</v>
      </c>
      <c r="E42" s="79">
        <v>0</v>
      </c>
      <c r="F42" s="79">
        <v>0</v>
      </c>
      <c r="G42" s="76" t="s">
        <v>1022</v>
      </c>
    </row>
    <row r="43" spans="2:7" ht="21" customHeight="1" x14ac:dyDescent="0.2">
      <c r="B43" s="76" t="s">
        <v>400</v>
      </c>
      <c r="C43" s="79">
        <v>0</v>
      </c>
      <c r="D43" s="79">
        <v>0</v>
      </c>
      <c r="E43" s="79">
        <v>0</v>
      </c>
      <c r="F43" s="79">
        <v>0</v>
      </c>
      <c r="G43" s="76" t="s">
        <v>1022</v>
      </c>
    </row>
    <row r="44" spans="2:7" ht="21" customHeight="1" x14ac:dyDescent="0.2">
      <c r="B44" s="76" t="s">
        <v>411</v>
      </c>
      <c r="C44" s="79">
        <v>0</v>
      </c>
      <c r="D44" s="79">
        <v>0</v>
      </c>
      <c r="E44" s="79">
        <v>0</v>
      </c>
      <c r="F44" s="79">
        <v>0</v>
      </c>
      <c r="G44" s="76" t="s">
        <v>1022</v>
      </c>
    </row>
    <row r="45" spans="2:7" ht="21" customHeight="1" x14ac:dyDescent="0.2">
      <c r="B45" s="76" t="s">
        <v>421</v>
      </c>
      <c r="C45" s="79">
        <v>0</v>
      </c>
      <c r="D45" s="79">
        <v>0</v>
      </c>
      <c r="E45" s="79">
        <v>0</v>
      </c>
      <c r="F45" s="79">
        <v>0</v>
      </c>
      <c r="G45" s="76" t="s">
        <v>1022</v>
      </c>
    </row>
    <row r="46" spans="2:7" ht="21" customHeight="1" x14ac:dyDescent="0.2">
      <c r="B46" s="76" t="s">
        <v>431</v>
      </c>
      <c r="C46" s="79">
        <v>0</v>
      </c>
      <c r="D46" s="79">
        <v>0</v>
      </c>
      <c r="E46" s="79">
        <v>0</v>
      </c>
      <c r="F46" s="79">
        <v>0</v>
      </c>
      <c r="G46" s="76" t="s">
        <v>1022</v>
      </c>
    </row>
    <row r="47" spans="2:7" ht="21" customHeight="1" x14ac:dyDescent="0.2">
      <c r="B47" s="76"/>
      <c r="C47" s="79"/>
      <c r="D47" s="79"/>
      <c r="E47" s="79"/>
      <c r="F47" s="79"/>
      <c r="G47" s="76"/>
    </row>
    <row r="48" spans="2:7" ht="30" customHeight="1" x14ac:dyDescent="0.2">
      <c r="B48" s="78" t="s">
        <v>1023</v>
      </c>
      <c r="C48" s="78"/>
      <c r="D48" s="78"/>
      <c r="E48" s="78"/>
      <c r="F48" s="78"/>
      <c r="G48" s="78"/>
    </row>
    <row r="49" spans="2:7" ht="21" customHeight="1" x14ac:dyDescent="0.2">
      <c r="B49" s="75" t="s">
        <v>1024</v>
      </c>
      <c r="C49" s="80" t="s">
        <v>1025</v>
      </c>
      <c r="D49" s="80"/>
      <c r="E49" s="80"/>
      <c r="F49" s="80"/>
      <c r="G49" s="75"/>
    </row>
    <row r="50" spans="2:7" ht="21" customHeight="1" x14ac:dyDescent="0.2">
      <c r="B50" s="75" t="s">
        <v>1026</v>
      </c>
      <c r="C50" s="80" t="s">
        <v>1027</v>
      </c>
      <c r="D50" s="80"/>
      <c r="E50" s="80"/>
      <c r="F50" s="80"/>
      <c r="G50" s="75"/>
    </row>
    <row r="51" spans="2:7" ht="21" customHeight="1" x14ac:dyDescent="0.2">
      <c r="B51" s="75" t="s">
        <v>1028</v>
      </c>
      <c r="C51" s="80" t="s">
        <v>1029</v>
      </c>
      <c r="D51" s="80"/>
      <c r="E51" s="80"/>
      <c r="F51" s="80"/>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61" t="s">
        <v>1030</v>
      </c>
      <c r="C2" s="61"/>
      <c r="D2" s="61"/>
      <c r="E2" s="61"/>
      <c r="F2" s="61"/>
      <c r="G2" s="61"/>
    </row>
    <row r="3" spans="2:7" ht="33.75" customHeight="1" x14ac:dyDescent="0.2">
      <c r="B3" s="130" t="s">
        <v>1031</v>
      </c>
    </row>
    <row r="4" spans="2:7" ht="15" customHeight="1" x14ac:dyDescent="0.2">
      <c r="B4" s="125" t="s">
        <v>1032</v>
      </c>
      <c r="C4" s="127" t="s">
        <v>1033</v>
      </c>
    </row>
    <row r="5" spans="2:7" ht="15" customHeight="1" x14ac:dyDescent="0.2">
      <c r="B5" s="125" t="s">
        <v>1034</v>
      </c>
      <c r="C5" s="127" t="s">
        <v>1035</v>
      </c>
    </row>
    <row r="6" spans="2:7" ht="15" customHeight="1" x14ac:dyDescent="0.2">
      <c r="B6" s="126" t="s">
        <v>1036</v>
      </c>
      <c r="C6" s="128" t="s">
        <v>1037</v>
      </c>
    </row>
    <row r="7" spans="2:7" ht="15" customHeight="1" x14ac:dyDescent="0.2">
      <c r="B7" s="126"/>
      <c r="C7" s="128"/>
    </row>
    <row r="8" spans="2:7" ht="21" customHeight="1" x14ac:dyDescent="0.2">
      <c r="B8" s="129" t="s">
        <v>1038</v>
      </c>
    </row>
    <row r="9" spans="2:7" ht="21" customHeight="1" x14ac:dyDescent="0.2">
      <c r="B9" s="61" t="s">
        <v>1039</v>
      </c>
      <c r="C9" s="61"/>
      <c r="D9" s="61"/>
      <c r="E9" s="61"/>
      <c r="F9" s="61"/>
      <c r="G9" s="61"/>
    </row>
    <row r="10" spans="2:7" ht="21" customHeight="1" x14ac:dyDescent="0.2">
      <c r="B10" s="84" t="s">
        <v>1040</v>
      </c>
      <c r="C10" s="81"/>
      <c r="D10" s="81"/>
      <c r="E10" s="81"/>
      <c r="F10" s="81"/>
      <c r="G10" s="81"/>
    </row>
    <row r="11" spans="2:7" ht="21" customHeight="1" x14ac:dyDescent="0.2">
      <c r="B11" s="82" t="s">
        <v>498</v>
      </c>
      <c r="C11" s="82" t="s">
        <v>1041</v>
      </c>
      <c r="D11" s="82" t="s">
        <v>1042</v>
      </c>
      <c r="E11" s="82" t="s">
        <v>1043</v>
      </c>
      <c r="F11" s="82" t="s">
        <v>1044</v>
      </c>
      <c r="G11" s="82" t="s">
        <v>1045</v>
      </c>
    </row>
    <row r="12" spans="2:7" ht="30" customHeight="1" x14ac:dyDescent="0.2">
      <c r="B12" s="81" t="s">
        <v>379</v>
      </c>
      <c r="C12" s="81" t="s">
        <v>1046</v>
      </c>
      <c r="D12" s="81" t="s">
        <v>1047</v>
      </c>
      <c r="E12" s="81" t="s">
        <v>1048</v>
      </c>
      <c r="F12" s="81" t="s">
        <v>1047</v>
      </c>
      <c r="G12" s="81" t="s">
        <v>1047</v>
      </c>
    </row>
    <row r="13" spans="2:7" ht="30" customHeight="1" x14ac:dyDescent="0.2">
      <c r="B13" s="81" t="s">
        <v>390</v>
      </c>
      <c r="C13" s="81" t="s">
        <v>1046</v>
      </c>
      <c r="D13" s="81" t="s">
        <v>1049</v>
      </c>
      <c r="E13" s="81" t="s">
        <v>1050</v>
      </c>
      <c r="F13" s="81" t="s">
        <v>1047</v>
      </c>
      <c r="G13" s="81" t="s">
        <v>1047</v>
      </c>
    </row>
    <row r="14" spans="2:7" ht="30" customHeight="1" x14ac:dyDescent="0.2">
      <c r="B14" s="81" t="s">
        <v>400</v>
      </c>
      <c r="C14" s="81" t="s">
        <v>1051</v>
      </c>
      <c r="D14" s="81" t="s">
        <v>1052</v>
      </c>
      <c r="E14" s="81" t="s">
        <v>1053</v>
      </c>
      <c r="F14" s="81" t="s">
        <v>1047</v>
      </c>
      <c r="G14" s="81" t="s">
        <v>1047</v>
      </c>
    </row>
    <row r="15" spans="2:7" ht="30" customHeight="1" x14ac:dyDescent="0.2">
      <c r="B15" s="81" t="s">
        <v>411</v>
      </c>
      <c r="C15" s="81" t="s">
        <v>1046</v>
      </c>
      <c r="D15" s="81" t="s">
        <v>1054</v>
      </c>
      <c r="E15" s="81" t="s">
        <v>1055</v>
      </c>
      <c r="F15" s="81" t="s">
        <v>1047</v>
      </c>
      <c r="G15" s="81" t="s">
        <v>1047</v>
      </c>
    </row>
    <row r="16" spans="2:7" ht="30" customHeight="1" x14ac:dyDescent="0.2">
      <c r="B16" s="81" t="s">
        <v>421</v>
      </c>
      <c r="C16" s="81" t="s">
        <v>1056</v>
      </c>
      <c r="D16" s="81" t="s">
        <v>1057</v>
      </c>
      <c r="E16" s="81" t="s">
        <v>1058</v>
      </c>
      <c r="F16" s="81" t="s">
        <v>1047</v>
      </c>
      <c r="G16" s="81" t="s">
        <v>1047</v>
      </c>
    </row>
    <row r="17" spans="2:7" ht="30" customHeight="1" x14ac:dyDescent="0.2">
      <c r="B17" s="81" t="s">
        <v>431</v>
      </c>
      <c r="C17" s="81" t="s">
        <v>1059</v>
      </c>
      <c r="D17" s="81" t="s">
        <v>1060</v>
      </c>
      <c r="E17" s="81" t="s">
        <v>1061</v>
      </c>
      <c r="F17" s="81" t="s">
        <v>1047</v>
      </c>
      <c r="G17" s="81" t="s">
        <v>1047</v>
      </c>
    </row>
    <row r="18" spans="2:7" x14ac:dyDescent="0.2">
      <c r="B18" s="81"/>
      <c r="C18" s="81"/>
      <c r="D18" s="81"/>
      <c r="E18" s="81"/>
      <c r="F18" s="81"/>
      <c r="G18" s="81"/>
    </row>
    <row r="19" spans="2:7" x14ac:dyDescent="0.2">
      <c r="B19" t="s">
        <v>1062</v>
      </c>
      <c r="C19" t="s">
        <v>1063</v>
      </c>
      <c r="D19" s="81"/>
      <c r="E19" s="81"/>
      <c r="F19" s="81"/>
      <c r="G19" s="81"/>
    </row>
    <row r="20" spans="2:7" x14ac:dyDescent="0.2">
      <c r="B20" t="s">
        <v>1062</v>
      </c>
      <c r="C20" t="s">
        <v>1064</v>
      </c>
      <c r="D20" s="81"/>
      <c r="E20" s="81"/>
      <c r="F20" s="81"/>
      <c r="G20" s="81"/>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0"/>
  <sheetViews>
    <sheetView topLeftCell="A583" zoomScale="150" zoomScaleNormal="150" workbookViewId="0">
      <selection activeCell="B589" sqref="B589"/>
    </sheetView>
  </sheetViews>
  <sheetFormatPr baseColWidth="10" defaultColWidth="8.83203125" defaultRowHeight="15" customHeight="1" x14ac:dyDescent="0.2"/>
  <cols>
    <col min="2" max="2" width="21.83203125" customWidth="1"/>
    <col min="3" max="6" width="34.83203125" customWidth="1"/>
  </cols>
  <sheetData>
    <row r="1" spans="1:2" ht="18" customHeight="1" x14ac:dyDescent="0.2">
      <c r="B1" s="142" t="s">
        <v>1065</v>
      </c>
    </row>
    <row r="2" spans="1:2" ht="30" customHeight="1" x14ac:dyDescent="0.2">
      <c r="B2" s="141" t="s">
        <v>899</v>
      </c>
    </row>
    <row r="3" spans="1:2" ht="15" customHeight="1" x14ac:dyDescent="0.2">
      <c r="A3" t="s">
        <v>1066</v>
      </c>
      <c r="B3" t="s">
        <v>1067</v>
      </c>
    </row>
    <row r="4" spans="1:2" ht="15" customHeight="1" x14ac:dyDescent="0.2">
      <c r="A4" t="s">
        <v>1068</v>
      </c>
      <c r="B4" t="s">
        <v>1069</v>
      </c>
    </row>
    <row r="5" spans="1:2" x14ac:dyDescent="0.2">
      <c r="B5" t="s">
        <v>1070</v>
      </c>
    </row>
    <row r="7" spans="1:2" ht="24" customHeight="1" x14ac:dyDescent="0.3">
      <c r="B7" s="58" t="s">
        <v>1071</v>
      </c>
    </row>
    <row r="9" spans="1:2" ht="17" customHeight="1" x14ac:dyDescent="0.2">
      <c r="B9" s="59" t="s">
        <v>1072</v>
      </c>
    </row>
    <row r="11" spans="1:2" ht="15" customHeight="1" x14ac:dyDescent="0.2">
      <c r="B11" t="s">
        <v>1073</v>
      </c>
    </row>
    <row r="12" spans="1:2" ht="15" customHeight="1" x14ac:dyDescent="0.2">
      <c r="B12" t="s">
        <v>1074</v>
      </c>
    </row>
    <row r="13" spans="1:2" x14ac:dyDescent="0.2">
      <c r="B13" t="s">
        <v>1075</v>
      </c>
    </row>
    <row r="15" spans="1:2" ht="17" customHeight="1" x14ac:dyDescent="0.2">
      <c r="B15" s="59" t="s">
        <v>1076</v>
      </c>
    </row>
    <row r="17" spans="2:2" ht="15" customHeight="1" x14ac:dyDescent="0.2">
      <c r="B17" t="s">
        <v>1077</v>
      </c>
    </row>
    <row r="18" spans="2:2" ht="15" customHeight="1" x14ac:dyDescent="0.2">
      <c r="B18" t="s">
        <v>1078</v>
      </c>
    </row>
    <row r="19" spans="2:2" ht="15" customHeight="1" x14ac:dyDescent="0.2">
      <c r="B19" t="s">
        <v>1079</v>
      </c>
    </row>
    <row r="20" spans="2:2" ht="15" customHeight="1" x14ac:dyDescent="0.2">
      <c r="B20" t="s">
        <v>1080</v>
      </c>
    </row>
    <row r="21" spans="2:2" ht="15" customHeight="1" x14ac:dyDescent="0.2">
      <c r="B21" t="s">
        <v>1081</v>
      </c>
    </row>
    <row r="22" spans="2:2" ht="15" customHeight="1" x14ac:dyDescent="0.2">
      <c r="B22" t="s">
        <v>1082</v>
      </c>
    </row>
    <row r="23" spans="2:2" ht="15" customHeight="1" x14ac:dyDescent="0.2">
      <c r="B23" t="s">
        <v>1083</v>
      </c>
    </row>
    <row r="24" spans="2:2" ht="15" customHeight="1" x14ac:dyDescent="0.2">
      <c r="B24" t="s">
        <v>1084</v>
      </c>
    </row>
    <row r="25" spans="2:2" ht="15" customHeight="1" x14ac:dyDescent="0.2">
      <c r="B25" t="s">
        <v>1085</v>
      </c>
    </row>
    <row r="26" spans="2:2" ht="15" customHeight="1" x14ac:dyDescent="0.2">
      <c r="B26" t="s">
        <v>1086</v>
      </c>
    </row>
    <row r="27" spans="2:2" x14ac:dyDescent="0.2">
      <c r="B27" t="s">
        <v>1087</v>
      </c>
    </row>
    <row r="29" spans="2:2" ht="17" customHeight="1" x14ac:dyDescent="0.2">
      <c r="B29" s="59" t="s">
        <v>1088</v>
      </c>
    </row>
    <row r="31" spans="2:2" ht="15" customHeight="1" x14ac:dyDescent="0.2">
      <c r="B31" t="s">
        <v>1089</v>
      </c>
    </row>
    <row r="32" spans="2:2" ht="15" customHeight="1" x14ac:dyDescent="0.2">
      <c r="B32" t="s">
        <v>1090</v>
      </c>
    </row>
    <row r="33" spans="2:3" ht="15" customHeight="1" x14ac:dyDescent="0.2">
      <c r="B33" t="s">
        <v>1091</v>
      </c>
    </row>
    <row r="34" spans="2:3" ht="15" customHeight="1" x14ac:dyDescent="0.2">
      <c r="B34" t="s">
        <v>1092</v>
      </c>
    </row>
    <row r="35" spans="2:3" ht="15" customHeight="1" x14ac:dyDescent="0.2">
      <c r="B35" t="s">
        <v>1093</v>
      </c>
    </row>
    <row r="36" spans="2:3" ht="15" customHeight="1" x14ac:dyDescent="0.2">
      <c r="B36" t="s">
        <v>1094</v>
      </c>
    </row>
    <row r="37" spans="2:3" ht="15" customHeight="1" x14ac:dyDescent="0.2">
      <c r="B37" t="s">
        <v>1095</v>
      </c>
    </row>
    <row r="38" spans="2:3" ht="15" customHeight="1" x14ac:dyDescent="0.2">
      <c r="B38" t="s">
        <v>1096</v>
      </c>
    </row>
    <row r="39" spans="2:3" x14ac:dyDescent="0.2">
      <c r="B39" t="s">
        <v>1097</v>
      </c>
    </row>
    <row r="41" spans="2:3" ht="24" customHeight="1" x14ac:dyDescent="0.3">
      <c r="B41" s="58" t="s">
        <v>1098</v>
      </c>
    </row>
    <row r="43" spans="2:3" x14ac:dyDescent="0.2">
      <c r="B43" t="s">
        <v>1099</v>
      </c>
    </row>
    <row r="45" spans="2:3" ht="15" customHeight="1" x14ac:dyDescent="0.2">
      <c r="B45" s="60" t="s">
        <v>1100</v>
      </c>
      <c r="C45" s="60" t="s">
        <v>1101</v>
      </c>
    </row>
    <row r="46" spans="2:3" ht="15" customHeight="1" x14ac:dyDescent="0.2">
      <c r="B46" t="s">
        <v>1102</v>
      </c>
      <c r="C46" t="s">
        <v>1103</v>
      </c>
    </row>
    <row r="47" spans="2:3" ht="15" customHeight="1" x14ac:dyDescent="0.2">
      <c r="B47" t="s">
        <v>1104</v>
      </c>
      <c r="C47" t="s">
        <v>1105</v>
      </c>
    </row>
    <row r="48" spans="2:3" ht="15" customHeight="1" x14ac:dyDescent="0.2">
      <c r="B48" t="s">
        <v>1106</v>
      </c>
      <c r="C48" t="s">
        <v>1107</v>
      </c>
    </row>
    <row r="49" spans="2:3" ht="15" customHeight="1" x14ac:dyDescent="0.2">
      <c r="B49" t="s">
        <v>1108</v>
      </c>
      <c r="C49" t="s">
        <v>1109</v>
      </c>
    </row>
    <row r="50" spans="2:3" x14ac:dyDescent="0.2">
      <c r="B50" t="s">
        <v>1110</v>
      </c>
      <c r="C50" t="s">
        <v>1111</v>
      </c>
    </row>
    <row r="52" spans="2:3" ht="24" customHeight="1" x14ac:dyDescent="0.3">
      <c r="B52" s="58" t="s">
        <v>1112</v>
      </c>
    </row>
    <row r="54" spans="2:3" ht="15" customHeight="1" x14ac:dyDescent="0.2">
      <c r="B54" t="s">
        <v>1113</v>
      </c>
    </row>
    <row r="55" spans="2:3" ht="15" customHeight="1" x14ac:dyDescent="0.2">
      <c r="B55" t="s">
        <v>1114</v>
      </c>
    </row>
    <row r="56" spans="2:3" x14ac:dyDescent="0.2">
      <c r="B56" t="s">
        <v>1115</v>
      </c>
    </row>
    <row r="58" spans="2:3" ht="24" customHeight="1" x14ac:dyDescent="0.3">
      <c r="B58" s="58" t="s">
        <v>1116</v>
      </c>
    </row>
    <row r="60" spans="2:3" x14ac:dyDescent="0.2">
      <c r="B60" t="s">
        <v>1117</v>
      </c>
    </row>
    <row r="62" spans="2:3" ht="15" customHeight="1" x14ac:dyDescent="0.2">
      <c r="B62" t="s">
        <v>1118</v>
      </c>
    </row>
    <row r="63" spans="2:3" ht="15" customHeight="1" x14ac:dyDescent="0.2">
      <c r="B63" t="s">
        <v>1119</v>
      </c>
    </row>
    <row r="64" spans="2:3" x14ac:dyDescent="0.2">
      <c r="B64" t="s">
        <v>1120</v>
      </c>
    </row>
    <row r="66" spans="1:6" x14ac:dyDescent="0.2">
      <c r="B66" t="s">
        <v>1121</v>
      </c>
    </row>
    <row r="68" spans="1:6" ht="15" customHeight="1" x14ac:dyDescent="0.2">
      <c r="B68" s="61" t="s">
        <v>1122</v>
      </c>
      <c r="C68" s="61"/>
      <c r="D68" s="61"/>
      <c r="E68" s="61"/>
      <c r="F68" s="61"/>
    </row>
    <row r="69" spans="1:6" ht="15" customHeight="1" x14ac:dyDescent="0.2">
      <c r="B69" s="62" t="s">
        <v>118</v>
      </c>
      <c r="C69" s="62" t="s">
        <v>1123</v>
      </c>
      <c r="D69" s="62" t="s">
        <v>1124</v>
      </c>
      <c r="E69" s="62" t="s">
        <v>1125</v>
      </c>
      <c r="F69" s="62" t="s">
        <v>1126</v>
      </c>
    </row>
    <row r="70" spans="1:6" ht="15" customHeight="1" x14ac:dyDescent="0.2">
      <c r="B70" s="8" t="s">
        <v>1127</v>
      </c>
      <c r="C70" s="8" t="s">
        <v>1128</v>
      </c>
      <c r="D70" s="8" t="s">
        <v>1129</v>
      </c>
      <c r="E70" s="8" t="s">
        <v>1130</v>
      </c>
      <c r="F70" s="8" t="s">
        <v>1131</v>
      </c>
    </row>
    <row r="71" spans="1:6" ht="15" customHeight="1" x14ac:dyDescent="0.2">
      <c r="B71" s="8" t="s">
        <v>1132</v>
      </c>
      <c r="C71" s="8" t="s">
        <v>1133</v>
      </c>
      <c r="D71" s="8" t="s">
        <v>1134</v>
      </c>
      <c r="E71" s="8" t="s">
        <v>1135</v>
      </c>
      <c r="F71" s="8" t="s">
        <v>1136</v>
      </c>
    </row>
    <row r="72" spans="1:6" ht="15" customHeight="1" x14ac:dyDescent="0.2">
      <c r="B72" s="8" t="s">
        <v>1137</v>
      </c>
      <c r="C72" s="8" t="s">
        <v>1138</v>
      </c>
      <c r="D72" s="8" t="s">
        <v>1139</v>
      </c>
      <c r="E72" s="8" t="s">
        <v>1140</v>
      </c>
      <c r="F72" s="8" t="s">
        <v>1141</v>
      </c>
    </row>
    <row r="73" spans="1:6" ht="15" customHeight="1" x14ac:dyDescent="0.2">
      <c r="B73" s="63" t="s">
        <v>1142</v>
      </c>
      <c r="C73" s="63" t="s">
        <v>1143</v>
      </c>
      <c r="D73" s="63" t="s">
        <v>1144</v>
      </c>
      <c r="E73" s="63" t="s">
        <v>1145</v>
      </c>
      <c r="F73" s="63" t="s">
        <v>1146</v>
      </c>
    </row>
    <row r="74" spans="1:6" ht="64" customHeight="1" x14ac:dyDescent="0.2">
      <c r="B74" s="63" t="s">
        <v>1147</v>
      </c>
      <c r="C74" s="63" t="s">
        <v>1148</v>
      </c>
      <c r="D74" s="63"/>
      <c r="E74" s="63"/>
      <c r="F74" s="63" t="s">
        <v>1149</v>
      </c>
    </row>
    <row r="78" spans="1:6" ht="15" customHeight="1" x14ac:dyDescent="0.2">
      <c r="A78" s="64" t="s">
        <v>1066</v>
      </c>
      <c r="B78" s="64" t="s">
        <v>1150</v>
      </c>
    </row>
    <row r="79" spans="1:6" x14ac:dyDescent="0.2">
      <c r="A79" s="64" t="s">
        <v>1068</v>
      </c>
      <c r="B79" s="64" t="s">
        <v>1151</v>
      </c>
    </row>
    <row r="81" spans="2:3" x14ac:dyDescent="0.2">
      <c r="B81" s="60" t="s">
        <v>1152</v>
      </c>
    </row>
    <row r="83" spans="2:3" ht="15" customHeight="1" x14ac:dyDescent="0.2">
      <c r="B83" s="60" t="s">
        <v>1153</v>
      </c>
      <c r="C83" s="60" t="s">
        <v>307</v>
      </c>
    </row>
    <row r="84" spans="2:3" ht="15" customHeight="1" x14ac:dyDescent="0.2">
      <c r="B84" s="64" t="s">
        <v>1154</v>
      </c>
      <c r="C84" s="64" t="s">
        <v>317</v>
      </c>
    </row>
    <row r="85" spans="2:3" ht="15" customHeight="1" x14ac:dyDescent="0.2">
      <c r="B85" s="64" t="s">
        <v>1155</v>
      </c>
      <c r="C85" s="64" t="s">
        <v>324</v>
      </c>
    </row>
    <row r="86" spans="2:3" ht="15" customHeight="1" x14ac:dyDescent="0.2">
      <c r="B86" s="64" t="s">
        <v>1156</v>
      </c>
      <c r="C86" s="64" t="s">
        <v>331</v>
      </c>
    </row>
    <row r="87" spans="2:3" ht="15" customHeight="1" x14ac:dyDescent="0.2">
      <c r="B87" s="64" t="s">
        <v>1157</v>
      </c>
      <c r="C87" s="64" t="s">
        <v>338</v>
      </c>
    </row>
    <row r="88" spans="2:3" x14ac:dyDescent="0.2">
      <c r="B88" s="64" t="s">
        <v>1158</v>
      </c>
      <c r="C88" s="64" t="s">
        <v>345</v>
      </c>
    </row>
    <row r="90" spans="2:3" x14ac:dyDescent="0.2">
      <c r="B90" s="60" t="s">
        <v>1159</v>
      </c>
    </row>
    <row r="92" spans="2:3" x14ac:dyDescent="0.2">
      <c r="B92" s="64" t="s">
        <v>1160</v>
      </c>
    </row>
    <row r="94" spans="2:3" ht="15" customHeight="1" x14ac:dyDescent="0.2">
      <c r="B94" s="60" t="s">
        <v>1161</v>
      </c>
    </row>
    <row r="95" spans="2:3" ht="15" customHeight="1" x14ac:dyDescent="0.2">
      <c r="B95" s="60" t="s">
        <v>1162</v>
      </c>
    </row>
    <row r="96" spans="2:3" ht="15" customHeight="1" x14ac:dyDescent="0.2">
      <c r="B96" s="60" t="s">
        <v>1163</v>
      </c>
    </row>
    <row r="97" spans="2:2" ht="15" customHeight="1" x14ac:dyDescent="0.2">
      <c r="B97" s="60" t="s">
        <v>1164</v>
      </c>
    </row>
    <row r="98" spans="2:2" x14ac:dyDescent="0.2">
      <c r="B98" s="60" t="s">
        <v>1165</v>
      </c>
    </row>
    <row r="100" spans="2:2" x14ac:dyDescent="0.2">
      <c r="B100" s="60" t="s">
        <v>1166</v>
      </c>
    </row>
    <row r="102" spans="2:2" x14ac:dyDescent="0.2">
      <c r="B102" s="64" t="s">
        <v>1167</v>
      </c>
    </row>
    <row r="104" spans="2:2" x14ac:dyDescent="0.2">
      <c r="B104" s="60" t="s">
        <v>1168</v>
      </c>
    </row>
    <row r="106" spans="2:2" ht="15" customHeight="1" x14ac:dyDescent="0.2">
      <c r="B106" s="64" t="s">
        <v>1169</v>
      </c>
    </row>
    <row r="107" spans="2:2" x14ac:dyDescent="0.2">
      <c r="B107" s="64" t="s">
        <v>1170</v>
      </c>
    </row>
    <row r="109" spans="2:2" x14ac:dyDescent="0.2">
      <c r="B109" s="60" t="s">
        <v>1171</v>
      </c>
    </row>
    <row r="111" spans="2:2" x14ac:dyDescent="0.2">
      <c r="B111" s="64" t="s">
        <v>1172</v>
      </c>
    </row>
    <row r="115" spans="2:6" x14ac:dyDescent="0.2">
      <c r="B115" s="60" t="s">
        <v>1173</v>
      </c>
    </row>
    <row r="117" spans="2:6" ht="15" customHeight="1" x14ac:dyDescent="0.2">
      <c r="B117" s="60" t="s">
        <v>491</v>
      </c>
      <c r="C117" s="60" t="s">
        <v>1174</v>
      </c>
      <c r="D117" s="60" t="s">
        <v>1175</v>
      </c>
      <c r="E117" s="60" t="s">
        <v>1176</v>
      </c>
      <c r="F117" s="60" t="s">
        <v>1177</v>
      </c>
    </row>
    <row r="118" spans="2:6" ht="15" customHeight="1" x14ac:dyDescent="0.2">
      <c r="B118" s="64" t="s">
        <v>1178</v>
      </c>
      <c r="C118" s="65" t="s">
        <v>317</v>
      </c>
      <c r="D118" s="65" t="s">
        <v>324</v>
      </c>
      <c r="E118" s="65" t="s">
        <v>317</v>
      </c>
      <c r="F118" s="65" t="s">
        <v>317</v>
      </c>
    </row>
    <row r="119" spans="2:6" ht="15" customHeight="1" x14ac:dyDescent="0.2">
      <c r="B119" s="64" t="s">
        <v>1179</v>
      </c>
      <c r="C119" s="66">
        <v>0</v>
      </c>
      <c r="D119" s="66">
        <v>0</v>
      </c>
      <c r="E119" s="66">
        <v>1</v>
      </c>
      <c r="F119" s="66">
        <v>0</v>
      </c>
    </row>
    <row r="120" spans="2:6" ht="15" customHeight="1" x14ac:dyDescent="0.2">
      <c r="B120" s="64" t="s">
        <v>1180</v>
      </c>
      <c r="C120" s="66">
        <v>0</v>
      </c>
      <c r="D120" s="66">
        <v>1</v>
      </c>
      <c r="E120" s="66">
        <v>0</v>
      </c>
      <c r="F120" s="66">
        <v>1</v>
      </c>
    </row>
    <row r="121" spans="2:6" ht="15" customHeight="1" x14ac:dyDescent="0.2">
      <c r="B121" s="64" t="s">
        <v>1181</v>
      </c>
      <c r="C121" s="66">
        <v>0</v>
      </c>
      <c r="D121" s="66">
        <v>0</v>
      </c>
      <c r="E121" s="66">
        <v>0</v>
      </c>
      <c r="F121" s="66">
        <v>1</v>
      </c>
    </row>
    <row r="122" spans="2:6" ht="15" customHeight="1" x14ac:dyDescent="0.2">
      <c r="B122" s="64" t="s">
        <v>1182</v>
      </c>
      <c r="C122" s="66">
        <v>0</v>
      </c>
      <c r="D122" s="66">
        <v>1</v>
      </c>
      <c r="E122" s="66">
        <v>0</v>
      </c>
      <c r="F122" s="66">
        <v>1</v>
      </c>
    </row>
    <row r="123" spans="2:6" ht="15" customHeight="1" x14ac:dyDescent="0.2">
      <c r="B123" s="64" t="s">
        <v>1183</v>
      </c>
      <c r="C123" s="66">
        <v>0</v>
      </c>
      <c r="D123" s="66">
        <v>0</v>
      </c>
      <c r="E123" s="66">
        <v>0</v>
      </c>
      <c r="F123" s="66">
        <v>0</v>
      </c>
    </row>
    <row r="124" spans="2:6" x14ac:dyDescent="0.2">
      <c r="B124" s="64" t="s">
        <v>1184</v>
      </c>
      <c r="C124" s="65" t="s">
        <v>1185</v>
      </c>
      <c r="D124" s="65" t="s">
        <v>1186</v>
      </c>
      <c r="E124" s="65" t="s">
        <v>1187</v>
      </c>
      <c r="F124" s="65" t="s">
        <v>643</v>
      </c>
    </row>
    <row r="126" spans="2:6" x14ac:dyDescent="0.2">
      <c r="B126" s="64" t="s">
        <v>1188</v>
      </c>
    </row>
    <row r="175" spans="1:2" ht="15" customHeight="1" x14ac:dyDescent="0.2">
      <c r="A175" s="87" t="s">
        <v>1066</v>
      </c>
      <c r="B175" s="87" t="s">
        <v>1189</v>
      </c>
    </row>
    <row r="176" spans="1:2" x14ac:dyDescent="0.2">
      <c r="A176" s="87" t="s">
        <v>1068</v>
      </c>
      <c r="B176" s="87" t="s">
        <v>1190</v>
      </c>
    </row>
    <row r="178" spans="2:2" ht="24" customHeight="1" x14ac:dyDescent="0.3">
      <c r="B178" s="89" t="s">
        <v>1191</v>
      </c>
    </row>
    <row r="180" spans="2:2" x14ac:dyDescent="0.2">
      <c r="B180" s="87" t="s">
        <v>1192</v>
      </c>
    </row>
    <row r="182" spans="2:2" ht="15" customHeight="1" x14ac:dyDescent="0.2">
      <c r="B182" s="88" t="s">
        <v>1193</v>
      </c>
    </row>
    <row r="183" spans="2:2" ht="15" customHeight="1" x14ac:dyDescent="0.2">
      <c r="B183" s="88" t="s">
        <v>1194</v>
      </c>
    </row>
    <row r="184" spans="2:2" ht="15" customHeight="1" x14ac:dyDescent="0.2">
      <c r="B184" s="88" t="s">
        <v>1195</v>
      </c>
    </row>
    <row r="185" spans="2:2" x14ac:dyDescent="0.2">
      <c r="B185" s="88" t="s">
        <v>1196</v>
      </c>
    </row>
    <row r="187" spans="2:2" x14ac:dyDescent="0.2">
      <c r="B187" s="87" t="s">
        <v>1197</v>
      </c>
    </row>
    <row r="189" spans="2:2" ht="24" customHeight="1" x14ac:dyDescent="0.3">
      <c r="B189" s="89" t="s">
        <v>1198</v>
      </c>
    </row>
    <row r="191" spans="2:2" ht="15" customHeight="1" x14ac:dyDescent="0.2">
      <c r="B191" s="87" t="s">
        <v>1199</v>
      </c>
    </row>
    <row r="192" spans="2:2" ht="15" customHeight="1" x14ac:dyDescent="0.2">
      <c r="B192" s="90" t="s">
        <v>1200</v>
      </c>
    </row>
    <row r="193" spans="2:2" ht="15" customHeight="1" x14ac:dyDescent="0.2">
      <c r="B193" s="87" t="s">
        <v>1201</v>
      </c>
    </row>
    <row r="194" spans="2:2" x14ac:dyDescent="0.2">
      <c r="B194" s="87" t="s">
        <v>1202</v>
      </c>
    </row>
    <row r="196" spans="2:2" ht="24" customHeight="1" x14ac:dyDescent="0.3">
      <c r="B196" s="89" t="s">
        <v>1203</v>
      </c>
    </row>
    <row r="198" spans="2:2" ht="15" customHeight="1" x14ac:dyDescent="0.2">
      <c r="B198" s="87" t="s">
        <v>1204</v>
      </c>
    </row>
    <row r="199" spans="2:2" ht="15" customHeight="1" x14ac:dyDescent="0.2">
      <c r="B199" s="88" t="s">
        <v>1205</v>
      </c>
    </row>
    <row r="200" spans="2:2" ht="15" customHeight="1" x14ac:dyDescent="0.2">
      <c r="B200" s="88" t="s">
        <v>1206</v>
      </c>
    </row>
    <row r="201" spans="2:2" x14ac:dyDescent="0.2">
      <c r="B201" s="88" t="s">
        <v>1207</v>
      </c>
    </row>
    <row r="203" spans="2:2" ht="24" customHeight="1" x14ac:dyDescent="0.3">
      <c r="B203" s="89" t="s">
        <v>1208</v>
      </c>
    </row>
    <row r="205" spans="2:2" ht="15" customHeight="1" x14ac:dyDescent="0.2">
      <c r="B205" s="87" t="s">
        <v>1209</v>
      </c>
    </row>
    <row r="206" spans="2:2" ht="15" customHeight="1" x14ac:dyDescent="0.2">
      <c r="B206" s="88" t="s">
        <v>1210</v>
      </c>
    </row>
    <row r="207" spans="2:2" ht="15" customHeight="1" x14ac:dyDescent="0.2">
      <c r="B207" s="88" t="s">
        <v>1211</v>
      </c>
    </row>
    <row r="208" spans="2:2" x14ac:dyDescent="0.2">
      <c r="B208" s="88" t="s">
        <v>1212</v>
      </c>
    </row>
    <row r="210" spans="2:2" ht="24" customHeight="1" x14ac:dyDescent="0.3">
      <c r="B210" s="89" t="s">
        <v>1213</v>
      </c>
    </row>
    <row r="212" spans="2:2" ht="15" customHeight="1" x14ac:dyDescent="0.2">
      <c r="B212" s="87" t="s">
        <v>1214</v>
      </c>
    </row>
    <row r="213" spans="2:2" x14ac:dyDescent="0.2">
      <c r="B213" s="90" t="s">
        <v>1215</v>
      </c>
    </row>
    <row r="215" spans="2:2" ht="24" customHeight="1" x14ac:dyDescent="0.3">
      <c r="B215" s="89" t="s">
        <v>1216</v>
      </c>
    </row>
    <row r="217" spans="2:2" ht="15" customHeight="1" x14ac:dyDescent="0.2">
      <c r="B217" s="88" t="s">
        <v>1217</v>
      </c>
    </row>
    <row r="218" spans="2:2" ht="15" customHeight="1" x14ac:dyDescent="0.2">
      <c r="B218" s="88" t="s">
        <v>1218</v>
      </c>
    </row>
    <row r="219" spans="2:2" x14ac:dyDescent="0.2">
      <c r="B219" s="88" t="s">
        <v>1219</v>
      </c>
    </row>
    <row r="221" spans="2:2" ht="24" customHeight="1" x14ac:dyDescent="0.3">
      <c r="B221" s="89" t="s">
        <v>1220</v>
      </c>
    </row>
    <row r="223" spans="2:2" ht="15" customHeight="1" x14ac:dyDescent="0.2">
      <c r="B223" s="87" t="s">
        <v>1221</v>
      </c>
    </row>
    <row r="224" spans="2:2" ht="15" customHeight="1" x14ac:dyDescent="0.2">
      <c r="B224" s="96" t="s">
        <v>1222</v>
      </c>
    </row>
    <row r="225" spans="1:2" x14ac:dyDescent="0.2">
      <c r="B225" s="87" t="s">
        <v>1223</v>
      </c>
    </row>
    <row r="228" spans="1:2" ht="15" customHeight="1" x14ac:dyDescent="0.2">
      <c r="A228" s="87" t="s">
        <v>1066</v>
      </c>
      <c r="B228" s="87" t="s">
        <v>1224</v>
      </c>
    </row>
    <row r="229" spans="1:2" x14ac:dyDescent="0.2">
      <c r="A229" s="87" t="s">
        <v>1068</v>
      </c>
      <c r="B229" s="87" t="s">
        <v>1225</v>
      </c>
    </row>
    <row r="231" spans="1:2" ht="15" customHeight="1" x14ac:dyDescent="0.2">
      <c r="B231" s="87" t="s">
        <v>1226</v>
      </c>
    </row>
    <row r="232" spans="1:2" ht="15" customHeight="1" x14ac:dyDescent="0.2">
      <c r="B232" s="88" t="s">
        <v>1227</v>
      </c>
    </row>
    <row r="233" spans="1:2" ht="15" customHeight="1" x14ac:dyDescent="0.2">
      <c r="B233" s="88" t="s">
        <v>1228</v>
      </c>
    </row>
    <row r="234" spans="1:2" x14ac:dyDescent="0.2">
      <c r="B234" s="87" t="s">
        <v>1229</v>
      </c>
    </row>
    <row r="236" spans="1:2" x14ac:dyDescent="0.2">
      <c r="B236" s="87" t="s">
        <v>1230</v>
      </c>
    </row>
    <row r="239" spans="1:2" ht="15" customHeight="1" x14ac:dyDescent="0.2">
      <c r="A239" s="87" t="s">
        <v>1066</v>
      </c>
      <c r="B239" s="87" t="s">
        <v>1231</v>
      </c>
    </row>
    <row r="240" spans="1:2" x14ac:dyDescent="0.2">
      <c r="A240" s="87" t="s">
        <v>1068</v>
      </c>
      <c r="B240" s="87" t="s">
        <v>1232</v>
      </c>
    </row>
    <row r="242" spans="1:2" ht="15" customHeight="1" x14ac:dyDescent="0.2">
      <c r="B242" s="88" t="s">
        <v>1233</v>
      </c>
    </row>
    <row r="243" spans="1:2" x14ac:dyDescent="0.2">
      <c r="B243" s="88" t="s">
        <v>1234</v>
      </c>
    </row>
    <row r="245" spans="1:2" ht="15" customHeight="1" x14ac:dyDescent="0.2">
      <c r="B245" s="87" t="s">
        <v>1235</v>
      </c>
    </row>
    <row r="246" spans="1:2" ht="15" customHeight="1" x14ac:dyDescent="0.2">
      <c r="B246" s="88" t="s">
        <v>1236</v>
      </c>
    </row>
    <row r="247" spans="1:2" x14ac:dyDescent="0.2">
      <c r="B247" s="88" t="s">
        <v>1237</v>
      </c>
    </row>
    <row r="249" spans="1:2" ht="15" customHeight="1" x14ac:dyDescent="0.2">
      <c r="B249" s="88" t="s">
        <v>1238</v>
      </c>
    </row>
    <row r="250" spans="1:2" ht="15" customHeight="1" x14ac:dyDescent="0.2">
      <c r="B250" s="88" t="s">
        <v>1239</v>
      </c>
    </row>
    <row r="251" spans="1:2" ht="15" customHeight="1" x14ac:dyDescent="0.2">
      <c r="B251" s="88" t="s">
        <v>1240</v>
      </c>
    </row>
    <row r="252" spans="1:2" x14ac:dyDescent="0.2">
      <c r="B252" s="88" t="s">
        <v>1241</v>
      </c>
    </row>
    <row r="255" spans="1:2" ht="15" customHeight="1" x14ac:dyDescent="0.2">
      <c r="A255" s="87" t="s">
        <v>1066</v>
      </c>
      <c r="B255" s="87" t="s">
        <v>1242</v>
      </c>
    </row>
    <row r="256" spans="1:2" x14ac:dyDescent="0.2">
      <c r="A256" s="87" t="s">
        <v>1068</v>
      </c>
      <c r="B256" s="87" t="s">
        <v>1243</v>
      </c>
    </row>
    <row r="260" spans="2:2" ht="24" customHeight="1" x14ac:dyDescent="0.3">
      <c r="B260" s="89" t="s">
        <v>1244</v>
      </c>
    </row>
    <row r="262" spans="2:2" ht="15" customHeight="1" x14ac:dyDescent="0.2">
      <c r="B262" s="87" t="s">
        <v>1245</v>
      </c>
    </row>
    <row r="263" spans="2:2" ht="15" customHeight="1" x14ac:dyDescent="0.2">
      <c r="B263" s="87" t="s">
        <v>1246</v>
      </c>
    </row>
    <row r="264" spans="2:2" x14ac:dyDescent="0.2">
      <c r="B264" s="87" t="s">
        <v>1247</v>
      </c>
    </row>
    <row r="266" spans="2:2" ht="24" customHeight="1" x14ac:dyDescent="0.3">
      <c r="B266" s="89" t="s">
        <v>1248</v>
      </c>
    </row>
    <row r="268" spans="2:2" ht="15" customHeight="1" x14ac:dyDescent="0.2">
      <c r="B268" s="88" t="s">
        <v>1249</v>
      </c>
    </row>
    <row r="269" spans="2:2" ht="15" customHeight="1" x14ac:dyDescent="0.2">
      <c r="B269" s="90" t="s">
        <v>1250</v>
      </c>
    </row>
    <row r="270" spans="2:2" x14ac:dyDescent="0.2">
      <c r="B270" s="87" t="s">
        <v>1251</v>
      </c>
    </row>
    <row r="272" spans="2:2" x14ac:dyDescent="0.2">
      <c r="B272" s="88" t="s">
        <v>1252</v>
      </c>
    </row>
    <row r="274" spans="2:4" x14ac:dyDescent="0.2">
      <c r="B274" s="87" t="s">
        <v>1253</v>
      </c>
    </row>
    <row r="276" spans="2:4" ht="15" customHeight="1" x14ac:dyDescent="0.2">
      <c r="B276" s="88" t="s">
        <v>1254</v>
      </c>
      <c r="C276" s="88" t="s">
        <v>1255</v>
      </c>
      <c r="D276" s="88" t="s">
        <v>1256</v>
      </c>
    </row>
    <row r="277" spans="2:4" ht="15" customHeight="1" x14ac:dyDescent="0.2">
      <c r="B277" s="87" t="s">
        <v>1257</v>
      </c>
      <c r="C277" s="87" t="s">
        <v>1258</v>
      </c>
      <c r="D277" s="87" t="s">
        <v>1259</v>
      </c>
    </row>
    <row r="278" spans="2:4" ht="15" customHeight="1" x14ac:dyDescent="0.2">
      <c r="B278" s="87" t="s">
        <v>1260</v>
      </c>
      <c r="C278" s="87" t="s">
        <v>1261</v>
      </c>
      <c r="D278" s="87" t="s">
        <v>1262</v>
      </c>
    </row>
    <row r="279" spans="2:4" ht="15" customHeight="1" x14ac:dyDescent="0.2">
      <c r="B279" s="87" t="s">
        <v>1263</v>
      </c>
      <c r="C279" s="87" t="s">
        <v>1264</v>
      </c>
      <c r="D279" s="87" t="s">
        <v>1265</v>
      </c>
    </row>
    <row r="280" spans="2:4" ht="15" customHeight="1" x14ac:dyDescent="0.2">
      <c r="B280" s="87" t="s">
        <v>1266</v>
      </c>
      <c r="C280" s="87" t="s">
        <v>1267</v>
      </c>
      <c r="D280" s="87" t="s">
        <v>1268</v>
      </c>
    </row>
    <row r="281" spans="2:4" x14ac:dyDescent="0.2">
      <c r="B281" s="87" t="s">
        <v>1269</v>
      </c>
      <c r="C281" s="87" t="s">
        <v>1270</v>
      </c>
      <c r="D281" s="87" t="s">
        <v>1271</v>
      </c>
    </row>
    <row r="284" spans="2:4" ht="24" customHeight="1" x14ac:dyDescent="0.3">
      <c r="B284" s="89" t="s">
        <v>1272</v>
      </c>
    </row>
    <row r="286" spans="2:4" x14ac:dyDescent="0.2">
      <c r="B286" s="87" t="s">
        <v>1273</v>
      </c>
    </row>
    <row r="288" spans="2:4" ht="15" customHeight="1" x14ac:dyDescent="0.2">
      <c r="B288" s="88" t="s">
        <v>1274</v>
      </c>
    </row>
    <row r="289" spans="2:2" ht="15" customHeight="1" x14ac:dyDescent="0.25">
      <c r="B289" s="97" t="s">
        <v>1275</v>
      </c>
    </row>
    <row r="290" spans="2:2" ht="15" customHeight="1" x14ac:dyDescent="0.2">
      <c r="B290" s="87" t="s">
        <v>1276</v>
      </c>
    </row>
    <row r="291" spans="2:2" ht="15" customHeight="1" x14ac:dyDescent="0.2">
      <c r="B291" s="87" t="s">
        <v>1277</v>
      </c>
    </row>
    <row r="292" spans="2:2" ht="15" customHeight="1" x14ac:dyDescent="0.2">
      <c r="B292" s="87" t="s">
        <v>1278</v>
      </c>
    </row>
    <row r="293" spans="2:2" ht="15" customHeight="1" x14ac:dyDescent="0.2">
      <c r="B293" s="90" t="s">
        <v>1279</v>
      </c>
    </row>
    <row r="294" spans="2:2" x14ac:dyDescent="0.2">
      <c r="B294" s="87" t="s">
        <v>1280</v>
      </c>
    </row>
    <row r="297" spans="2:2" ht="24" customHeight="1" x14ac:dyDescent="0.3">
      <c r="B297" s="89" t="s">
        <v>1281</v>
      </c>
    </row>
    <row r="299" spans="2:2" x14ac:dyDescent="0.2">
      <c r="B299" s="87" t="s">
        <v>1282</v>
      </c>
    </row>
    <row r="301" spans="2:2" ht="15" customHeight="1" x14ac:dyDescent="0.2">
      <c r="B301" s="88" t="s">
        <v>1283</v>
      </c>
    </row>
    <row r="302" spans="2:2" ht="15" customHeight="1" x14ac:dyDescent="0.2">
      <c r="B302" s="88" t="s">
        <v>1284</v>
      </c>
    </row>
    <row r="303" spans="2:2" ht="15" customHeight="1" x14ac:dyDescent="0.2">
      <c r="B303" s="88" t="s">
        <v>1285</v>
      </c>
    </row>
    <row r="304" spans="2:2" x14ac:dyDescent="0.2">
      <c r="B304" s="87" t="s">
        <v>1286</v>
      </c>
    </row>
    <row r="306" spans="1:2" x14ac:dyDescent="0.2">
      <c r="B306" s="87" t="s">
        <v>1287</v>
      </c>
    </row>
    <row r="310" spans="1:2" ht="15" customHeight="1" x14ac:dyDescent="0.2">
      <c r="A310" s="87" t="s">
        <v>1066</v>
      </c>
      <c r="B310" s="87" t="s">
        <v>1288</v>
      </c>
    </row>
    <row r="311" spans="1:2" x14ac:dyDescent="0.2">
      <c r="A311" s="87" t="s">
        <v>1068</v>
      </c>
      <c r="B311" s="87" t="s">
        <v>1289</v>
      </c>
    </row>
    <row r="314" spans="1:2" ht="24" customHeight="1" x14ac:dyDescent="0.3">
      <c r="B314" s="89" t="s">
        <v>1290</v>
      </c>
    </row>
    <row r="316" spans="1:2" ht="15" customHeight="1" x14ac:dyDescent="0.2">
      <c r="B316" s="87" t="s">
        <v>1291</v>
      </c>
    </row>
    <row r="317" spans="1:2" ht="15" customHeight="1" x14ac:dyDescent="0.2">
      <c r="B317" s="87" t="s">
        <v>1292</v>
      </c>
    </row>
    <row r="318" spans="1:2" ht="15" customHeight="1" x14ac:dyDescent="0.2">
      <c r="B318" s="87" t="s">
        <v>1293</v>
      </c>
    </row>
    <row r="319" spans="1:2" ht="15" customHeight="1" x14ac:dyDescent="0.2">
      <c r="B319" s="87" t="s">
        <v>1294</v>
      </c>
    </row>
    <row r="320" spans="1:2" x14ac:dyDescent="0.2">
      <c r="B320" s="87" t="s">
        <v>1295</v>
      </c>
    </row>
    <row r="322" spans="1:2" ht="15" customHeight="1" x14ac:dyDescent="0.2">
      <c r="B322" s="87" t="s">
        <v>1296</v>
      </c>
    </row>
    <row r="323" spans="1:2" x14ac:dyDescent="0.2">
      <c r="B323" s="90" t="s">
        <v>1297</v>
      </c>
    </row>
    <row r="326" spans="1:2" ht="15" customHeight="1" x14ac:dyDescent="0.2">
      <c r="B326" s="87" t="s">
        <v>1298</v>
      </c>
    </row>
    <row r="327" spans="1:2" ht="15" customHeight="1" x14ac:dyDescent="0.2">
      <c r="B327" s="88" t="s">
        <v>1299</v>
      </c>
    </row>
    <row r="328" spans="1:2" ht="15" customHeight="1" x14ac:dyDescent="0.2">
      <c r="B328" s="88" t="s">
        <v>1300</v>
      </c>
    </row>
    <row r="329" spans="1:2" ht="15" customHeight="1" x14ac:dyDescent="0.2">
      <c r="B329" s="88" t="s">
        <v>1301</v>
      </c>
    </row>
    <row r="330" spans="1:2" ht="15" customHeight="1" x14ac:dyDescent="0.2">
      <c r="B330" s="88" t="s">
        <v>1302</v>
      </c>
    </row>
    <row r="331" spans="1:2" x14ac:dyDescent="0.2">
      <c r="B331" s="88" t="s">
        <v>1303</v>
      </c>
    </row>
    <row r="333" spans="1:2" x14ac:dyDescent="0.2">
      <c r="B333" s="87" t="s">
        <v>1304</v>
      </c>
    </row>
    <row r="336" spans="1:2" ht="15" customHeight="1" x14ac:dyDescent="0.2">
      <c r="A336" s="87" t="s">
        <v>1066</v>
      </c>
      <c r="B336" s="84" t="s">
        <v>1305</v>
      </c>
    </row>
    <row r="337" spans="1:2" x14ac:dyDescent="0.2">
      <c r="A337" s="87" t="s">
        <v>1068</v>
      </c>
      <c r="B337" s="87" t="s">
        <v>1306</v>
      </c>
    </row>
    <row r="339" spans="1:2" x14ac:dyDescent="0.2">
      <c r="B339" s="87" t="s">
        <v>1307</v>
      </c>
    </row>
    <row r="342" spans="1:2" ht="19" customHeight="1" x14ac:dyDescent="0.25">
      <c r="B342" s="107" t="s">
        <v>1308</v>
      </c>
    </row>
    <row r="344" spans="1:2" ht="15" customHeight="1" x14ac:dyDescent="0.2">
      <c r="B344" s="87" t="s">
        <v>1309</v>
      </c>
    </row>
    <row r="345" spans="1:2" ht="15" customHeight="1" x14ac:dyDescent="0.2">
      <c r="B345" s="87" t="s">
        <v>1310</v>
      </c>
    </row>
    <row r="346" spans="1:2" ht="15" customHeight="1" x14ac:dyDescent="0.2">
      <c r="B346" s="87" t="s">
        <v>1311</v>
      </c>
    </row>
    <row r="347" spans="1:2" ht="15" customHeight="1" x14ac:dyDescent="0.2">
      <c r="B347" s="87" t="s">
        <v>1312</v>
      </c>
    </row>
    <row r="348" spans="1:2" ht="15" customHeight="1" x14ac:dyDescent="0.2">
      <c r="B348" s="87" t="s">
        <v>1313</v>
      </c>
    </row>
    <row r="349" spans="1:2" x14ac:dyDescent="0.2">
      <c r="B349" s="87" t="s">
        <v>1314</v>
      </c>
    </row>
    <row r="351" spans="1:2" x14ac:dyDescent="0.2">
      <c r="B351" s="87" t="s">
        <v>1315</v>
      </c>
    </row>
    <row r="353" spans="2:2" ht="15" customHeight="1" x14ac:dyDescent="0.2">
      <c r="B353" s="88" t="s">
        <v>1316</v>
      </c>
    </row>
    <row r="354" spans="2:2" ht="15" customHeight="1" x14ac:dyDescent="0.2">
      <c r="B354" s="87" t="s">
        <v>1317</v>
      </c>
    </row>
    <row r="355" spans="2:2" ht="15" customHeight="1" x14ac:dyDescent="0.2">
      <c r="B355" s="87" t="s">
        <v>1318</v>
      </c>
    </row>
    <row r="356" spans="2:2" ht="15" customHeight="1" x14ac:dyDescent="0.2">
      <c r="B356" s="87" t="s">
        <v>1317</v>
      </c>
    </row>
    <row r="357" spans="2:2" ht="15" customHeight="1" x14ac:dyDescent="0.2">
      <c r="B357" s="87" t="s">
        <v>1319</v>
      </c>
    </row>
    <row r="358" spans="2:2" ht="15" customHeight="1" x14ac:dyDescent="0.2">
      <c r="B358" s="87" t="s">
        <v>1317</v>
      </c>
    </row>
    <row r="359" spans="2:2" ht="15" customHeight="1" x14ac:dyDescent="0.2">
      <c r="B359" s="87" t="s">
        <v>1320</v>
      </c>
    </row>
    <row r="360" spans="2:2" ht="15" customHeight="1" x14ac:dyDescent="0.2">
      <c r="B360" s="87" t="s">
        <v>1317</v>
      </c>
    </row>
    <row r="361" spans="2:2" ht="15" customHeight="1" x14ac:dyDescent="0.2">
      <c r="B361" s="87" t="s">
        <v>1321</v>
      </c>
    </row>
    <row r="362" spans="2:2" ht="15" customHeight="1" x14ac:dyDescent="0.2">
      <c r="B362" s="87" t="s">
        <v>1317</v>
      </c>
    </row>
    <row r="363" spans="2:2" x14ac:dyDescent="0.2">
      <c r="B363" s="87" t="s">
        <v>1322</v>
      </c>
    </row>
    <row r="366" spans="2:2" ht="19" customHeight="1" x14ac:dyDescent="0.25">
      <c r="B366" s="107" t="s">
        <v>1323</v>
      </c>
    </row>
    <row r="368" spans="2:2" ht="15" customHeight="1" x14ac:dyDescent="0.2">
      <c r="B368" s="87" t="s">
        <v>1324</v>
      </c>
    </row>
    <row r="369" spans="2:2" ht="15" customHeight="1" x14ac:dyDescent="0.2">
      <c r="B369" s="87" t="s">
        <v>1315</v>
      </c>
    </row>
    <row r="370" spans="2:2" ht="15" customHeight="1" x14ac:dyDescent="0.2">
      <c r="B370" s="87" t="s">
        <v>1325</v>
      </c>
    </row>
    <row r="371" spans="2:2" ht="15" customHeight="1" x14ac:dyDescent="0.2">
      <c r="B371" s="87" t="s">
        <v>1317</v>
      </c>
    </row>
    <row r="372" spans="2:2" ht="15" customHeight="1" x14ac:dyDescent="0.2">
      <c r="B372" s="87" t="s">
        <v>1326</v>
      </c>
    </row>
    <row r="373" spans="2:2" ht="15" customHeight="1" x14ac:dyDescent="0.2">
      <c r="B373" s="87" t="s">
        <v>1327</v>
      </c>
    </row>
    <row r="374" spans="2:2" ht="15" customHeight="1" x14ac:dyDescent="0.2">
      <c r="B374" s="87" t="s">
        <v>1328</v>
      </c>
    </row>
    <row r="375" spans="2:2" ht="15" customHeight="1" x14ac:dyDescent="0.2">
      <c r="B375" s="87" t="s">
        <v>1329</v>
      </c>
    </row>
    <row r="376" spans="2:2" ht="15" customHeight="1" x14ac:dyDescent="0.2">
      <c r="B376" s="87" t="s">
        <v>1330</v>
      </c>
    </row>
    <row r="377" spans="2:2" x14ac:dyDescent="0.2">
      <c r="B377" s="87" t="s">
        <v>1331</v>
      </c>
    </row>
    <row r="379" spans="2:2" ht="15" customHeight="1" x14ac:dyDescent="0.2">
      <c r="B379" s="87" t="s">
        <v>1317</v>
      </c>
    </row>
    <row r="380" spans="2:2" ht="15" customHeight="1" x14ac:dyDescent="0.2">
      <c r="B380" s="87" t="s">
        <v>1332</v>
      </c>
    </row>
    <row r="381" spans="2:2" ht="15" customHeight="1" x14ac:dyDescent="0.2">
      <c r="B381" s="87" t="s">
        <v>1333</v>
      </c>
    </row>
    <row r="382" spans="2:2" ht="15" customHeight="1" x14ac:dyDescent="0.2">
      <c r="B382" s="87" t="s">
        <v>1334</v>
      </c>
    </row>
    <row r="383" spans="2:2" ht="15" customHeight="1" x14ac:dyDescent="0.2">
      <c r="B383" s="87" t="s">
        <v>1335</v>
      </c>
    </row>
    <row r="384" spans="2:2" ht="15" customHeight="1" x14ac:dyDescent="0.2">
      <c r="B384" s="87" t="s">
        <v>1336</v>
      </c>
    </row>
    <row r="385" spans="2:2" x14ac:dyDescent="0.2">
      <c r="B385" s="87" t="s">
        <v>1337</v>
      </c>
    </row>
    <row r="387" spans="2:2" x14ac:dyDescent="0.2">
      <c r="B387" s="87" t="s">
        <v>1338</v>
      </c>
    </row>
    <row r="390" spans="2:2" ht="19" customHeight="1" x14ac:dyDescent="0.25">
      <c r="B390" s="107" t="s">
        <v>1339</v>
      </c>
    </row>
    <row r="392" spans="2:2" ht="15" customHeight="1" x14ac:dyDescent="0.2">
      <c r="B392" s="87" t="s">
        <v>1340</v>
      </c>
    </row>
    <row r="393" spans="2:2" ht="15" customHeight="1" x14ac:dyDescent="0.2">
      <c r="B393" s="87" t="s">
        <v>1341</v>
      </c>
    </row>
    <row r="394" spans="2:2" ht="15" customHeight="1" x14ac:dyDescent="0.2">
      <c r="B394" s="87" t="s">
        <v>1342</v>
      </c>
    </row>
    <row r="395" spans="2:2" ht="15" customHeight="1" x14ac:dyDescent="0.2">
      <c r="B395" s="87" t="s">
        <v>1343</v>
      </c>
    </row>
    <row r="396" spans="2:2" ht="15" customHeight="1" x14ac:dyDescent="0.25">
      <c r="B396" s="97" t="s">
        <v>1344</v>
      </c>
    </row>
    <row r="397" spans="2:2" ht="15" customHeight="1" x14ac:dyDescent="0.25">
      <c r="B397" s="97" t="s">
        <v>1345</v>
      </c>
    </row>
    <row r="398" spans="2:2" ht="15" customHeight="1" x14ac:dyDescent="0.25">
      <c r="B398" s="97" t="s">
        <v>1346</v>
      </c>
    </row>
    <row r="399" spans="2:2" ht="15" customHeight="1" x14ac:dyDescent="0.25">
      <c r="B399" s="97" t="s">
        <v>1347</v>
      </c>
    </row>
    <row r="400" spans="2:2" ht="15" customHeight="1" x14ac:dyDescent="0.25">
      <c r="B400" s="97" t="s">
        <v>1348</v>
      </c>
    </row>
    <row r="401" spans="2:2" ht="15" customHeight="1" x14ac:dyDescent="0.25">
      <c r="B401" s="97" t="s">
        <v>1349</v>
      </c>
    </row>
    <row r="402" spans="2:2" ht="15" customHeight="1" x14ac:dyDescent="0.25">
      <c r="B402" s="97" t="s">
        <v>1350</v>
      </c>
    </row>
    <row r="403" spans="2:2" x14ac:dyDescent="0.2">
      <c r="B403" s="87" t="s">
        <v>1351</v>
      </c>
    </row>
    <row r="406" spans="2:2" ht="15" customHeight="1" x14ac:dyDescent="0.25">
      <c r="B406" s="107" t="s">
        <v>1352</v>
      </c>
    </row>
    <row r="407" spans="2:2" ht="15" customHeight="1" x14ac:dyDescent="0.25">
      <c r="B407" s="107"/>
    </row>
    <row r="408" spans="2:2" ht="15" customHeight="1" x14ac:dyDescent="0.2">
      <c r="B408" s="87" t="s">
        <v>1353</v>
      </c>
    </row>
    <row r="409" spans="2:2" ht="15" customHeight="1" x14ac:dyDescent="0.2">
      <c r="B409" s="87" t="s">
        <v>1354</v>
      </c>
    </row>
    <row r="410" spans="2:2" ht="15" customHeight="1" x14ac:dyDescent="0.2">
      <c r="B410" s="87" t="s">
        <v>1355</v>
      </c>
    </row>
    <row r="411" spans="2:2" ht="15" customHeight="1" x14ac:dyDescent="0.2">
      <c r="B411" s="87" t="s">
        <v>1356</v>
      </c>
    </row>
    <row r="412" spans="2:2" ht="15" customHeight="1" x14ac:dyDescent="0.2">
      <c r="B412" s="87" t="s">
        <v>1357</v>
      </c>
    </row>
    <row r="413" spans="2:2" ht="15" customHeight="1" x14ac:dyDescent="0.2">
      <c r="B413" s="87" t="s">
        <v>1358</v>
      </c>
    </row>
    <row r="414" spans="2:2" ht="15" customHeight="1" x14ac:dyDescent="0.2">
      <c r="B414" s="87" t="s">
        <v>1359</v>
      </c>
    </row>
    <row r="415" spans="2:2" ht="15" customHeight="1" x14ac:dyDescent="0.2">
      <c r="B415" s="87" t="s">
        <v>1360</v>
      </c>
    </row>
    <row r="416" spans="2:2" x14ac:dyDescent="0.2">
      <c r="B416" s="87" t="s">
        <v>1361</v>
      </c>
    </row>
    <row r="419" spans="2:2" ht="15" customHeight="1" x14ac:dyDescent="0.25">
      <c r="B419" s="107" t="s">
        <v>1362</v>
      </c>
    </row>
    <row r="420" spans="2:2" ht="15" customHeight="1" x14ac:dyDescent="0.25">
      <c r="B420" s="107"/>
    </row>
    <row r="421" spans="2:2" ht="15" customHeight="1" x14ac:dyDescent="0.2">
      <c r="B421" s="87" t="s">
        <v>1363</v>
      </c>
    </row>
    <row r="422" spans="2:2" ht="15" customHeight="1" x14ac:dyDescent="0.2">
      <c r="B422" s="88" t="s">
        <v>1364</v>
      </c>
    </row>
    <row r="423" spans="2:2" ht="15" customHeight="1" x14ac:dyDescent="0.2">
      <c r="B423" s="87" t="s">
        <v>1365</v>
      </c>
    </row>
    <row r="424" spans="2:2" ht="15" customHeight="1" x14ac:dyDescent="0.2">
      <c r="B424" s="87" t="s">
        <v>1366</v>
      </c>
    </row>
    <row r="425" spans="2:2" ht="15" customHeight="1" x14ac:dyDescent="0.2">
      <c r="B425" s="87" t="s">
        <v>1367</v>
      </c>
    </row>
    <row r="426" spans="2:2" ht="15" customHeight="1" x14ac:dyDescent="0.2">
      <c r="B426" s="87" t="s">
        <v>1368</v>
      </c>
    </row>
    <row r="427" spans="2:2" ht="15" customHeight="1" x14ac:dyDescent="0.2">
      <c r="B427" s="87" t="s">
        <v>1369</v>
      </c>
    </row>
    <row r="428" spans="2:2" ht="15" customHeight="1" x14ac:dyDescent="0.2">
      <c r="B428" s="88" t="s">
        <v>1370</v>
      </c>
    </row>
    <row r="429" spans="2:2" ht="15" customHeight="1" x14ac:dyDescent="0.2">
      <c r="B429" s="87" t="s">
        <v>1371</v>
      </c>
    </row>
    <row r="430" spans="2:2" ht="15" customHeight="1" x14ac:dyDescent="0.2">
      <c r="B430" s="87" t="s">
        <v>1372</v>
      </c>
    </row>
    <row r="431" spans="2:2" ht="15" customHeight="1" x14ac:dyDescent="0.2">
      <c r="B431" s="87" t="s">
        <v>1373</v>
      </c>
    </row>
    <row r="432" spans="2:2" ht="15" customHeight="1" x14ac:dyDescent="0.2">
      <c r="B432" s="87" t="s">
        <v>1374</v>
      </c>
    </row>
    <row r="433" spans="2:2" x14ac:dyDescent="0.2">
      <c r="B433" s="87" t="s">
        <v>1375</v>
      </c>
    </row>
    <row r="436" spans="2:2" ht="19" customHeight="1" x14ac:dyDescent="0.25">
      <c r="B436" s="107" t="s">
        <v>1376</v>
      </c>
    </row>
    <row r="438" spans="2:2" ht="15" customHeight="1" x14ac:dyDescent="0.2">
      <c r="B438" s="87" t="s">
        <v>1377</v>
      </c>
    </row>
    <row r="439" spans="2:2" ht="15" customHeight="1" x14ac:dyDescent="0.2">
      <c r="B439" s="87" t="s">
        <v>1378</v>
      </c>
    </row>
    <row r="440" spans="2:2" ht="15" customHeight="1" x14ac:dyDescent="0.2">
      <c r="B440" s="87" t="s">
        <v>1379</v>
      </c>
    </row>
    <row r="441" spans="2:2" ht="15" customHeight="1" x14ac:dyDescent="0.2">
      <c r="B441" s="87" t="s">
        <v>1380</v>
      </c>
    </row>
    <row r="442" spans="2:2" ht="15" customHeight="1" x14ac:dyDescent="0.2">
      <c r="B442" s="87" t="s">
        <v>1381</v>
      </c>
    </row>
    <row r="443" spans="2:2" ht="15" customHeight="1" x14ac:dyDescent="0.2">
      <c r="B443" s="87" t="s">
        <v>1382</v>
      </c>
    </row>
    <row r="444" spans="2:2" ht="15" customHeight="1" x14ac:dyDescent="0.2">
      <c r="B444" s="87" t="s">
        <v>1383</v>
      </c>
    </row>
    <row r="445" spans="2:2" ht="15" customHeight="1" x14ac:dyDescent="0.2">
      <c r="B445" s="87" t="s">
        <v>1384</v>
      </c>
    </row>
    <row r="446" spans="2:2" x14ac:dyDescent="0.2">
      <c r="B446" s="87" t="s">
        <v>1385</v>
      </c>
    </row>
    <row r="449" spans="2:2" ht="19" customHeight="1" x14ac:dyDescent="0.25">
      <c r="B449" s="107" t="s">
        <v>1386</v>
      </c>
    </row>
    <row r="451" spans="2:2" x14ac:dyDescent="0.2">
      <c r="B451" s="87" t="s">
        <v>1387</v>
      </c>
    </row>
    <row r="453" spans="2:2" ht="15" customHeight="1" x14ac:dyDescent="0.25">
      <c r="B453" s="97" t="s">
        <v>1388</v>
      </c>
    </row>
    <row r="454" spans="2:2" ht="15" customHeight="1" x14ac:dyDescent="0.25">
      <c r="B454" s="97" t="s">
        <v>1389</v>
      </c>
    </row>
    <row r="455" spans="2:2" ht="15" customHeight="1" x14ac:dyDescent="0.25">
      <c r="B455" s="97" t="s">
        <v>1390</v>
      </c>
    </row>
    <row r="456" spans="2:2" ht="15" customHeight="1" x14ac:dyDescent="0.25">
      <c r="B456" s="97" t="s">
        <v>1391</v>
      </c>
    </row>
    <row r="457" spans="2:2" ht="15" customHeight="1" x14ac:dyDescent="0.25">
      <c r="B457" s="97" t="s">
        <v>1392</v>
      </c>
    </row>
    <row r="458" spans="2:2" ht="15" customHeight="1" x14ac:dyDescent="0.25">
      <c r="B458" s="97" t="s">
        <v>1389</v>
      </c>
    </row>
    <row r="459" spans="2:2" ht="15" customHeight="1" x14ac:dyDescent="0.25">
      <c r="B459" s="97" t="s">
        <v>1390</v>
      </c>
    </row>
    <row r="460" spans="2:2" ht="15" customHeight="1" x14ac:dyDescent="0.25">
      <c r="B460" s="97" t="s">
        <v>1393</v>
      </c>
    </row>
    <row r="461" spans="2:2" ht="15" customHeight="1" x14ac:dyDescent="0.25">
      <c r="B461" s="97" t="s">
        <v>1389</v>
      </c>
    </row>
    <row r="462" spans="2:2" ht="15" customHeight="1" x14ac:dyDescent="0.25">
      <c r="B462" s="97" t="s">
        <v>1394</v>
      </c>
    </row>
    <row r="463" spans="2:2" ht="15" customHeight="1" x14ac:dyDescent="0.25">
      <c r="B463" s="97" t="s">
        <v>1395</v>
      </c>
    </row>
    <row r="464" spans="2:2" ht="15" customHeight="1" x14ac:dyDescent="0.25">
      <c r="B464" s="97" t="s">
        <v>1396</v>
      </c>
    </row>
    <row r="465" spans="2:2" ht="15" customHeight="1" x14ac:dyDescent="0.25">
      <c r="B465" s="97" t="s">
        <v>1397</v>
      </c>
    </row>
    <row r="466" spans="2:2" ht="15" customHeight="1" x14ac:dyDescent="0.25">
      <c r="B466" s="97" t="s">
        <v>1398</v>
      </c>
    </row>
    <row r="467" spans="2:2" ht="16" customHeight="1" x14ac:dyDescent="0.25">
      <c r="B467" s="97" t="s">
        <v>1399</v>
      </c>
    </row>
    <row r="469" spans="2:2" x14ac:dyDescent="0.2">
      <c r="B469" s="87" t="s">
        <v>1400</v>
      </c>
    </row>
    <row r="472" spans="2:2" ht="19" customHeight="1" x14ac:dyDescent="0.25">
      <c r="B472" s="107" t="s">
        <v>1401</v>
      </c>
    </row>
    <row r="474" spans="2:2" ht="15" customHeight="1" x14ac:dyDescent="0.2">
      <c r="B474" s="87" t="s">
        <v>1402</v>
      </c>
    </row>
    <row r="475" spans="2:2" ht="15" customHeight="1" x14ac:dyDescent="0.2">
      <c r="B475" s="87" t="s">
        <v>1403</v>
      </c>
    </row>
    <row r="476" spans="2:2" ht="15" customHeight="1" x14ac:dyDescent="0.2">
      <c r="B476" s="88" t="s">
        <v>1404</v>
      </c>
    </row>
    <row r="477" spans="2:2" ht="15" customHeight="1" x14ac:dyDescent="0.2">
      <c r="B477" s="88" t="s">
        <v>1405</v>
      </c>
    </row>
    <row r="478" spans="2:2" ht="15" customHeight="1" x14ac:dyDescent="0.2">
      <c r="B478" s="88" t="s">
        <v>1406</v>
      </c>
    </row>
    <row r="479" spans="2:2" ht="15" customHeight="1" x14ac:dyDescent="0.2">
      <c r="B479" s="88" t="s">
        <v>1407</v>
      </c>
    </row>
    <row r="480" spans="2:2" x14ac:dyDescent="0.2">
      <c r="B480" s="88" t="s">
        <v>1408</v>
      </c>
    </row>
    <row r="482" spans="1:2" x14ac:dyDescent="0.2">
      <c r="B482" s="87" t="s">
        <v>1409</v>
      </c>
    </row>
    <row r="483" spans="1:2" ht="21" customHeight="1" x14ac:dyDescent="0.2"/>
    <row r="484" spans="1:2" ht="21" customHeight="1" x14ac:dyDescent="0.2">
      <c r="A484" t="s">
        <v>1066</v>
      </c>
      <c r="B484" s="84" t="s">
        <v>1410</v>
      </c>
    </row>
    <row r="485" spans="1:2" x14ac:dyDescent="0.2">
      <c r="A485" t="s">
        <v>1068</v>
      </c>
      <c r="B485" t="s">
        <v>1411</v>
      </c>
    </row>
    <row r="486" spans="1:2" ht="21" customHeight="1" x14ac:dyDescent="0.2"/>
    <row r="487" spans="1:2" ht="17" customHeight="1" x14ac:dyDescent="0.2">
      <c r="B487" s="59" t="s">
        <v>1412</v>
      </c>
    </row>
    <row r="488" spans="1:2" ht="21" customHeight="1" x14ac:dyDescent="0.2"/>
    <row r="489" spans="1:2" ht="21" customHeight="1" x14ac:dyDescent="0.2">
      <c r="B489" t="s">
        <v>1413</v>
      </c>
    </row>
    <row r="490" spans="1:2" x14ac:dyDescent="0.2">
      <c r="B490" t="s">
        <v>1414</v>
      </c>
    </row>
    <row r="491" spans="1:2" ht="21" customHeight="1" x14ac:dyDescent="0.2"/>
    <row r="492" spans="1:2" x14ac:dyDescent="0.2">
      <c r="B492" s="60" t="s">
        <v>1415</v>
      </c>
    </row>
    <row r="493" spans="1:2" ht="21" customHeight="1" x14ac:dyDescent="0.2"/>
    <row r="494" spans="1:2" ht="21" customHeight="1" x14ac:dyDescent="0.2">
      <c r="B494" t="s">
        <v>1416</v>
      </c>
    </row>
    <row r="495" spans="1:2" ht="21" customHeight="1" x14ac:dyDescent="0.25">
      <c r="B495" s="67" t="s">
        <v>1417</v>
      </c>
    </row>
    <row r="496" spans="1:2" x14ac:dyDescent="0.2">
      <c r="B496" t="s">
        <v>1418</v>
      </c>
    </row>
    <row r="497" spans="2:3" ht="21" customHeight="1" x14ac:dyDescent="0.2"/>
    <row r="498" spans="2:3" x14ac:dyDescent="0.2">
      <c r="B498" t="s">
        <v>1419</v>
      </c>
    </row>
    <row r="499" spans="2:3" ht="21" customHeight="1" x14ac:dyDescent="0.2"/>
    <row r="500" spans="2:3" ht="21" customHeight="1" x14ac:dyDescent="0.2">
      <c r="B500" s="60" t="s">
        <v>1420</v>
      </c>
      <c r="C500" s="60" t="s">
        <v>1421</v>
      </c>
    </row>
    <row r="501" spans="2:3" ht="21" customHeight="1" x14ac:dyDescent="0.2">
      <c r="B501" t="s">
        <v>1422</v>
      </c>
      <c r="C501" t="s">
        <v>324</v>
      </c>
    </row>
    <row r="502" spans="2:3" ht="21" customHeight="1" x14ac:dyDescent="0.2">
      <c r="B502" t="s">
        <v>1423</v>
      </c>
      <c r="C502" t="s">
        <v>1424</v>
      </c>
    </row>
    <row r="503" spans="2:3" ht="21" customHeight="1" x14ac:dyDescent="0.2">
      <c r="B503" t="s">
        <v>1425</v>
      </c>
      <c r="C503" t="s">
        <v>331</v>
      </c>
    </row>
    <row r="504" spans="2:3" ht="21" customHeight="1" x14ac:dyDescent="0.2">
      <c r="B504" t="s">
        <v>1426</v>
      </c>
      <c r="C504" t="s">
        <v>331</v>
      </c>
    </row>
    <row r="505" spans="2:3" ht="21" customHeight="1" x14ac:dyDescent="0.2">
      <c r="B505" t="s">
        <v>1427</v>
      </c>
      <c r="C505" t="s">
        <v>338</v>
      </c>
    </row>
    <row r="506" spans="2:3" x14ac:dyDescent="0.2">
      <c r="B506" t="s">
        <v>1428</v>
      </c>
      <c r="C506" t="s">
        <v>345</v>
      </c>
    </row>
    <row r="507" spans="2:3" ht="21" customHeight="1" x14ac:dyDescent="0.2"/>
    <row r="508" spans="2:3" x14ac:dyDescent="0.2">
      <c r="B508" t="s">
        <v>1429</v>
      </c>
    </row>
    <row r="510" spans="2:3" ht="21" customHeight="1" x14ac:dyDescent="0.2"/>
    <row r="511" spans="2:3" ht="17" customHeight="1" x14ac:dyDescent="0.2">
      <c r="B511" s="59" t="s">
        <v>1430</v>
      </c>
    </row>
    <row r="512" spans="2:3" ht="21" customHeight="1" x14ac:dyDescent="0.2"/>
    <row r="513" spans="2:2" x14ac:dyDescent="0.2">
      <c r="B513" t="s">
        <v>1431</v>
      </c>
    </row>
    <row r="514" spans="2:2" s="68" customFormat="1" ht="21" customHeight="1" x14ac:dyDescent="0.2"/>
    <row r="515" spans="2:2" ht="17" customHeight="1" x14ac:dyDescent="0.2">
      <c r="B515" s="69" t="s">
        <v>343</v>
      </c>
    </row>
    <row r="516" spans="2:2" ht="21" customHeight="1" x14ac:dyDescent="0.2"/>
    <row r="517" spans="2:2" ht="21" customHeight="1" x14ac:dyDescent="0.2">
      <c r="B517" t="s">
        <v>1432</v>
      </c>
    </row>
    <row r="518" spans="2:2" ht="21" customHeight="1" x14ac:dyDescent="0.2">
      <c r="B518" t="s">
        <v>1433</v>
      </c>
    </row>
    <row r="519" spans="2:2" ht="21" customHeight="1" x14ac:dyDescent="0.2">
      <c r="B519" t="s">
        <v>1434</v>
      </c>
    </row>
    <row r="520" spans="2:2" ht="21" customHeight="1" x14ac:dyDescent="0.2">
      <c r="B520" t="s">
        <v>1435</v>
      </c>
    </row>
    <row r="521" spans="2:2" ht="21" customHeight="1" x14ac:dyDescent="0.2">
      <c r="B521" t="s">
        <v>1436</v>
      </c>
    </row>
    <row r="522" spans="2:2" ht="21" customHeight="1" x14ac:dyDescent="0.2">
      <c r="B522" t="s">
        <v>1437</v>
      </c>
    </row>
    <row r="523" spans="2:2" ht="21" customHeight="1" x14ac:dyDescent="0.2">
      <c r="B523" t="s">
        <v>1438</v>
      </c>
    </row>
    <row r="524" spans="2:2" ht="21" customHeight="1" x14ac:dyDescent="0.2">
      <c r="B524" t="s">
        <v>1439</v>
      </c>
    </row>
    <row r="525" spans="2:2" ht="21" customHeight="1" x14ac:dyDescent="0.2">
      <c r="B525" t="s">
        <v>1440</v>
      </c>
    </row>
    <row r="526" spans="2:2" x14ac:dyDescent="0.2">
      <c r="B526" t="s">
        <v>1441</v>
      </c>
    </row>
    <row r="527" spans="2:2" ht="21" customHeight="1" x14ac:dyDescent="0.2"/>
    <row r="528" spans="2:2" ht="21" customHeight="1" x14ac:dyDescent="0.2">
      <c r="B528" t="s">
        <v>1442</v>
      </c>
    </row>
    <row r="529" spans="2:7" x14ac:dyDescent="0.2">
      <c r="B529" t="s">
        <v>1443</v>
      </c>
    </row>
    <row r="530" spans="2:7" ht="21" customHeight="1" x14ac:dyDescent="0.2"/>
    <row r="531" spans="2:7" x14ac:dyDescent="0.2">
      <c r="B531" t="s">
        <v>1444</v>
      </c>
    </row>
    <row r="532" spans="2:7" s="68" customFormat="1" ht="21" customHeight="1" x14ac:dyDescent="0.2"/>
    <row r="533" spans="2:7" ht="21" customHeight="1" x14ac:dyDescent="0.2">
      <c r="B533" s="59" t="s">
        <v>498</v>
      </c>
      <c r="C533" s="59" t="s">
        <v>499</v>
      </c>
    </row>
    <row r="534" spans="2:7" ht="21" customHeight="1" x14ac:dyDescent="0.2">
      <c r="B534" s="70" t="s">
        <v>379</v>
      </c>
      <c r="C534" s="70" t="s">
        <v>504</v>
      </c>
      <c r="F534" s="68"/>
      <c r="G534" s="68"/>
    </row>
    <row r="535" spans="2:7" ht="21" customHeight="1" x14ac:dyDescent="0.2">
      <c r="B535" s="71" t="s">
        <v>390</v>
      </c>
      <c r="C535" s="71" t="s">
        <v>509</v>
      </c>
      <c r="F535" s="68"/>
      <c r="G535" s="68"/>
    </row>
    <row r="536" spans="2:7" ht="21" customHeight="1" x14ac:dyDescent="0.2">
      <c r="B536" s="72" t="s">
        <v>400</v>
      </c>
      <c r="C536" s="72" t="s">
        <v>513</v>
      </c>
      <c r="F536" s="68"/>
      <c r="G536" s="68"/>
    </row>
    <row r="537" spans="2:7" ht="21" customHeight="1" x14ac:dyDescent="0.2">
      <c r="B537" s="73" t="s">
        <v>516</v>
      </c>
      <c r="C537" s="73" t="s">
        <v>517</v>
      </c>
      <c r="F537" s="68"/>
      <c r="G537" s="68"/>
    </row>
    <row r="538" spans="2:7" ht="16.5" customHeight="1" x14ac:dyDescent="0.2">
      <c r="B538" s="74" t="s">
        <v>431</v>
      </c>
      <c r="C538" s="74" t="s">
        <v>523</v>
      </c>
      <c r="F538" s="68"/>
      <c r="G538" s="68"/>
    </row>
    <row r="539" spans="2:7" ht="21" customHeight="1" x14ac:dyDescent="0.2">
      <c r="F539" s="68"/>
      <c r="G539" s="68"/>
    </row>
    <row r="540" spans="2:7" x14ac:dyDescent="0.2">
      <c r="B540" t="s">
        <v>1445</v>
      </c>
    </row>
    <row r="542" spans="2:7" ht="21" customHeight="1" x14ac:dyDescent="0.2"/>
    <row r="543" spans="2:7" ht="17" customHeight="1" x14ac:dyDescent="0.2">
      <c r="B543" s="59" t="s">
        <v>1446</v>
      </c>
    </row>
    <row r="544" spans="2:7" ht="21" customHeight="1" x14ac:dyDescent="0.2"/>
    <row r="545" spans="2:2" ht="21" customHeight="1" x14ac:dyDescent="0.2">
      <c r="B545" t="s">
        <v>1447</v>
      </c>
    </row>
    <row r="546" spans="2:2" ht="21" customHeight="1" x14ac:dyDescent="0.2">
      <c r="B546" t="s">
        <v>1448</v>
      </c>
    </row>
    <row r="547" spans="2:2" ht="21" customHeight="1" x14ac:dyDescent="0.2">
      <c r="B547" t="s">
        <v>1449</v>
      </c>
    </row>
    <row r="548" spans="2:2" ht="21" customHeight="1" x14ac:dyDescent="0.2">
      <c r="B548" t="s">
        <v>1450</v>
      </c>
    </row>
    <row r="549" spans="2:2" ht="21" customHeight="1" x14ac:dyDescent="0.2">
      <c r="B549" t="s">
        <v>1451</v>
      </c>
    </row>
    <row r="550" spans="2:2" ht="21" customHeight="1" x14ac:dyDescent="0.2">
      <c r="B550" t="s">
        <v>1452</v>
      </c>
    </row>
    <row r="551" spans="2:2" ht="21" customHeight="1" x14ac:dyDescent="0.2">
      <c r="B551" t="s">
        <v>1453</v>
      </c>
    </row>
    <row r="552" spans="2:2" x14ac:dyDescent="0.2">
      <c r="B552" t="s">
        <v>1454</v>
      </c>
    </row>
    <row r="553" spans="2:2" ht="21" customHeight="1" x14ac:dyDescent="0.2"/>
    <row r="554" spans="2:2" ht="21" customHeight="1" x14ac:dyDescent="0.2">
      <c r="B554" t="s">
        <v>1455</v>
      </c>
    </row>
    <row r="555" spans="2:2" ht="21" customHeight="1" x14ac:dyDescent="0.25">
      <c r="B555" s="67" t="s">
        <v>1456</v>
      </c>
    </row>
    <row r="556" spans="2:2" ht="21" customHeight="1" x14ac:dyDescent="0.25">
      <c r="B556" s="67" t="s">
        <v>1457</v>
      </c>
    </row>
    <row r="557" spans="2:2" ht="21" customHeight="1" x14ac:dyDescent="0.25">
      <c r="B557" s="67" t="s">
        <v>1458</v>
      </c>
    </row>
    <row r="558" spans="2:2" ht="16" customHeight="1" x14ac:dyDescent="0.25">
      <c r="B558" s="67" t="s">
        <v>1459</v>
      </c>
    </row>
    <row r="559" spans="2:2" ht="21" customHeight="1" x14ac:dyDescent="0.2"/>
    <row r="560" spans="2:2" x14ac:dyDescent="0.2">
      <c r="B560" t="s">
        <v>1460</v>
      </c>
    </row>
    <row r="561" spans="2:3" ht="21" customHeight="1" x14ac:dyDescent="0.2"/>
    <row r="562" spans="2:3" ht="21" customHeight="1" x14ac:dyDescent="0.2">
      <c r="B562" s="60" t="s">
        <v>1461</v>
      </c>
      <c r="C562" s="60" t="s">
        <v>365</v>
      </c>
    </row>
    <row r="563" spans="2:3" ht="21" customHeight="1" x14ac:dyDescent="0.2">
      <c r="B563" t="s">
        <v>1462</v>
      </c>
      <c r="C563" t="s">
        <v>1463</v>
      </c>
    </row>
    <row r="564" spans="2:3" ht="21" customHeight="1" x14ac:dyDescent="0.2">
      <c r="B564" t="s">
        <v>1464</v>
      </c>
      <c r="C564" t="s">
        <v>1465</v>
      </c>
    </row>
    <row r="565" spans="2:3" ht="21" customHeight="1" x14ac:dyDescent="0.2">
      <c r="B565" t="s">
        <v>1466</v>
      </c>
      <c r="C565" t="s">
        <v>1467</v>
      </c>
    </row>
    <row r="566" spans="2:3" x14ac:dyDescent="0.2">
      <c r="B566" t="s">
        <v>1468</v>
      </c>
      <c r="C566" t="s">
        <v>1469</v>
      </c>
    </row>
    <row r="567" spans="2:3" ht="21" customHeight="1" x14ac:dyDescent="0.2"/>
    <row r="568" spans="2:3" ht="21" customHeight="1" x14ac:dyDescent="0.2">
      <c r="B568" t="s">
        <v>1470</v>
      </c>
    </row>
    <row r="569" spans="2:3" ht="16" customHeight="1" x14ac:dyDescent="0.25">
      <c r="B569" s="67" t="s">
        <v>1471</v>
      </c>
    </row>
    <row r="570" spans="2:3" ht="21" customHeight="1" x14ac:dyDescent="0.2"/>
    <row r="571" spans="2:3" ht="21" customHeight="1" x14ac:dyDescent="0.2">
      <c r="B571" t="s">
        <v>1472</v>
      </c>
    </row>
    <row r="572" spans="2:3" x14ac:dyDescent="0.2">
      <c r="B572" t="s">
        <v>1473</v>
      </c>
    </row>
    <row r="573" spans="2:3" ht="21" customHeight="1" x14ac:dyDescent="0.2"/>
    <row r="574" spans="2:3" x14ac:dyDescent="0.2">
      <c r="B574" t="s">
        <v>1474</v>
      </c>
    </row>
    <row r="575" spans="2:3" ht="21" customHeight="1" x14ac:dyDescent="0.2"/>
    <row r="576" spans="2:3" ht="21" customHeight="1" x14ac:dyDescent="0.25">
      <c r="B576" s="67" t="s">
        <v>1475</v>
      </c>
    </row>
    <row r="577" spans="1:2" ht="21" customHeight="1" x14ac:dyDescent="0.25">
      <c r="B577" s="67" t="s">
        <v>1476</v>
      </c>
    </row>
    <row r="578" spans="1:2" ht="21" customHeight="1" x14ac:dyDescent="0.25">
      <c r="B578" s="67" t="s">
        <v>1477</v>
      </c>
    </row>
    <row r="579" spans="1:2" ht="16" customHeight="1" x14ac:dyDescent="0.25">
      <c r="B579" s="67" t="s">
        <v>1478</v>
      </c>
    </row>
    <row r="580" spans="1:2" ht="21" customHeight="1" x14ac:dyDescent="0.2"/>
    <row r="581" spans="1:2" x14ac:dyDescent="0.2">
      <c r="B581" t="s">
        <v>1479</v>
      </c>
    </row>
    <row r="582" spans="1:2" ht="21" customHeight="1" x14ac:dyDescent="0.2"/>
    <row r="583" spans="1:2" ht="21" customHeight="1" x14ac:dyDescent="0.25">
      <c r="B583" s="67" t="s">
        <v>1480</v>
      </c>
    </row>
    <row r="584" spans="1:2" ht="21" customHeight="1" x14ac:dyDescent="0.25">
      <c r="B584" s="67" t="s">
        <v>1481</v>
      </c>
    </row>
    <row r="585" spans="1:2" ht="16" customHeight="1" x14ac:dyDescent="0.25">
      <c r="B585" s="67" t="s">
        <v>1482</v>
      </c>
    </row>
    <row r="587" spans="1:2" ht="15" customHeight="1" x14ac:dyDescent="0.2">
      <c r="A587" s="87" t="s">
        <v>1066</v>
      </c>
      <c r="B587" s="84" t="s">
        <v>1483</v>
      </c>
    </row>
    <row r="588" spans="1:2" x14ac:dyDescent="0.2">
      <c r="A588" s="87" t="s">
        <v>1068</v>
      </c>
      <c r="B588" s="87" t="s">
        <v>1484</v>
      </c>
    </row>
    <row r="590" spans="1:2" ht="24" customHeight="1" x14ac:dyDescent="0.3">
      <c r="B590" s="89" t="s">
        <v>1485</v>
      </c>
    </row>
    <row r="592" spans="1:2" x14ac:dyDescent="0.2">
      <c r="B592" s="87" t="s">
        <v>1486</v>
      </c>
    </row>
    <row r="594" spans="2:2" ht="15" customHeight="1" x14ac:dyDescent="0.2">
      <c r="B594" s="88" t="s">
        <v>1487</v>
      </c>
    </row>
    <row r="595" spans="2:2" ht="15" customHeight="1" x14ac:dyDescent="0.2">
      <c r="B595" s="88" t="s">
        <v>1488</v>
      </c>
    </row>
    <row r="596" spans="2:2" ht="15" customHeight="1" x14ac:dyDescent="0.2">
      <c r="B596" s="88" t="s">
        <v>1489</v>
      </c>
    </row>
    <row r="597" spans="2:2" x14ac:dyDescent="0.2">
      <c r="B597" s="88" t="s">
        <v>1490</v>
      </c>
    </row>
    <row r="599" spans="2:2" x14ac:dyDescent="0.2">
      <c r="B599" s="87" t="s">
        <v>1491</v>
      </c>
    </row>
    <row r="601" spans="2:2" x14ac:dyDescent="0.2">
      <c r="B601" s="87" t="s">
        <v>1492</v>
      </c>
    </row>
    <row r="603" spans="2:2" x14ac:dyDescent="0.2">
      <c r="B603" s="87" t="s">
        <v>1493</v>
      </c>
    </row>
    <row r="605" spans="2:2" ht="15" customHeight="1" x14ac:dyDescent="0.2">
      <c r="B605" s="88" t="s">
        <v>1494</v>
      </c>
    </row>
    <row r="606" spans="2:2" x14ac:dyDescent="0.2">
      <c r="B606" s="88" t="s">
        <v>1495</v>
      </c>
    </row>
    <row r="608" spans="2:2" ht="24" customHeight="1" x14ac:dyDescent="0.3">
      <c r="B608" s="89" t="s">
        <v>1496</v>
      </c>
    </row>
    <row r="610" spans="2:2" x14ac:dyDescent="0.2">
      <c r="B610" s="87" t="s">
        <v>1497</v>
      </c>
    </row>
    <row r="612" spans="2:2" x14ac:dyDescent="0.2">
      <c r="B612" s="87" t="s">
        <v>1498</v>
      </c>
    </row>
    <row r="614" spans="2:2" x14ac:dyDescent="0.2">
      <c r="B614" s="87" t="s">
        <v>1499</v>
      </c>
    </row>
    <row r="616" spans="2:2" ht="15" customHeight="1" x14ac:dyDescent="0.2">
      <c r="B616" s="88" t="s">
        <v>1500</v>
      </c>
    </row>
    <row r="617" spans="2:2" ht="15" customHeight="1" x14ac:dyDescent="0.2">
      <c r="B617" s="88" t="s">
        <v>1501</v>
      </c>
    </row>
    <row r="618" spans="2:2" x14ac:dyDescent="0.2">
      <c r="B618" s="88" t="s">
        <v>1502</v>
      </c>
    </row>
    <row r="620" spans="2:2" x14ac:dyDescent="0.2">
      <c r="B620" s="87" t="s">
        <v>1503</v>
      </c>
    </row>
    <row r="622" spans="2:2" ht="24" customHeight="1" x14ac:dyDescent="0.3">
      <c r="B622" s="89" t="s">
        <v>1504</v>
      </c>
    </row>
    <row r="624" spans="2:2" x14ac:dyDescent="0.2">
      <c r="B624" s="87" t="s">
        <v>1505</v>
      </c>
    </row>
    <row r="626" spans="2:2" ht="15" customHeight="1" x14ac:dyDescent="0.2">
      <c r="B626" s="88" t="s">
        <v>1506</v>
      </c>
    </row>
    <row r="627" spans="2:2" x14ac:dyDescent="0.2">
      <c r="B627" s="88" t="s">
        <v>1507</v>
      </c>
    </row>
    <row r="629" spans="2:2" x14ac:dyDescent="0.2">
      <c r="B629" s="87" t="s">
        <v>1508</v>
      </c>
    </row>
    <row r="631" spans="2:2" x14ac:dyDescent="0.2">
      <c r="B631" s="87" t="s">
        <v>1509</v>
      </c>
    </row>
    <row r="635" spans="2:2" x14ac:dyDescent="0.2">
      <c r="B635" s="87" t="s">
        <v>1510</v>
      </c>
    </row>
    <row r="637" spans="2:2" ht="15" customHeight="1" x14ac:dyDescent="0.2">
      <c r="B637" s="88" t="s">
        <v>1511</v>
      </c>
    </row>
    <row r="638" spans="2:2" x14ac:dyDescent="0.2">
      <c r="B638" s="88" t="s">
        <v>1512</v>
      </c>
    </row>
    <row r="640" spans="2:2" x14ac:dyDescent="0.2">
      <c r="B640" s="87" t="s">
        <v>1513</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START HERE</vt:lpstr>
      <vt:lpstr>Product Catalogue</vt:lpstr>
      <vt:lpstr>Package Reference</vt:lpstr>
      <vt:lpstr>Complexity Reference</vt:lpstr>
      <vt:lpstr>Quote Calculator</vt:lpstr>
      <vt:lpstr>ROI App</vt:lpstr>
      <vt:lpstr>ROI App_v1</vt:lpstr>
      <vt:lpstr>ROI App_v0</vt:lpstr>
      <vt:lpstr>Example Quotes</vt:lpstr>
      <vt:lpstr>Access Models</vt:lpstr>
      <vt:lpstr>Access &amp; Licence Pricing</vt:lpstr>
      <vt:lpstr>Front-Door Tools —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2026-08-30T13:20:28Z</dcterms:modified>
  <dc:language>en-US</dc:language>
</cp:coreProperties>
</file>