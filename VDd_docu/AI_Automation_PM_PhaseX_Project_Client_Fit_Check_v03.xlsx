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Fit Check" sheetId="2" state="visible" r:id="rId4"/>
    <sheet name="Fit Check Archiv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<sst xmlns="http://schemas.openxmlformats.org/spreadsheetml/2006/main" count="105" uniqueCount="103">
  <si>
    <t xml:space="preserve">Client Fit-Check Helper</t>
  </si>
  <si>
    <t xml:space="preserve">Run this BEFORE the Kickoff Wizard, when you're considering a new prospect. 10 quick questions → an honest verdict on whether to take this client. Saying no to bad-fit projects is one of the highest-ROI moves in services work.</t>
  </si>
  <si>
    <t xml:space="preserve">When to run a Fit Check</t>
  </si>
  <si>
    <t xml:space="preserve">When</t>
  </si>
  <si>
    <t xml:space="preserve">Why</t>
  </si>
  <si>
    <t xml:space="preserve">After first contact</t>
  </si>
  <si>
    <t xml:space="preserve">Even 5 minutes of the conversation is enough to fill most fields. Run it before sending a proposal.</t>
  </si>
  <si>
    <t xml:space="preserve">Before sending pricing</t>
  </si>
  <si>
    <t xml:space="preserve">A fit check often shifts which package range you propose.</t>
  </si>
  <si>
    <t xml:space="preserve">Gut says hesitate</t>
  </si>
  <si>
    <t xml:space="preserve">If you're already feeling uncertain, the Fit Check usually surfaces why.</t>
  </si>
  <si>
    <t xml:space="preserve">Inbound vs referral</t>
  </si>
  <si>
    <t xml:space="preserve">Inbound prospects have higher fit-check failure rates than referrals. Worth checking before investing time.</t>
  </si>
  <si>
    <t xml:space="preserve">How verdicts work</t>
  </si>
  <si>
    <t xml:space="preserve">GOOD FIT</t>
  </si>
  <si>
    <t xml:space="preserve">0–1 amber flags, 0 red flags. Proceed to Kickoff Wizard.</t>
  </si>
  <si>
    <t xml:space="preserve">PROCEED WITH CAUTION</t>
  </si>
  <si>
    <t xml:space="preserve">2+ amber flags OR 1 red flag with acknowledged context. Proceed if you can address the specific concerns; the helper lists them.</t>
  </si>
  <si>
    <t xml:space="preserve">DECLINE</t>
  </si>
  <si>
    <t xml:space="preserve">2+ red flags OR specific decline triggers (unrealistic timeline + no negotiation; demand for full IP at low price; etc.). Politely refer elsewhere or set very different terms.</t>
  </si>
  <si>
    <t xml:space="preserve">Honest note</t>
  </si>
  <si>
    <t xml:space="preserve">This helper does decision support, not the decision. A DECLINE result based on tight budget + tight timeline might still be a good project if there's a strong personal referral and you'd take a learning loss. The PM verdict overrides — but you'll have documented WHY you overrode, which helps later when reviewing patterns.</t>
  </si>
  <si>
    <t xml:space="preserve">Client Fit Check — pre-engagement triage</t>
  </si>
  <si>
    <t xml:space="preserve">Fill the 10 yellow inputs about this prospect. The blue cells compute the verdict, specific concerns, and recommended package range. Takes 3 minutes if you have basic info.</t>
  </si>
  <si>
    <t xml:space="preserve">INPUTS — about this prospect</t>
  </si>
  <si>
    <t xml:space="preserve">#</t>
  </si>
  <si>
    <t xml:space="preserve">Question</t>
  </si>
  <si>
    <t xml:space="preserve">Allowed values</t>
  </si>
  <si>
    <t xml:space="preserve">Answer</t>
  </si>
  <si>
    <t xml:space="preserve">Q1</t>
  </si>
  <si>
    <t xml:space="preserve">Q1. Budget realism</t>
  </si>
  <si>
    <t xml:space="preserve">Realistic / Tight but workable / Below market / Not yet discussed</t>
  </si>
  <si>
    <t xml:space="preserve">Not yet discussed</t>
  </si>
  <si>
    <t xml:space="preserve">Q2</t>
  </si>
  <si>
    <t xml:space="preserve">Q2. Timeline</t>
  </si>
  <si>
    <t xml:space="preserve">Realistic (3+ months) / Tight (1-2 months) / Unrealistic (&lt;1 month) / Open</t>
  </si>
  <si>
    <t xml:space="preserve">Open / flexible</t>
  </si>
  <si>
    <t xml:space="preserve">Q3</t>
  </si>
  <si>
    <t xml:space="preserve">Q3. Decision-maker access</t>
  </si>
  <si>
    <t xml:space="preserve">Who decides? Are you talking to them?</t>
  </si>
  <si>
    <t xml:space="preserve">Direct access to decision-maker</t>
  </si>
  <si>
    <t xml:space="preserve">Q4</t>
  </si>
  <si>
    <t xml:space="preserve">Q4. Previous automation experience</t>
  </si>
  <si>
    <t xml:space="preserve">Have they used automation/AI before?</t>
  </si>
  <si>
    <t xml:space="preserve">Unknown</t>
  </si>
  <si>
    <t xml:space="preserve">Q5</t>
  </si>
  <si>
    <t xml:space="preserve">Q5. Content sensitivity</t>
  </si>
  <si>
    <t xml:space="preserve">None — standard business / Low (content, marketing, scheduling, e-commerce) / Medium (communications, document routing, internal ops) / Financial data / Medical or health / Legal / Multiple sensitive areas</t>
  </si>
  <si>
    <t xml:space="preserve">None — standard business</t>
  </si>
  <si>
    <t xml:space="preserve">Q6</t>
  </si>
  <si>
    <t xml:space="preserve">Q6. Ownership preference</t>
  </si>
  <si>
    <t xml:space="preserve">How does the client see the system long-term?</t>
  </si>
  <si>
    <t xml:space="preserve">Unsure / flexible</t>
  </si>
  <si>
    <t xml:space="preserve">Q7</t>
  </si>
  <si>
    <t xml:space="preserve">Q7. Payment terms acceptance</t>
  </si>
  <si>
    <t xml:space="preserve">How do they react to standard payment terms (e.g. 50% upfront)?</t>
  </si>
  <si>
    <t xml:space="preserve">Q8</t>
  </si>
  <si>
    <t xml:space="preserve">Q8. Communication style fit</t>
  </si>
  <si>
    <t xml:space="preserve">Based on emails/calls so far.</t>
  </si>
  <si>
    <t xml:space="preserve">Not yet known</t>
  </si>
  <si>
    <t xml:space="preserve">Q9</t>
  </si>
  <si>
    <t xml:space="preserve">Q9. Referral source</t>
  </si>
  <si>
    <t xml:space="preserve">How did this lead come in?</t>
  </si>
  <si>
    <t xml:space="preserve">Cold inbound</t>
  </si>
  <si>
    <t xml:space="preserve">Q10</t>
  </si>
  <si>
    <t xml:space="preserve">Q10. Red flag check</t>
  </si>
  <si>
    <t xml:space="preserve">Any of: aggressive timeline + price pressure / wants full IP at low price / burnt by another vendor with no acknowledgment / demands custom contract terms</t>
  </si>
  <si>
    <t xml:space="preserve">None of these</t>
  </si>
  <si>
    <t xml:space="preserve">VERDICT (auto-calculated)</t>
  </si>
  <si>
    <t xml:space="preserve">Indicator</t>
  </si>
  <si>
    <t xml:space="preserve">Value (formula)</t>
  </si>
  <si>
    <t xml:space="preserve">Reasoning hint</t>
  </si>
  <si>
    <t xml:space="preserve">O1</t>
  </si>
  <si>
    <t xml:space="preserve">Red flags (count)</t>
  </si>
  <si>
    <t xml:space="preserve">Strong negative signals. 2+ → DECLINE.</t>
  </si>
  <si>
    <t xml:space="preserve">O2</t>
  </si>
  <si>
    <t xml:space="preserve">Amber flags (count)</t>
  </si>
  <si>
    <t xml:space="preserve">Moderate concerns. 2+ → PROCEED WITH CAUTION.</t>
  </si>
  <si>
    <t xml:space="preserve">O3</t>
  </si>
  <si>
    <t xml:space="preserve">Verdict</t>
  </si>
  <si>
    <t xml:space="preserve">Computed from red + amber flag counts.</t>
  </si>
  <si>
    <t xml:space="preserve">O4</t>
  </si>
  <si>
    <t xml:space="preserve">Specific concerns</t>
  </si>
  <si>
    <t xml:space="preserve">Auto-listed from problematic answers.</t>
  </si>
  <si>
    <t xml:space="preserve">O5</t>
  </si>
  <si>
    <t xml:space="preserve">Recommended package range</t>
  </si>
  <si>
    <t xml:space="preserve">Based on sensitivity + automation type. Finance/health/legal → Pro or Managed regardless of other signals. Document processing and ops → review validation and human-review requirements. Content/scheduling/e-commerce → typically low sensitivity; start Basic.</t>
  </si>
  <si>
    <t xml:space="preserve">O6</t>
  </si>
  <si>
    <t xml:space="preserve">Recommended action</t>
  </si>
  <si>
    <t xml:space="preserve">What to do next based on verdict.</t>
  </si>
  <si>
    <t xml:space="preserve">O7</t>
  </si>
  <si>
    <t xml:space="preserve">Decline reason / proposal conditions</t>
  </si>
  <si>
    <t xml:space="preserve">If DECLINE: reason. If CAUTION: what to address in the proposal.</t>
  </si>
  <si>
    <t xml:space="preserve">Fit Check Archive</t>
  </si>
  <si>
    <t xml:space="preserve">Optional: log each fit-check you run + how it played out. After 5-10 entries, patterns become visible — "every cold-inbound prospect I took on lost money," etc.</t>
  </si>
  <si>
    <t xml:space="preserve">Date</t>
  </si>
  <si>
    <t xml:space="preserve">Prospect</t>
  </si>
  <si>
    <t xml:space="preserve">Referral source</t>
  </si>
  <si>
    <t xml:space="preserve">Verdict at fit check</t>
  </si>
  <si>
    <t xml:space="preserve">Decision (proceed?)</t>
  </si>
  <si>
    <t xml:space="preserve">Actual outcome</t>
  </si>
  <si>
    <t xml:space="preserve">Profitability</t>
  </si>
  <si>
    <t xml:space="preserve">Lessons learned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</si>
</sst>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E7E6E6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FCE4E4"/>
        <bgColor rgb="FFE7E6E6"/>
      </patternFill>
    </fill>
    <fill>
      <patternFill patternType="solid">
        <fgColor rgb="FFD9EAF7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E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5"/>
  </cols>
  <sheetData>
    <row r="1" customFormat="false" ht="24" hidden="false" customHeight="true" outlineLevel="0" collapsed="false">
      <c r="A1" s="2" t="s">
        <v>0</v>
      </c>
      <c r="B1" s="2"/>
    </row>
    <row r="2" customFormat="false" ht="60" hidden="false" customHeight="true" outlineLevel="0" collapsed="false">
      <c r="A2" s="3" t="s">
        <v>1</v>
      </c>
      <c r="B2" s="3"/>
    </row>
    <row r="4" customFormat="false" ht="21.75" hidden="false" customHeight="true" outlineLevel="0" collapsed="false">
      <c r="A4" s="4" t="s">
        <v>2</v>
      </c>
      <c r="B4" s="4"/>
    </row>
    <row r="5" customFormat="false" ht="21.75" hidden="false" customHeight="true" outlineLevel="0" collapsed="false">
      <c r="A5" s="5" t="s">
        <v>3</v>
      </c>
      <c r="B5" s="5" t="s">
        <v>4</v>
      </c>
    </row>
    <row r="6" customFormat="false" ht="34.5" hidden="false" customHeight="true" outlineLevel="0" collapsed="false">
      <c r="A6" s="6" t="s">
        <v>5</v>
      </c>
      <c r="B6" s="7" t="s">
        <v>6</v>
      </c>
    </row>
    <row r="7" customFormat="false" ht="34.5" hidden="false" customHeight="true" outlineLevel="0" collapsed="false">
      <c r="A7" s="6" t="s">
        <v>7</v>
      </c>
      <c r="B7" s="7" t="s">
        <v>8</v>
      </c>
    </row>
    <row r="8" customFormat="false" ht="34.5" hidden="false" customHeight="true" outlineLevel="0" collapsed="false">
      <c r="A8" s="6" t="s">
        <v>9</v>
      </c>
      <c r="B8" s="7" t="s">
        <v>10</v>
      </c>
    </row>
    <row r="9" customFormat="false" ht="34.5" hidden="false" customHeight="true" outlineLevel="0" collapsed="false">
      <c r="A9" s="6" t="s">
        <v>11</v>
      </c>
      <c r="B9" s="7" t="s">
        <v>12</v>
      </c>
    </row>
    <row r="11" customFormat="false" ht="21.75" hidden="false" customHeight="true" outlineLevel="0" collapsed="false">
      <c r="A11" s="4" t="s">
        <v>13</v>
      </c>
      <c r="B11" s="4"/>
    </row>
    <row r="12" customFormat="false" ht="42" hidden="false" customHeight="true" outlineLevel="0" collapsed="false">
      <c r="A12" s="8" t="s">
        <v>14</v>
      </c>
      <c r="B12" s="9" t="s">
        <v>15</v>
      </c>
    </row>
    <row r="13" customFormat="false" ht="42" hidden="false" customHeight="true" outlineLevel="0" collapsed="false">
      <c r="A13" s="10" t="s">
        <v>16</v>
      </c>
      <c r="B13" s="9" t="s">
        <v>17</v>
      </c>
    </row>
    <row r="14" customFormat="false" ht="42" hidden="false" customHeight="true" outlineLevel="0" collapsed="false">
      <c r="A14" s="11" t="s">
        <v>18</v>
      </c>
      <c r="B14" s="9" t="s">
        <v>19</v>
      </c>
    </row>
    <row r="16" customFormat="false" ht="21.75" hidden="false" customHeight="true" outlineLevel="0" collapsed="false">
      <c r="A16" s="4" t="s">
        <v>20</v>
      </c>
      <c r="B16" s="4"/>
    </row>
    <row r="17" customFormat="false" ht="60" hidden="false" customHeight="true" outlineLevel="0" collapsed="false">
      <c r="A17" s="3" t="s">
        <v>21</v>
      </c>
      <c r="B17" s="3"/>
    </row>
  </sheetData>
  <mergeCells count="6">
    <mergeCell ref="A1:B1"/>
    <mergeCell ref="A2:B2"/>
    <mergeCell ref="A4:B4"/>
    <mergeCell ref="A11:B11"/>
    <mergeCell ref="A16:B16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5"/>
    <col collapsed="false" customWidth="true" hidden="false" outlineLevel="0" max="3" min="3" style="1" width="50"/>
    <col collapsed="false" customWidth="true" hidden="false" outlineLevel="0" max="4" min="4" style="1" width="45"/>
  </cols>
  <sheetData>
    <row r="1" customFormat="false" ht="24" hidden="false" customHeight="true" outlineLevel="0" collapsed="false">
      <c r="A1" s="2" t="s">
        <v>22</v>
      </c>
      <c r="B1" s="2"/>
      <c r="C1" s="2"/>
      <c r="D1" s="2"/>
    </row>
    <row r="2" customFormat="false" ht="36" hidden="false" customHeight="true" outlineLevel="0" collapsed="false">
      <c r="A2" s="3" t="s">
        <v>23</v>
      </c>
      <c r="B2" s="3"/>
      <c r="C2" s="3"/>
      <c r="D2" s="3"/>
    </row>
    <row r="4" customFormat="false" ht="21.75" hidden="false" customHeight="true" outlineLevel="0" collapsed="false">
      <c r="A4" s="4" t="s">
        <v>24</v>
      </c>
      <c r="B4" s="4"/>
      <c r="C4" s="4"/>
      <c r="D4" s="4"/>
    </row>
    <row r="5" customFormat="false" ht="21.75" hidden="false" customHeight="true" outlineLevel="0" collapsed="false">
      <c r="A5" s="5" t="s">
        <v>25</v>
      </c>
      <c r="B5" s="5" t="s">
        <v>26</v>
      </c>
      <c r="C5" s="5" t="s">
        <v>27</v>
      </c>
      <c r="D5" s="10" t="s">
        <v>28</v>
      </c>
    </row>
    <row r="6" customFormat="false" ht="36" hidden="false" customHeight="true" outlineLevel="0" collapsed="false">
      <c r="A6" s="12" t="s">
        <v>29</v>
      </c>
      <c r="B6" s="12" t="s">
        <v>30</v>
      </c>
      <c r="C6" s="13" t="s">
        <v>31</v>
      </c>
      <c r="D6" s="14" t="s">
        <v>32</v>
      </c>
    </row>
    <row r="7" customFormat="false" ht="36" hidden="false" customHeight="true" outlineLevel="0" collapsed="false">
      <c r="A7" s="12" t="s">
        <v>33</v>
      </c>
      <c r="B7" s="12" t="s">
        <v>34</v>
      </c>
      <c r="C7" s="13" t="s">
        <v>35</v>
      </c>
      <c r="D7" s="14" t="s">
        <v>36</v>
      </c>
    </row>
    <row r="8" customFormat="false" ht="36" hidden="false" customHeight="true" outlineLevel="0" collapsed="false">
      <c r="A8" s="12" t="s">
        <v>37</v>
      </c>
      <c r="B8" s="12" t="s">
        <v>38</v>
      </c>
      <c r="C8" s="13" t="s">
        <v>39</v>
      </c>
      <c r="D8" s="14" t="s">
        <v>40</v>
      </c>
    </row>
    <row r="9" customFormat="false" ht="36" hidden="false" customHeight="true" outlineLevel="0" collapsed="false">
      <c r="A9" s="12" t="s">
        <v>41</v>
      </c>
      <c r="B9" s="12" t="s">
        <v>42</v>
      </c>
      <c r="C9" s="13" t="s">
        <v>43</v>
      </c>
      <c r="D9" s="14" t="s">
        <v>44</v>
      </c>
    </row>
    <row r="10" customFormat="false" ht="36" hidden="false" customHeight="true" outlineLevel="0" collapsed="false">
      <c r="A10" s="12" t="s">
        <v>45</v>
      </c>
      <c r="B10" s="12" t="s">
        <v>46</v>
      </c>
      <c r="C10" s="15" t="s">
        <v>47</v>
      </c>
      <c r="D10" s="16" t="s">
        <v>48</v>
      </c>
    </row>
    <row r="11" customFormat="false" ht="36" hidden="false" customHeight="true" outlineLevel="0" collapsed="false">
      <c r="A11" s="12" t="s">
        <v>49</v>
      </c>
      <c r="B11" s="12" t="s">
        <v>50</v>
      </c>
      <c r="C11" s="13" t="s">
        <v>51</v>
      </c>
      <c r="D11" s="14" t="s">
        <v>52</v>
      </c>
    </row>
    <row r="12" customFormat="false" ht="36" hidden="false" customHeight="true" outlineLevel="0" collapsed="false">
      <c r="A12" s="12" t="s">
        <v>53</v>
      </c>
      <c r="B12" s="12" t="s">
        <v>54</v>
      </c>
      <c r="C12" s="13" t="s">
        <v>55</v>
      </c>
      <c r="D12" s="14" t="s">
        <v>32</v>
      </c>
    </row>
    <row r="13" customFormat="false" ht="36" hidden="false" customHeight="true" outlineLevel="0" collapsed="false">
      <c r="A13" s="12" t="s">
        <v>56</v>
      </c>
      <c r="B13" s="12" t="s">
        <v>57</v>
      </c>
      <c r="C13" s="13" t="s">
        <v>58</v>
      </c>
      <c r="D13" s="14" t="s">
        <v>59</v>
      </c>
    </row>
    <row r="14" customFormat="false" ht="36" hidden="false" customHeight="true" outlineLevel="0" collapsed="false">
      <c r="A14" s="12" t="s">
        <v>60</v>
      </c>
      <c r="B14" s="12" t="s">
        <v>61</v>
      </c>
      <c r="C14" s="13" t="s">
        <v>62</v>
      </c>
      <c r="D14" s="14" t="s">
        <v>63</v>
      </c>
    </row>
    <row r="15" customFormat="false" ht="36" hidden="false" customHeight="true" outlineLevel="0" collapsed="false">
      <c r="A15" s="12" t="s">
        <v>64</v>
      </c>
      <c r="B15" s="12" t="s">
        <v>65</v>
      </c>
      <c r="C15" s="13" t="s">
        <v>66</v>
      </c>
      <c r="D15" s="14" t="s">
        <v>67</v>
      </c>
    </row>
    <row r="17" customFormat="false" ht="24" hidden="false" customHeight="true" outlineLevel="0" collapsed="false">
      <c r="A17" s="17" t="s">
        <v>68</v>
      </c>
      <c r="B17" s="17"/>
      <c r="C17" s="17"/>
      <c r="D17" s="17"/>
    </row>
    <row r="18" customFormat="false" ht="21.75" hidden="false" customHeight="true" outlineLevel="0" collapsed="false">
      <c r="A18" s="18" t="s">
        <v>25</v>
      </c>
      <c r="B18" s="18" t="s">
        <v>69</v>
      </c>
      <c r="C18" s="18" t="s">
        <v>70</v>
      </c>
      <c r="D18" s="18" t="s">
        <v>71</v>
      </c>
    </row>
    <row r="19" customFormat="false" ht="24" hidden="false" customHeight="true" outlineLevel="0" collapsed="false">
      <c r="A19" s="19" t="s">
        <v>72</v>
      </c>
      <c r="B19" s="19" t="s">
        <v>73</v>
      </c>
      <c r="C19" s="20" t="n">
        <f aca="false">COUNTIF(D6,"Below market")+COUNTIF(D7,"Unrealistic (&lt;1 month)")+COUNTIF(D9,"Negative past experience")+IF(AND(D11="Wants full ownership (would need Licence, not transfer)",D6="Below market"),1,0)+COUNTIF(D13,"Concerning gaps (vague / aggressive / inconsistent)")+COUNTIF(D15,"Multiple present")</f>
        <v>0</v>
      </c>
      <c r="D19" s="13" t="s">
        <v>74</v>
      </c>
    </row>
    <row r="20" customFormat="false" ht="24" hidden="false" customHeight="true" outlineLevel="0" collapsed="false">
      <c r="A20" s="19" t="s">
        <v>75</v>
      </c>
      <c r="B20" s="19" t="s">
        <v>76</v>
      </c>
      <c r="C20" s="21" t="n">
        <f aca="false">COUNTIF(D6,"Tight but workable")+COUNTIF(D7,"Tight (1-2 months)")+COUNTIF(D8,"Through intermediary")+COUNTIF(D8,"Multiple stakeholders unclear")+COUNTIF(D8,"Decision-maker unknown")+COUNTIF(D9,"Unknown")+IF(OR(D10="Medical or health",D10="Legal",D10="Financial data",D10="Multiple sensitive areas",D10="Medium (communications, document routing, internal ops)"),1,0)+COUNTIF(D12,"Wants discount")+COUNTIF(D12,"Wants delayed payment")+COUNTIF(D12,"Wants pay-on-delivery")+IF(OR(D13="Mostly aligned",D13="Not yet known"),1,0)+COUNTIF(D14,"Cold inbound")+COUNTIF(D15,"One present")</f>
        <v>3</v>
      </c>
      <c r="D20" s="13" t="s">
        <v>77</v>
      </c>
    </row>
    <row r="21" customFormat="false" ht="24" hidden="false" customHeight="true" outlineLevel="0" collapsed="false">
      <c r="A21" s="19" t="s">
        <v>78</v>
      </c>
      <c r="B21" s="19" t="s">
        <v>79</v>
      </c>
      <c r="C21" s="20" t="str">
        <f aca="false">IF(C19&gt;=2,"DECLINE",IF(C19=1,"PROCEED WITH CAUTION",IF(C20&gt;=2,"PROCEED WITH CAUTION","GOOD FIT")))</f>
        <v>PROCEED WITH CAUTION</v>
      </c>
      <c r="D21" s="13" t="s">
        <v>80</v>
      </c>
    </row>
    <row r="22" customFormat="false" ht="42" hidden="false" customHeight="true" outlineLevel="0" collapsed="false">
      <c r="A22" s="19" t="s">
        <v>81</v>
      </c>
      <c r="B22" s="19" t="s">
        <v>82</v>
      </c>
      <c r="C22" s="21" t="str">
        <f aca="false">TRIM(IF(D6="Below market","Budget below market rate; ","")&amp;IF(D6="Tight but workable","Budget tight; ","")&amp;IF(D7="Unrealistic (&lt;1 month)","Timeline unrealistic; ","")&amp;IF(D7="Tight (1-2 months)","Timeline tight; ","")&amp;IF(OR(D8="Through intermediary",D8="Multiple stakeholders unclear",D8="Decision-maker unknown"),"Decision-maker access unclear; ","")&amp;IF(D9="Negative past experience","Negative past automation experience; ","")&amp;IF(OR(D10="Medical or health",D10="Legal",D10="Financial data",D10="Multiple sensitive areas"),"Sensitive content — approval workflow mandatory; ",IF(D10="Medium (communications, document routing, internal ops)","Medium-sensitivity automation — confirm human review and validation steps; ",""))&amp;IF(AND(D11="Wants full ownership (would need Licence, not transfer)",D6="Below market"),"Full IP transfer at low price - decline trigger; ","")&amp;IF(OR(D12="Wants delayed payment",D12="Wants pay-on-delivery"),"Payment terms outside standard; ","")&amp;IF(D13="Concerning gaps (vague / aggressive / inconsistent)","Communication style concerning; ","")&amp;IF(D15="Multiple present","Multiple red flag patterns; ","")&amp;IF(D15="One present","One red flag pattern present; ",""))</f>
        <v/>
      </c>
      <c r="D22" s="13" t="s">
        <v>83</v>
      </c>
    </row>
    <row r="23" customFormat="false" ht="42" hidden="false" customHeight="true" outlineLevel="0" collapsed="false">
      <c r="A23" s="19" t="s">
        <v>84</v>
      </c>
      <c r="B23" s="19" t="s">
        <v>85</v>
      </c>
      <c r="C23" s="21" t="str">
        <f aca="false">IF(OR(D10="Medical or health",D10="Legal",D10="Financial data",D10="Multiple sensitive areas"),"Pro Multi-Channel or Managed Operations — sensitivity requires approval workflow and human oversight.",IF(D10="Medium (communications, document routing, internal ops)","Basic+ AI Triage or Pro — medium-sensitivity automations need validation and human review steps.",IF(D11="Wants full ownership (would need Licence, not transfer)","Licence option (setup x1.3, annual licence = 50% of managed year) — never Build-and-Transfer, per IP_and_Licensing_Policy_v01",IF(D11="Client-owned workspace","Pro/Managed with Client-owned access model","Basic Intake / Basic+ AI Triage — start small, expand later"))))</f>
        <v>Basic Intake / Basic+ AI Triage — start small, expand later</v>
      </c>
      <c r="D23" s="15" t="s">
        <v>86</v>
      </c>
    </row>
    <row r="24" customFormat="false" ht="42" hidden="false" customHeight="true" outlineLevel="0" collapsed="false">
      <c r="A24" s="19" t="s">
        <v>87</v>
      </c>
      <c r="B24" s="19" t="s">
        <v>88</v>
      </c>
      <c r="C24" s="19" t="str">
        <f aca="false">IF(C21="DECLINE","Politely decline. Offer a referral if you know a fit. Note: declining well is reputation insurance.",IF(C21="PROCEED WITH CAUTION","Proceed only if specific concerns above can be addressed. Address them in the proposal explicitly; do not hope they resolve themselves.","Proceed to Kickoff Wizard. Standard engagement."))</f>
        <v>Proceed only if specific concerns above can be addressed. Address them in the proposal explicitly; do not hope they resolve themselves.</v>
      </c>
      <c r="D24" s="13" t="s">
        <v>89</v>
      </c>
    </row>
    <row r="25" customFormat="false" ht="42" hidden="false" customHeight="true" outlineLevel="0" collapsed="false">
      <c r="A25" s="19" t="s">
        <v>90</v>
      </c>
      <c r="B25" s="19" t="s">
        <v>91</v>
      </c>
      <c r="C25" s="19" t="str">
        <f aca="false">IF(C21="DECLINE","Decline because: "&amp;C22,IF(C21="PROCEED WITH CAUTION","Address in proposal: "&amp;C22,"No specific conditions needed."))</f>
        <v>Address in proposal: </v>
      </c>
      <c r="D25" s="13" t="s">
        <v>92</v>
      </c>
    </row>
  </sheetData>
  <mergeCells count="4">
    <mergeCell ref="A1:D1"/>
    <mergeCell ref="A2:D2"/>
    <mergeCell ref="A4:D4"/>
    <mergeCell ref="A17:D17"/>
  </mergeCells>
  <dataValidations count="10">
    <dataValidation allowBlank="true" errorStyle="stop" operator="between" showDropDown="false" showErrorMessage="false" showInputMessage="false" sqref="D6" type="list">
      <formula1>"Realistic,Tight but workable,Below market,Not yet discussed"</formula1>
      <formula2>0</formula2>
    </dataValidation>
    <dataValidation allowBlank="true" errorStyle="stop" operator="between" showDropDown="false" showErrorMessage="false" showInputMessage="false" sqref="D7" type="list">
      <formula1>"Realistic (3+ months),Tight (1-2 months),Unrealistic (&lt;1 month),Open / flexible"</formula1>
      <formula2>0</formula2>
    </dataValidation>
    <dataValidation allowBlank="true" errorStyle="stop" operator="between" showDropDown="false" showErrorMessage="false" showInputMessage="false" sqref="D8" type="list">
      <formula1>"Direct access to decision-maker,Through intermediary,Multiple stakeholders unclear,Decision-maker unknown"</formula1>
      <formula2>0</formula2>
    </dataValidation>
    <dataValidation allowBlank="true" errorStyle="stop" operator="between" showDropDown="false" showErrorMessage="false" showInputMessage="false" sqref="D9" type="list">
      <formula1>"None - first project,Positive past experience,Negative past experience,Unknown"</formula1>
      <formula2>0</formula2>
    </dataValidation>
    <dataValidation allowBlank="true" errorStyle="stop" operator="between" showDropDown="false" showErrorMessage="false" showInputMessage="false" sqref="D12" type="list">
      <formula1>"Standard accepted,Wants discount,Wants delayed payment,Wants pay-on-delivery,Not yet discussed"</formula1>
      <formula2>0</formula2>
    </dataValidation>
    <dataValidation allowBlank="true" errorStyle="stop" operator="between" showDropDown="false" showErrorMessage="false" showInputMessage="false" sqref="D13" type="list">
      <formula1>"Aligned - clear and professional,Mostly aligned,Concerning gaps (vague / aggressive / inconsistent),Not yet known"</formula1>
      <formula2>0</formula2>
    </dataValidation>
    <dataValidation allowBlank="true" errorStyle="stop" operator="between" showDropDown="false" showErrorMessage="false" showInputMessage="false" sqref="D14" type="list">
      <formula1>"Strong personal referral,Existing client referral,Repeat client,Cold inbound,Marketing / website,Other"</formula1>
      <formula2>0</formula2>
    </dataValidation>
    <dataValidation allowBlank="true" errorStyle="stop" operator="between" showDropDown="false" showErrorMessage="false" showInputMessage="false" sqref="D15" type="list">
      <formula1>"None of these,One present,Multiple present"</formula1>
      <formula2>0</formula2>
    </dataValidation>
    <dataValidation allowBlank="true" errorStyle="stop" operator="between" showDropDown="false" showErrorMessage="false" showInputMessage="false" sqref="D10" type="list">
      <formula1>"None — standard business,Low (content,marketing,scheduling,e-commerce),Medium (communications,document routing,internal ops),Financial data,Medical or health,Legal,Multiple sensitive areas"</formula1>
      <formula2>0</formula2>
    </dataValidation>
    <dataValidation allowBlank="true" errorStyle="stop" operator="between" showDropDown="false" showErrorMessage="false" showInputMessage="false" sqref="D11" type="list">
      <formula1>"Managed by us,Hybrid,Client-owned workspace,Wants full ownership (would need Licence,not transfer),Unsure / flexible"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22"/>
    <col collapsed="false" customWidth="true" hidden="false" outlineLevel="0" max="5" min="5" style="1" width="18"/>
    <col collapsed="false" customWidth="true" hidden="false" outlineLevel="0" max="6" min="6" style="1" width="30"/>
    <col collapsed="false" customWidth="true" hidden="false" outlineLevel="0" max="7" min="7" style="1" width="18"/>
    <col collapsed="false" customWidth="true" hidden="false" outlineLevel="0" max="8" min="8" style="1" width="35"/>
  </cols>
  <sheetData>
    <row r="1" customFormat="false" ht="24" hidden="false" customHeight="true" outlineLevel="0" collapsed="false">
      <c r="A1" s="2" t="s">
        <v>93</v>
      </c>
      <c r="B1" s="2"/>
      <c r="C1" s="2"/>
      <c r="D1" s="2"/>
      <c r="E1" s="2"/>
      <c r="F1" s="2"/>
      <c r="G1" s="2"/>
      <c r="H1" s="2"/>
    </row>
    <row r="2" customFormat="false" ht="36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</row>
    <row r="4" customFormat="false" ht="24" hidden="false" customHeight="true" outlineLevel="0" collapsed="false">
      <c r="A4" s="5" t="s">
        <v>95</v>
      </c>
      <c r="B4" s="5" t="s">
        <v>96</v>
      </c>
      <c r="C4" s="5" t="s">
        <v>97</v>
      </c>
      <c r="D4" s="5" t="s">
        <v>98</v>
      </c>
      <c r="E4" s="8" t="s">
        <v>99</v>
      </c>
      <c r="F4" s="8" t="s">
        <v>100</v>
      </c>
      <c r="G4" s="8" t="s">
        <v>101</v>
      </c>
      <c r="H4" s="8" t="s">
        <v>102</v>
      </c>
    </row>
    <row r="5" customFormat="false" ht="30" hidden="false" customHeight="true" outlineLevel="0" collapsed="false">
      <c r="A5" s="12"/>
      <c r="B5" s="7"/>
      <c r="C5" s="7"/>
      <c r="D5" s="7"/>
      <c r="E5" s="22"/>
      <c r="F5" s="22"/>
      <c r="G5" s="22"/>
      <c r="H5" s="22"/>
    </row>
    <row r="6" customFormat="false" ht="30" hidden="false" customHeight="true" outlineLevel="0" collapsed="false">
      <c r="A6" s="12"/>
      <c r="B6" s="7"/>
      <c r="C6" s="7"/>
      <c r="D6" s="7"/>
      <c r="E6" s="22"/>
      <c r="F6" s="22"/>
      <c r="G6" s="22"/>
      <c r="H6" s="22"/>
    </row>
    <row r="7" customFormat="false" ht="30" hidden="false" customHeight="true" outlineLevel="0" collapsed="false">
      <c r="A7" s="12"/>
      <c r="B7" s="7"/>
      <c r="C7" s="7"/>
      <c r="D7" s="7"/>
      <c r="E7" s="22"/>
      <c r="F7" s="22"/>
      <c r="G7" s="22"/>
      <c r="H7" s="22"/>
    </row>
    <row r="8" customFormat="false" ht="30" hidden="false" customHeight="true" outlineLevel="0" collapsed="false">
      <c r="A8" s="12"/>
      <c r="B8" s="7"/>
      <c r="C8" s="7"/>
      <c r="D8" s="7"/>
      <c r="E8" s="22"/>
      <c r="F8" s="22"/>
      <c r="G8" s="22"/>
      <c r="H8" s="22"/>
    </row>
    <row r="9" customFormat="false" ht="30" hidden="false" customHeight="true" outlineLevel="0" collapsed="false">
      <c r="A9" s="12"/>
      <c r="B9" s="7"/>
      <c r="C9" s="7"/>
      <c r="D9" s="7"/>
      <c r="E9" s="22"/>
      <c r="F9" s="22"/>
      <c r="G9" s="22"/>
      <c r="H9" s="22"/>
    </row>
    <row r="10" customFormat="false" ht="30" hidden="false" customHeight="true" outlineLevel="0" collapsed="false">
      <c r="A10" s="12"/>
      <c r="B10" s="7"/>
      <c r="C10" s="7"/>
      <c r="D10" s="7"/>
      <c r="E10" s="22"/>
      <c r="F10" s="22"/>
      <c r="G10" s="22"/>
      <c r="H10" s="22"/>
    </row>
    <row r="11" customFormat="false" ht="30" hidden="false" customHeight="true" outlineLevel="0" collapsed="false">
      <c r="A11" s="12"/>
      <c r="B11" s="7"/>
      <c r="C11" s="7"/>
      <c r="D11" s="7"/>
      <c r="E11" s="22"/>
      <c r="F11" s="22"/>
      <c r="G11" s="22"/>
      <c r="H11" s="22"/>
    </row>
    <row r="12" customFormat="false" ht="30" hidden="false" customHeight="true" outlineLevel="0" collapsed="false">
      <c r="A12" s="12"/>
      <c r="B12" s="7"/>
      <c r="C12" s="7"/>
      <c r="D12" s="7"/>
      <c r="E12" s="22"/>
      <c r="F12" s="22"/>
      <c r="G12" s="22"/>
      <c r="H12" s="22"/>
    </row>
    <row r="13" customFormat="false" ht="30" hidden="false" customHeight="true" outlineLevel="0" collapsed="false">
      <c r="A13" s="12"/>
      <c r="B13" s="7"/>
      <c r="C13" s="7"/>
      <c r="D13" s="7"/>
      <c r="E13" s="22"/>
      <c r="F13" s="22"/>
      <c r="G13" s="22"/>
      <c r="H13" s="22"/>
    </row>
    <row r="14" customFormat="false" ht="30" hidden="false" customHeight="true" outlineLevel="0" collapsed="false">
      <c r="A14" s="12"/>
      <c r="B14" s="7"/>
      <c r="C14" s="7"/>
      <c r="D14" s="7"/>
      <c r="E14" s="22"/>
      <c r="F14" s="22"/>
      <c r="G14" s="22"/>
      <c r="H14" s="22"/>
    </row>
    <row r="15" customFormat="false" ht="30" hidden="false" customHeight="true" outlineLevel="0" collapsed="false">
      <c r="A15" s="12"/>
      <c r="B15" s="7"/>
      <c r="C15" s="7"/>
      <c r="D15" s="7"/>
      <c r="E15" s="22"/>
      <c r="F15" s="22"/>
      <c r="G15" s="22"/>
      <c r="H15" s="22"/>
    </row>
    <row r="16" customFormat="false" ht="30" hidden="false" customHeight="true" outlineLevel="0" collapsed="false">
      <c r="A16" s="12"/>
      <c r="B16" s="7"/>
      <c r="C16" s="7"/>
      <c r="D16" s="7"/>
      <c r="E16" s="22"/>
      <c r="F16" s="22"/>
      <c r="G16" s="22"/>
      <c r="H16" s="22"/>
    </row>
    <row r="17" customFormat="false" ht="30" hidden="false" customHeight="true" outlineLevel="0" collapsed="false">
      <c r="A17" s="12"/>
      <c r="B17" s="7"/>
      <c r="C17" s="7"/>
      <c r="D17" s="7"/>
      <c r="E17" s="22"/>
      <c r="F17" s="22"/>
      <c r="G17" s="22"/>
      <c r="H17" s="22"/>
    </row>
    <row r="18" customFormat="false" ht="30" hidden="false" customHeight="true" outlineLevel="0" collapsed="false">
      <c r="A18" s="12"/>
      <c r="B18" s="7"/>
      <c r="C18" s="7"/>
      <c r="D18" s="7"/>
      <c r="E18" s="22"/>
      <c r="F18" s="22"/>
      <c r="G18" s="22"/>
      <c r="H18" s="22"/>
    </row>
    <row r="19" customFormat="false" ht="30" hidden="false" customHeight="true" outlineLevel="0" collapsed="false">
      <c r="A19" s="12"/>
      <c r="B19" s="7"/>
      <c r="C19" s="7"/>
      <c r="D19" s="7"/>
      <c r="E19" s="22"/>
      <c r="F19" s="22"/>
      <c r="G19" s="22"/>
      <c r="H19" s="22"/>
    </row>
    <row r="20" customFormat="false" ht="30" hidden="false" customHeight="true" outlineLevel="0" collapsed="false">
      <c r="A20" s="12"/>
      <c r="B20" s="7"/>
      <c r="C20" s="7"/>
      <c r="D20" s="7"/>
      <c r="E20" s="22"/>
      <c r="F20" s="22"/>
      <c r="G20" s="22"/>
      <c r="H20" s="22"/>
    </row>
    <row r="21" customFormat="false" ht="30" hidden="false" customHeight="true" outlineLevel="0" collapsed="false">
      <c r="A21" s="12"/>
      <c r="B21" s="7"/>
      <c r="C21" s="7"/>
      <c r="D21" s="7"/>
      <c r="E21" s="22"/>
      <c r="F21" s="22"/>
      <c r="G21" s="22"/>
      <c r="H21" s="22"/>
    </row>
    <row r="22" customFormat="false" ht="30" hidden="false" customHeight="true" outlineLevel="0" collapsed="false">
      <c r="A22" s="12"/>
      <c r="B22" s="7"/>
      <c r="C22" s="7"/>
      <c r="D22" s="7"/>
      <c r="E22" s="22"/>
      <c r="F22" s="22"/>
      <c r="G22" s="22"/>
      <c r="H22" s="22"/>
    </row>
    <row r="23" customFormat="false" ht="30" hidden="false" customHeight="true" outlineLevel="0" collapsed="false">
      <c r="A23" s="12"/>
      <c r="B23" s="7"/>
      <c r="C23" s="7"/>
      <c r="D23" s="7"/>
      <c r="E23" s="22"/>
      <c r="F23" s="22"/>
      <c r="G23" s="22"/>
      <c r="H23" s="22"/>
    </row>
    <row r="24" customFormat="false" ht="30" hidden="false" customHeight="true" outlineLevel="0" collapsed="false">
      <c r="A24" s="12"/>
      <c r="B24" s="7"/>
      <c r="C24" s="7"/>
      <c r="D24" s="7"/>
      <c r="E24" s="22"/>
      <c r="F24" s="22"/>
      <c r="G24" s="22"/>
      <c r="H24" s="22"/>
    </row>
    <row r="25" customFormat="false" ht="30" hidden="false" customHeight="true" outlineLevel="0" collapsed="false">
      <c r="A25" s="12"/>
      <c r="B25" s="7"/>
      <c r="C25" s="7"/>
      <c r="D25" s="7"/>
      <c r="E25" s="22"/>
      <c r="F25" s="22"/>
      <c r="G25" s="22"/>
      <c r="H25" s="22"/>
    </row>
    <row r="26" customFormat="false" ht="30" hidden="false" customHeight="true" outlineLevel="0" collapsed="false">
      <c r="A26" s="12"/>
      <c r="B26" s="7"/>
      <c r="C26" s="7"/>
      <c r="D26" s="7"/>
      <c r="E26" s="22"/>
      <c r="F26" s="22"/>
      <c r="G26" s="22"/>
      <c r="H26" s="22"/>
    </row>
    <row r="27" customFormat="false" ht="30" hidden="false" customHeight="true" outlineLevel="0" collapsed="false">
      <c r="A27" s="12"/>
      <c r="B27" s="7"/>
      <c r="C27" s="7"/>
      <c r="D27" s="7"/>
      <c r="E27" s="22"/>
      <c r="F27" s="22"/>
      <c r="G27" s="22"/>
      <c r="H27" s="22"/>
    </row>
    <row r="28" customFormat="false" ht="30" hidden="false" customHeight="true" outlineLevel="0" collapsed="false">
      <c r="A28" s="12"/>
      <c r="B28" s="7"/>
      <c r="C28" s="7"/>
      <c r="D28" s="7"/>
      <c r="E28" s="22"/>
      <c r="F28" s="22"/>
      <c r="G28" s="22"/>
      <c r="H28" s="22"/>
    </row>
    <row r="29" customFormat="false" ht="30" hidden="false" customHeight="true" outlineLevel="0" collapsed="false">
      <c r="A29" s="12"/>
      <c r="B29" s="7"/>
      <c r="C29" s="7"/>
      <c r="D29" s="7"/>
      <c r="E29" s="22"/>
      <c r="F29" s="22"/>
      <c r="G29" s="22"/>
      <c r="H29" s="22"/>
    </row>
    <row r="30" customFormat="false" ht="30" hidden="false" customHeight="true" outlineLevel="0" collapsed="false">
      <c r="A30" s="12"/>
      <c r="B30" s="7"/>
      <c r="C30" s="7"/>
      <c r="D30" s="7"/>
      <c r="E30" s="22"/>
      <c r="F30" s="22"/>
      <c r="G30" s="22"/>
      <c r="H30" s="22"/>
    </row>
    <row r="31" customFormat="false" ht="30" hidden="false" customHeight="true" outlineLevel="0" collapsed="false">
      <c r="A31" s="12"/>
      <c r="B31" s="7"/>
      <c r="C31" s="7"/>
      <c r="D31" s="7"/>
      <c r="E31" s="22"/>
      <c r="F31" s="22"/>
      <c r="G31" s="22"/>
      <c r="H31" s="22"/>
    </row>
    <row r="32" customFormat="false" ht="30" hidden="false" customHeight="true" outlineLevel="0" collapsed="false">
      <c r="A32" s="12"/>
      <c r="B32" s="7"/>
      <c r="C32" s="7"/>
      <c r="D32" s="7"/>
      <c r="E32" s="22"/>
      <c r="F32" s="22"/>
      <c r="G32" s="22"/>
      <c r="H32" s="22"/>
    </row>
    <row r="33" customFormat="false" ht="30" hidden="false" customHeight="true" outlineLevel="0" collapsed="false">
      <c r="A33" s="12"/>
      <c r="B33" s="7"/>
      <c r="C33" s="7"/>
      <c r="D33" s="7"/>
      <c r="E33" s="22"/>
      <c r="F33" s="22"/>
      <c r="G33" s="22"/>
      <c r="H33" s="22"/>
    </row>
    <row r="34" customFormat="false" ht="30" hidden="false" customHeight="true" outlineLevel="0" collapsed="false">
      <c r="A34" s="12"/>
      <c r="B34" s="7"/>
      <c r="C34" s="7"/>
      <c r="D34" s="7"/>
      <c r="E34" s="22"/>
      <c r="F34" s="22"/>
      <c r="G34" s="22"/>
      <c r="H34" s="22"/>
    </row>
  </sheetData>
  <mergeCells count="2">
    <mergeCell ref="A1:H1"/>
    <mergeCell ref="A2:H2"/>
  </mergeCells>
  <dataValidations count="3">
    <dataValidation allowBlank="true" errorStyle="stop" operator="between" showDropDown="false" showErrorMessage="false" showInputMessage="false" sqref="D5:D34" type="list">
      <formula1>"GOOD FIT,PROCEED WITH CAUTION,DECLINE"</formula1>
      <formula2>0</formula2>
    </dataValidation>
    <dataValidation allowBlank="true" errorStyle="stop" operator="between" showDropDown="false" showErrorMessage="false" showInputMessage="false" sqref="E5:E34" type="list">
      <formula1>"Took on,Took on with conditions,Declined,Declined and referred elsewhere"</formula1>
      <formula2>0</formula2>
    </dataValidation>
    <dataValidation allowBlank="true" errorStyle="stop" operator="between" showDropDown="false" showErrorMessage="false" showInputMessage="false" sqref="G5:G34" type="list">
      <formula1>"Profitable,Break-even,Loss,N/A (declined),Not yet measured"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2026-06-28T18:55:59Z</dcterms:created>
  <dc:creator>openpyxl</dc:creator>
  <dc:description/>
  <dc:language>en-US</dc:language>
  <cp:lastModifiedBy/>
  <dcterms:modified xsi:type="dcterms:W3CDTF">2026-09-21T13:16:32Z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